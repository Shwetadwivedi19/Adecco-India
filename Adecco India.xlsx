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276c89dc19570977/Documents/"/>
    </mc:Choice>
  </mc:AlternateContent>
  <xr:revisionPtr revIDLastSave="10" documentId="8_{98F59348-1CF3-4C2D-B305-E9A529D848AF}" xr6:coauthVersionLast="47" xr6:coauthVersionMax="47" xr10:uidLastSave="{36C9FFE2-7A7D-46C7-B6A5-5A8EB0477A87}"/>
  <bookViews>
    <workbookView xWindow="-120" yWindow="-120" windowWidth="20730" windowHeight="11040" activeTab="3" xr2:uid="{49617011-3C16-43DD-A3D9-22EB37AC834A}"/>
  </bookViews>
  <sheets>
    <sheet name="main data" sheetId="2" r:id="rId1"/>
    <sheet name="Calculations" sheetId="1" r:id="rId2"/>
    <sheet name="pivot table" sheetId="4" r:id="rId3"/>
    <sheet name="DASHBOARD" sheetId="5" r:id="rId4"/>
    <sheet name="practice work" sheetId="3" r:id="rId5"/>
  </sheets>
  <definedNames>
    <definedName name="_xlchart.v1.0" hidden="1">'practice work'!$R$1</definedName>
    <definedName name="_xlchart.v1.1" hidden="1">'practice work'!$R$2:$R$1471</definedName>
    <definedName name="_xlchart.v1.2" hidden="1">'practice work'!$S$1</definedName>
    <definedName name="_xlchart.v1.3" hidden="1">'practice work'!$S$2:$S$1471</definedName>
    <definedName name="ExternalData_1" localSheetId="0" hidden="1">'main data'!$A$1:$AJ$1471</definedName>
    <definedName name="Slicer_Department">#N/A</definedName>
    <definedName name="Slicer_Gender">#N/A</definedName>
    <definedName name="Slicer_PerformanceRating">#N/A</definedName>
  </definedNames>
  <calcPr calcId="191029"/>
  <pivotCaches>
    <pivotCache cacheId="6" r:id="rId6"/>
    <pivotCache cacheId="1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71" i="3" l="1"/>
  <c r="C1470" i="3"/>
  <c r="C1469" i="3"/>
  <c r="C1468" i="3"/>
  <c r="C1467" i="3"/>
  <c r="C1466" i="3"/>
  <c r="C1465" i="3"/>
  <c r="C1464" i="3"/>
  <c r="C1463" i="3"/>
  <c r="C1462" i="3"/>
  <c r="C1461" i="3"/>
  <c r="C1460" i="3"/>
  <c r="C1459" i="3"/>
  <c r="C1458" i="3"/>
  <c r="C1457" i="3"/>
  <c r="C1456" i="3"/>
  <c r="C1455" i="3"/>
  <c r="C1454" i="3"/>
  <c r="C1453" i="3"/>
  <c r="C1452" i="3"/>
  <c r="C1451" i="3"/>
  <c r="C1450" i="3"/>
  <c r="C1449" i="3"/>
  <c r="C1448" i="3"/>
  <c r="C1447" i="3"/>
  <c r="C1446" i="3"/>
  <c r="C1445" i="3"/>
  <c r="C1444" i="3"/>
  <c r="C1443" i="3"/>
  <c r="C1442" i="3"/>
  <c r="C1441" i="3"/>
  <c r="C1440" i="3"/>
  <c r="C1439" i="3"/>
  <c r="C1438" i="3"/>
  <c r="C1437" i="3"/>
  <c r="C1436" i="3"/>
  <c r="C1435" i="3"/>
  <c r="C1434" i="3"/>
  <c r="C1433" i="3"/>
  <c r="C1432" i="3"/>
  <c r="C1431" i="3"/>
  <c r="C1430" i="3"/>
  <c r="C1429" i="3"/>
  <c r="C1428" i="3"/>
  <c r="C1427" i="3"/>
  <c r="C1426" i="3"/>
  <c r="C1425" i="3"/>
  <c r="C1424" i="3"/>
  <c r="C1423" i="3"/>
  <c r="C1422" i="3"/>
  <c r="C1421" i="3"/>
  <c r="C1420" i="3"/>
  <c r="C1419" i="3"/>
  <c r="C1418" i="3"/>
  <c r="C1417" i="3"/>
  <c r="C1416" i="3"/>
  <c r="C1415" i="3"/>
  <c r="C1414" i="3"/>
  <c r="C1413" i="3"/>
  <c r="C1412" i="3"/>
  <c r="C1411" i="3"/>
  <c r="C1410" i="3"/>
  <c r="C1409" i="3"/>
  <c r="C1408" i="3"/>
  <c r="C1407" i="3"/>
  <c r="C1406" i="3"/>
  <c r="C1405" i="3"/>
  <c r="C1404" i="3"/>
  <c r="C1403" i="3"/>
  <c r="C1402" i="3"/>
  <c r="C1401" i="3"/>
  <c r="C1400" i="3"/>
  <c r="C1399" i="3"/>
  <c r="C1398" i="3"/>
  <c r="C1397" i="3"/>
  <c r="C1396" i="3"/>
  <c r="C1395" i="3"/>
  <c r="C1394" i="3"/>
  <c r="C1393" i="3"/>
  <c r="C1392" i="3"/>
  <c r="C1391" i="3"/>
  <c r="C1390" i="3"/>
  <c r="C1389" i="3"/>
  <c r="C1388" i="3"/>
  <c r="C1387" i="3"/>
  <c r="C1386" i="3"/>
  <c r="C1385" i="3"/>
  <c r="C1384" i="3"/>
  <c r="C1383" i="3"/>
  <c r="C1382" i="3"/>
  <c r="C1381" i="3"/>
  <c r="C1380" i="3"/>
  <c r="C1379" i="3"/>
  <c r="C1378" i="3"/>
  <c r="C1377" i="3"/>
  <c r="C1376" i="3"/>
  <c r="C1375" i="3"/>
  <c r="C1374" i="3"/>
  <c r="C1373" i="3"/>
  <c r="C1372" i="3"/>
  <c r="C1371" i="3"/>
  <c r="C1370" i="3"/>
  <c r="C1369" i="3"/>
  <c r="C1368" i="3"/>
  <c r="C1367" i="3"/>
  <c r="C1366" i="3"/>
  <c r="C1365" i="3"/>
  <c r="C1364" i="3"/>
  <c r="C1363" i="3"/>
  <c r="C1362" i="3"/>
  <c r="C1361" i="3"/>
  <c r="C1360" i="3"/>
  <c r="C1359" i="3"/>
  <c r="C1358" i="3"/>
  <c r="C1357" i="3"/>
  <c r="C1356" i="3"/>
  <c r="C1355" i="3"/>
  <c r="C1354" i="3"/>
  <c r="C1353" i="3"/>
  <c r="C1352" i="3"/>
  <c r="C1351" i="3"/>
  <c r="C1350" i="3"/>
  <c r="C1349" i="3"/>
  <c r="C1348" i="3"/>
  <c r="C1347" i="3"/>
  <c r="C1346" i="3"/>
  <c r="C1345" i="3"/>
  <c r="C1344" i="3"/>
  <c r="C1343" i="3"/>
  <c r="C1342" i="3"/>
  <c r="C1341" i="3"/>
  <c r="C1340" i="3"/>
  <c r="C1339" i="3"/>
  <c r="C1338" i="3"/>
  <c r="C1337" i="3"/>
  <c r="C1336" i="3"/>
  <c r="C1335" i="3"/>
  <c r="C1334" i="3"/>
  <c r="C1333" i="3"/>
  <c r="C1332" i="3"/>
  <c r="C1331" i="3"/>
  <c r="C1330" i="3"/>
  <c r="C1329" i="3"/>
  <c r="C1328" i="3"/>
  <c r="C1327" i="3"/>
  <c r="C1326" i="3"/>
  <c r="C1325" i="3"/>
  <c r="C1324" i="3"/>
  <c r="C1323" i="3"/>
  <c r="C1322" i="3"/>
  <c r="C1321" i="3"/>
  <c r="C1320" i="3"/>
  <c r="C1319" i="3"/>
  <c r="C1318" i="3"/>
  <c r="C1317" i="3"/>
  <c r="C1316" i="3"/>
  <c r="C1315" i="3"/>
  <c r="C1314" i="3"/>
  <c r="C1313" i="3"/>
  <c r="C1312" i="3"/>
  <c r="C1311" i="3"/>
  <c r="C1310" i="3"/>
  <c r="C1309" i="3"/>
  <c r="C1308" i="3"/>
  <c r="C1307" i="3"/>
  <c r="C1306" i="3"/>
  <c r="C1305" i="3"/>
  <c r="C1304" i="3"/>
  <c r="C1303" i="3"/>
  <c r="C1302" i="3"/>
  <c r="C1301" i="3"/>
  <c r="C1300" i="3"/>
  <c r="C1299" i="3"/>
  <c r="C1298" i="3"/>
  <c r="C1297" i="3"/>
  <c r="C1296" i="3"/>
  <c r="C1295" i="3"/>
  <c r="C1294" i="3"/>
  <c r="C1293" i="3"/>
  <c r="C1292" i="3"/>
  <c r="C1291" i="3"/>
  <c r="C1290" i="3"/>
  <c r="C1289" i="3"/>
  <c r="C1288" i="3"/>
  <c r="C1287" i="3"/>
  <c r="C1286" i="3"/>
  <c r="C1285" i="3"/>
  <c r="C1284" i="3"/>
  <c r="C1283" i="3"/>
  <c r="C1282" i="3"/>
  <c r="C1281" i="3"/>
  <c r="C1280" i="3"/>
  <c r="C1279" i="3"/>
  <c r="C1278" i="3"/>
  <c r="C1277" i="3"/>
  <c r="C1276" i="3"/>
  <c r="C1275" i="3"/>
  <c r="C1274" i="3"/>
  <c r="C1273" i="3"/>
  <c r="C1272" i="3"/>
  <c r="C1271" i="3"/>
  <c r="C1270" i="3"/>
  <c r="C1269" i="3"/>
  <c r="C1268" i="3"/>
  <c r="C1267" i="3"/>
  <c r="C1266" i="3"/>
  <c r="C1265" i="3"/>
  <c r="C1264" i="3"/>
  <c r="C1263" i="3"/>
  <c r="C1262" i="3"/>
  <c r="C1261" i="3"/>
  <c r="C1260" i="3"/>
  <c r="C1259" i="3"/>
  <c r="C1258" i="3"/>
  <c r="C1257" i="3"/>
  <c r="C1256" i="3"/>
  <c r="C1255" i="3"/>
  <c r="C1254" i="3"/>
  <c r="C1253" i="3"/>
  <c r="C1252" i="3"/>
  <c r="C1251" i="3"/>
  <c r="C1250" i="3"/>
  <c r="C1249" i="3"/>
  <c r="C1248" i="3"/>
  <c r="C1247" i="3"/>
  <c r="C1246" i="3"/>
  <c r="C1245" i="3"/>
  <c r="C1244" i="3"/>
  <c r="C1243" i="3"/>
  <c r="C1242" i="3"/>
  <c r="C1241" i="3"/>
  <c r="C1240" i="3"/>
  <c r="C1239" i="3"/>
  <c r="C1238" i="3"/>
  <c r="C1237" i="3"/>
  <c r="C1236" i="3"/>
  <c r="C1235" i="3"/>
  <c r="C1234" i="3"/>
  <c r="C1233" i="3"/>
  <c r="C1232" i="3"/>
  <c r="C1231" i="3"/>
  <c r="C1230" i="3"/>
  <c r="C1229" i="3"/>
  <c r="C1228" i="3"/>
  <c r="C1227" i="3"/>
  <c r="C1226" i="3"/>
  <c r="C1225" i="3"/>
  <c r="C1224" i="3"/>
  <c r="C1223" i="3"/>
  <c r="C1222" i="3"/>
  <c r="C1221" i="3"/>
  <c r="C1220" i="3"/>
  <c r="C1219" i="3"/>
  <c r="C1218" i="3"/>
  <c r="C1217" i="3"/>
  <c r="C1216" i="3"/>
  <c r="C1215" i="3"/>
  <c r="C1214" i="3"/>
  <c r="C1213" i="3"/>
  <c r="C1212" i="3"/>
  <c r="C1211" i="3"/>
  <c r="C1210" i="3"/>
  <c r="C1209" i="3"/>
  <c r="C1208" i="3"/>
  <c r="C1207" i="3"/>
  <c r="C1206" i="3"/>
  <c r="C1205" i="3"/>
  <c r="C1204" i="3"/>
  <c r="C1203" i="3"/>
  <c r="C1202" i="3"/>
  <c r="C1201" i="3"/>
  <c r="C1200" i="3"/>
  <c r="C1199" i="3"/>
  <c r="C1198" i="3"/>
  <c r="C1197" i="3"/>
  <c r="C1196" i="3"/>
  <c r="C1195" i="3"/>
  <c r="C1194" i="3"/>
  <c r="C1193" i="3"/>
  <c r="C1192" i="3"/>
  <c r="C1191" i="3"/>
  <c r="C1190" i="3"/>
  <c r="C1189" i="3"/>
  <c r="C1188" i="3"/>
  <c r="C1187" i="3"/>
  <c r="C1186" i="3"/>
  <c r="C1185" i="3"/>
  <c r="C1184" i="3"/>
  <c r="C1183" i="3"/>
  <c r="C1182" i="3"/>
  <c r="C1181" i="3"/>
  <c r="C1180" i="3"/>
  <c r="C1179" i="3"/>
  <c r="C1178" i="3"/>
  <c r="C1177" i="3"/>
  <c r="C1176" i="3"/>
  <c r="C1175" i="3"/>
  <c r="C1174" i="3"/>
  <c r="C1173" i="3"/>
  <c r="C1172" i="3"/>
  <c r="C1171" i="3"/>
  <c r="C1170" i="3"/>
  <c r="C1169" i="3"/>
  <c r="C1168" i="3"/>
  <c r="C1167" i="3"/>
  <c r="C1166" i="3"/>
  <c r="C1165" i="3"/>
  <c r="C1164" i="3"/>
  <c r="C1163" i="3"/>
  <c r="C1162" i="3"/>
  <c r="C1161" i="3"/>
  <c r="C1160" i="3"/>
  <c r="C1159" i="3"/>
  <c r="C1158" i="3"/>
  <c r="C1157" i="3"/>
  <c r="C1156" i="3"/>
  <c r="C1155" i="3"/>
  <c r="C1154" i="3"/>
  <c r="C1153" i="3"/>
  <c r="C1152" i="3"/>
  <c r="C1151" i="3"/>
  <c r="C1150" i="3"/>
  <c r="C1149" i="3"/>
  <c r="C1148" i="3"/>
  <c r="C1147" i="3"/>
  <c r="C1146" i="3"/>
  <c r="C1145" i="3"/>
  <c r="C1144" i="3"/>
  <c r="C1143" i="3"/>
  <c r="C1142" i="3"/>
  <c r="C1141" i="3"/>
  <c r="C1140" i="3"/>
  <c r="C1139" i="3"/>
  <c r="C1138" i="3"/>
  <c r="C1137" i="3"/>
  <c r="C1136" i="3"/>
  <c r="C1135" i="3"/>
  <c r="C1134" i="3"/>
  <c r="C1133" i="3"/>
  <c r="C1132" i="3"/>
  <c r="C1131" i="3"/>
  <c r="C1130" i="3"/>
  <c r="C1129" i="3"/>
  <c r="C1128" i="3"/>
  <c r="C1127" i="3"/>
  <c r="C1126" i="3"/>
  <c r="C1125" i="3"/>
  <c r="C1124" i="3"/>
  <c r="C1123" i="3"/>
  <c r="C1122" i="3"/>
  <c r="C1121" i="3"/>
  <c r="C1120" i="3"/>
  <c r="C1119" i="3"/>
  <c r="C1118" i="3"/>
  <c r="C1117" i="3"/>
  <c r="C1116" i="3"/>
  <c r="C1115" i="3"/>
  <c r="C1114" i="3"/>
  <c r="C1113" i="3"/>
  <c r="C1112" i="3"/>
  <c r="C1111" i="3"/>
  <c r="C1110" i="3"/>
  <c r="C1109" i="3"/>
  <c r="C1108" i="3"/>
  <c r="C1107" i="3"/>
  <c r="C1106" i="3"/>
  <c r="C1105" i="3"/>
  <c r="C1104" i="3"/>
  <c r="C1103" i="3"/>
  <c r="C1102" i="3"/>
  <c r="C1101" i="3"/>
  <c r="C1100" i="3"/>
  <c r="C1099" i="3"/>
  <c r="C1098" i="3"/>
  <c r="C1097" i="3"/>
  <c r="C1096" i="3"/>
  <c r="C1095" i="3"/>
  <c r="C1094" i="3"/>
  <c r="C1093" i="3"/>
  <c r="C1092" i="3"/>
  <c r="C1091" i="3"/>
  <c r="C1090" i="3"/>
  <c r="C1089" i="3"/>
  <c r="C1088" i="3"/>
  <c r="C1087" i="3"/>
  <c r="C1086" i="3"/>
  <c r="C1085" i="3"/>
  <c r="C1084" i="3"/>
  <c r="C1083" i="3"/>
  <c r="C1082" i="3"/>
  <c r="C1081" i="3"/>
  <c r="C1080" i="3"/>
  <c r="C1079" i="3"/>
  <c r="C1078" i="3"/>
  <c r="C1077" i="3"/>
  <c r="C1076" i="3"/>
  <c r="C1075" i="3"/>
  <c r="C1074" i="3"/>
  <c r="C1073" i="3"/>
  <c r="C1072" i="3"/>
  <c r="C1071" i="3"/>
  <c r="C1070" i="3"/>
  <c r="C1069" i="3"/>
  <c r="C1068" i="3"/>
  <c r="C1067" i="3"/>
  <c r="C1066" i="3"/>
  <c r="C1065" i="3"/>
  <c r="C1064" i="3"/>
  <c r="C1063" i="3"/>
  <c r="C1062" i="3"/>
  <c r="C1061" i="3"/>
  <c r="C1060" i="3"/>
  <c r="C1059" i="3"/>
  <c r="C1058" i="3"/>
  <c r="C1057" i="3"/>
  <c r="C1056" i="3"/>
  <c r="C1055" i="3"/>
  <c r="C1054" i="3"/>
  <c r="C1053" i="3"/>
  <c r="C1052" i="3"/>
  <c r="C1051" i="3"/>
  <c r="C1050" i="3"/>
  <c r="C1049" i="3"/>
  <c r="C1048" i="3"/>
  <c r="C1047" i="3"/>
  <c r="C1046" i="3"/>
  <c r="C1045" i="3"/>
  <c r="C1044" i="3"/>
  <c r="C1043" i="3"/>
  <c r="C1042" i="3"/>
  <c r="C1041" i="3"/>
  <c r="C1040" i="3"/>
  <c r="C1039" i="3"/>
  <c r="C1038" i="3"/>
  <c r="C1037" i="3"/>
  <c r="C1036" i="3"/>
  <c r="C1035" i="3"/>
  <c r="C1034" i="3"/>
  <c r="C1033" i="3"/>
  <c r="C1032" i="3"/>
  <c r="C1031" i="3"/>
  <c r="C1030" i="3"/>
  <c r="C1029" i="3"/>
  <c r="C1028" i="3"/>
  <c r="C1027" i="3"/>
  <c r="C1026" i="3"/>
  <c r="C1025" i="3"/>
  <c r="C1024" i="3"/>
  <c r="C1023" i="3"/>
  <c r="C1022" i="3"/>
  <c r="C1021" i="3"/>
  <c r="C1020" i="3"/>
  <c r="C1019" i="3"/>
  <c r="C1018" i="3"/>
  <c r="C1017" i="3"/>
  <c r="C1016" i="3"/>
  <c r="C1015" i="3"/>
  <c r="C1014" i="3"/>
  <c r="C1013" i="3"/>
  <c r="C1012" i="3"/>
  <c r="C1011" i="3"/>
  <c r="C1010" i="3"/>
  <c r="C1009" i="3"/>
  <c r="C1008" i="3"/>
  <c r="C1007" i="3"/>
  <c r="C1006" i="3"/>
  <c r="C1005" i="3"/>
  <c r="C1004" i="3"/>
  <c r="C1003" i="3"/>
  <c r="C1002" i="3"/>
  <c r="C1001" i="3"/>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P2" i="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L8" i="1"/>
  <c r="L6" i="1"/>
  <c r="P3" i="1" l="1"/>
  <c r="P4" i="1"/>
  <c r="L4" i="1"/>
  <c r="L2" i="1"/>
  <c r="E4" i="1"/>
  <c r="E3" i="1"/>
  <c r="E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81BD7F-1119-407D-B5AD-EBA9F45C77DB}"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<sst xmlns="http://schemas.openxmlformats.org/spreadsheetml/2006/main" count="14834" uniqueCount="100">
  <si>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</si>
  <si>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</si>
  <si>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</si>
  <si>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</si>
  <si>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</si>
  <si>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</si>
  <si>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</si>
  <si>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</si>
  <si>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</si>
  <si>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</si>
  <si>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</si>
  <si>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</si>
  <si>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</si>
  <si>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</si>
  <si>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</si>
  <si>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</si>
  <si>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</si>
  <si>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</si>
  <si>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</si>
  <si>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</si>
  <si>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</si>
  <si>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</si>
  <si>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</si>
  <si>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</si>
  <si>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</si>
  <si>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</si>
  <si>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</si>
  <si>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</si>
  <si>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</si>
  <si>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</si>
  <si>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</si>
  <si>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</si>
  <si>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</si>
  <si>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</si>
  <si>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</si>
  <si>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</si>
  <si>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</si>
  <si>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</si>
  <si>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</si>
  <si>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</si>
  <si>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</si>
  <si>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</si>
  <si>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</si>
  <si>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</si>
  <si>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</si>
  <si>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</si>
  <si>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</si>
  <si>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</si>
  <si>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</si>
  <si>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</si>
  <si>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</si>
  <si>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</si>
  <si>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</si>
  <si>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</si>
  <si>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</si>
  <si>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</si>
  <si>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</si>
  <si>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</si>
  <si>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</si>
  <si>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</si>
  <si>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</si>
  <si>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</si>
  <si>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Overall Attrition Rate At Adecco India</t>
  </si>
  <si>
    <t>No. of emoloyees who left the company</t>
  </si>
  <si>
    <t>Total no of employees</t>
  </si>
  <si>
    <t xml:space="preserve">Attrition Rate </t>
  </si>
  <si>
    <t>Grand Total</t>
  </si>
  <si>
    <t>Count of Attrition</t>
  </si>
  <si>
    <t>Highest attrition rate by dept.</t>
  </si>
  <si>
    <t>Average age of employees who left the company</t>
  </si>
  <si>
    <t>Average of JobSatisfaction</t>
  </si>
  <si>
    <t>Average of Job Satisfaction by Job role</t>
  </si>
  <si>
    <t>Attrition rate by Gender</t>
  </si>
  <si>
    <t>Average monthly income of employees who left the company</t>
  </si>
  <si>
    <t>SCATTER PLOT</t>
  </si>
  <si>
    <t>Sum of EmployeeCount</t>
  </si>
  <si>
    <t>Overtime working employees</t>
  </si>
  <si>
    <t>Average years of working at Adecco</t>
  </si>
  <si>
    <t>attrition_num</t>
  </si>
  <si>
    <t>CORRELATION</t>
  </si>
  <si>
    <t>AGE</t>
  </si>
  <si>
    <t>MONTHLY INCOME</t>
  </si>
  <si>
    <t>YEARS AT COMPANY</t>
  </si>
  <si>
    <t>Job involvement</t>
  </si>
  <si>
    <t>Job Role</t>
  </si>
  <si>
    <t>Performance Rating</t>
  </si>
  <si>
    <t>Attrition rate by job involvement</t>
  </si>
  <si>
    <t>Distribution of performance rating</t>
  </si>
  <si>
    <t>Marital status</t>
  </si>
  <si>
    <t>Attrition rate</t>
  </si>
  <si>
    <t>Attrition rate by marital status</t>
  </si>
  <si>
    <t>Sum of TrainingTimesLastYear</t>
  </si>
  <si>
    <t>Impact of training on Attrition</t>
  </si>
  <si>
    <t>Sum of StockOptionLevel</t>
  </si>
  <si>
    <t>Effect of stock option on Attrition</t>
  </si>
  <si>
    <t>Business Travel</t>
  </si>
  <si>
    <t>HISTOGRAM CHART</t>
  </si>
  <si>
    <t>Attrition Rate</t>
  </si>
  <si>
    <t>Education field</t>
  </si>
  <si>
    <t>Employees by Education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</si>
</sst>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color theme="1"/>
      <name val="Calibri"/>
      <family val="2"/>
      <scheme val="minor"/>
    </font>
    <font>
      <sz val="11"/>
      <color rgb="FF000000"/>
      <name val="Arial"/>
      <family val="2"/>
    </font>
    <font>
      <b/>
      <sz val="11"/>
      <color theme="1" tint="4.9989318521683403E-2"/>
      <name val="Calibri"/>
      <family val="2"/>
      <scheme val="minor"/>
    </font>
    <font>
      <b/>
      <sz val="12"/>
      <color theme="1" tint="4.9989318521683403E-2"/>
      <name val="Calibri"/>
      <family val="2"/>
      <scheme val="minor"/>
    </font>
    <font>
      <b/>
      <sz val="12"/>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6"/>
        <bgColor indexed="64"/>
      </patternFill>
    </fill>
    <fill>
      <patternFill patternType="solid">
        <fgColor theme="0"/>
        <bgColor indexed="64"/>
      </patternFill>
    </fill>
    <fill>
      <patternFill patternType="solid">
        <fgColor theme="2" tint="-0.249977111117893"/>
        <bgColor indexed="64"/>
      </patternFill>
    </fill>
  </fills>
  <borders count="2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2" tint="-0.249977111117893"/>
      </bottom>
      <diagonal/>
    </border>
    <border>
      <left/>
      <right style="thin">
        <color theme="2" tint="-0.249977111117893"/>
      </right>
      <top/>
      <bottom/>
      <diagonal/>
    </border>
    <border>
      <left/>
      <right/>
      <top/>
      <bottom style="thin">
        <color theme="3" tint="0.79998168889431442"/>
      </bottom>
      <diagonal/>
    </border>
    <border>
      <left style="thin">
        <color theme="2" tint="-0.249977111117893"/>
      </left>
      <right style="thin">
        <color theme="3" tint="0.79998168889431442"/>
      </right>
      <top style="thin">
        <color theme="3" tint="0.79998168889431442"/>
      </top>
      <bottom style="thin">
        <color theme="3" tint="0.79998168889431442"/>
      </bottom>
      <diagonal/>
    </border>
    <border>
      <left/>
      <right style="thin">
        <color theme="3" tint="0.79998168889431442"/>
      </right>
      <top/>
      <bottom style="thin">
        <color theme="3" tint="0.79998168889431442"/>
      </bottom>
      <diagonal/>
    </border>
    <border>
      <left style="thin">
        <color theme="3" tint="0.79998168889431442"/>
      </left>
      <right style="thin">
        <color theme="3" tint="0.79998168889431442"/>
      </right>
      <top style="thin">
        <color theme="3" tint="0.79998168889431442"/>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2">
    <xf numFmtId="0" fontId="0" fillId="0" borderId="0"/>
    <xf numFmtId="9" fontId="6" fillId="0" borderId="0" applyFont="0" applyFill="0" applyBorder="0" applyAlignment="0" applyProtection="0"/>
  </cellStyleXfs>
  <cellXfs count="43">
    <xf numFmtId="0" fontId="0" fillId="0" borderId="0" xfId="0"/>
    <xf numFmtId="0" fontId="2" fillId="0" borderId="0" xfId="0" applyFont="1"/>
    <xf numFmtId="0" fontId="0" fillId="0" borderId="0" xfId="0" applyAlignment="1">
      <alignment horizontal="center"/>
    </xf>
    <xf numFmtId="0" fontId="0" fillId="0" borderId="0" xfId="0" pivotButton="1"/>
    <xf numFmtId="0" fontId="0" fillId="0" borderId="0" xfId="0" applyAlignment="1">
      <alignment horizontal="left"/>
    </xf>
    <xf numFmtId="0" fontId="3" fillId="2" borderId="0" xfId="0" applyFont="1" applyFill="1" applyAlignment="1">
      <alignment horizontal="center"/>
    </xf>
    <xf numFmtId="164" fontId="0" fillId="0" borderId="0" xfId="0" applyNumberFormat="1"/>
    <xf numFmtId="10" fontId="0" fillId="0" borderId="0" xfId="0" applyNumberFormat="1"/>
    <xf numFmtId="0" fontId="1" fillId="2" borderId="7" xfId="0" applyFont="1" applyFill="1" applyBorder="1"/>
    <xf numFmtId="0" fontId="0" fillId="0" borderId="1" xfId="0" applyBorder="1"/>
    <xf numFmtId="0" fontId="0" fillId="0" borderId="3" xfId="0" applyBorder="1"/>
    <xf numFmtId="0" fontId="5" fillId="2" borderId="0" xfId="0" applyFont="1" applyFill="1" applyAlignment="1">
      <alignment horizontal="center"/>
    </xf>
    <xf numFmtId="0" fontId="0" fillId="0" borderId="5" xfId="0" applyBorder="1" applyAlignment="1">
      <alignment horizontal="center"/>
    </xf>
    <xf numFmtId="0" fontId="0" fillId="0" borderId="6" xfId="0" applyBorder="1" applyAlignment="1">
      <alignment horizontal="center"/>
    </xf>
    <xf numFmtId="0" fontId="5" fillId="2" borderId="5" xfId="0" applyFont="1" applyFill="1" applyBorder="1" applyAlignment="1">
      <alignment horizontal="center"/>
    </xf>
    <xf numFmtId="0" fontId="5" fillId="2" borderId="7" xfId="0" applyFont="1" applyFill="1" applyBorder="1" applyAlignment="1">
      <alignment horizontal="center"/>
    </xf>
    <xf numFmtId="0" fontId="3" fillId="2" borderId="0" xfId="0" applyFont="1" applyFill="1" applyAlignment="1">
      <alignment horizontal="center"/>
    </xf>
    <xf numFmtId="0" fontId="1" fillId="2" borderId="0" xfId="0" applyFont="1" applyFill="1" applyAlignment="1">
      <alignment horizontal="center"/>
    </xf>
    <xf numFmtId="0" fontId="0" fillId="0" borderId="8" xfId="0" applyBorder="1"/>
    <xf numFmtId="0" fontId="1" fillId="2" borderId="0" xfId="0" applyFont="1" applyFill="1" applyBorder="1" applyAlignment="1">
      <alignment horizontal="center"/>
    </xf>
    <xf numFmtId="0" fontId="1" fillId="2" borderId="9" xfId="0" applyFont="1" applyFill="1" applyBorder="1" applyAlignment="1">
      <alignment horizontal="center"/>
    </xf>
    <xf numFmtId="0" fontId="0" fillId="0" borderId="10" xfId="0" applyBorder="1"/>
    <xf numFmtId="0" fontId="1" fillId="3" borderId="11" xfId="0" applyFont="1" applyFill="1" applyBorder="1" applyAlignment="1">
      <alignment horizontal="center"/>
    </xf>
    <xf numFmtId="0" fontId="0" fillId="0" borderId="12" xfId="0" applyBorder="1"/>
    <xf numFmtId="0" fontId="0" fillId="0" borderId="0" xfId="0" applyNumberFormat="1"/>
    <xf numFmtId="0" fontId="0" fillId="4" borderId="0" xfId="0" applyFill="1" applyAlignment="1">
      <alignment horizontal="center"/>
    </xf>
    <xf numFmtId="0" fontId="1" fillId="4" borderId="0" xfId="0" applyFont="1" applyFill="1" applyAlignment="1">
      <alignment horizontal="center"/>
    </xf>
    <xf numFmtId="0" fontId="0" fillId="0" borderId="13" xfId="0" applyBorder="1"/>
    <xf numFmtId="0" fontId="0" fillId="0" borderId="0" xfId="0" applyBorder="1" applyAlignment="1">
      <alignment horizontal="center"/>
    </xf>
    <xf numFmtId="0" fontId="4" fillId="2" borderId="14" xfId="0" applyFont="1" applyFill="1" applyBorder="1" applyAlignment="1">
      <alignment horizontal="center"/>
    </xf>
    <xf numFmtId="0" fontId="4" fillId="2" borderId="15" xfId="0" applyFont="1" applyFill="1" applyBorder="1" applyAlignment="1">
      <alignment horizontal="center"/>
    </xf>
    <xf numFmtId="0" fontId="4" fillId="2" borderId="16" xfId="0" applyFont="1" applyFill="1" applyBorder="1" applyAlignment="1">
      <alignment horizontal="center"/>
    </xf>
    <xf numFmtId="0" fontId="0" fillId="0" borderId="17" xfId="0" applyBorder="1" applyAlignment="1">
      <alignment horizontal="center"/>
    </xf>
    <xf numFmtId="0" fontId="0" fillId="0" borderId="18" xfId="0" applyBorder="1"/>
    <xf numFmtId="0" fontId="0" fillId="0" borderId="19" xfId="0" applyBorder="1" applyAlignment="1">
      <alignment horizontal="center"/>
    </xf>
    <xf numFmtId="0" fontId="0" fillId="0" borderId="20" xfId="0" applyBorder="1" applyAlignment="1">
      <alignment horizontal="center"/>
    </xf>
    <xf numFmtId="9" fontId="0" fillId="0" borderId="21" xfId="1" applyFont="1" applyBorder="1"/>
    <xf numFmtId="9" fontId="0" fillId="0" borderId="0" xfId="1" applyFont="1"/>
    <xf numFmtId="2" fontId="1" fillId="2" borderId="7" xfId="0" applyNumberFormat="1" applyFont="1" applyFill="1" applyBorder="1"/>
    <xf numFmtId="1" fontId="1" fillId="2" borderId="7" xfId="0" applyNumberFormat="1" applyFont="1" applyFill="1" applyBorder="1"/>
    <xf numFmtId="2" fontId="0" fillId="2" borderId="2" xfId="0" applyNumberFormat="1" applyFill="1" applyBorder="1"/>
    <xf numFmtId="2" fontId="0" fillId="2" borderId="4" xfId="0" applyNumberFormat="1" applyFill="1" applyBorder="1"/>
    <xf numFmtId="2" fontId="0" fillId="0" borderId="0" xfId="0" applyNumberFormat="1"/>
  </cellXfs>
  <cellStyles count="2">
    <cellStyle name="Normal" xfId="0" builtinId="0"/>
    <cellStyle name="Percent" xfId="1" builtinId="5"/>
  </cellStyles>
  <dxfs count="46">
    <dxf>
      <numFmt numFmtId="164" formatCode="0.000"/>
    </dxf>
    <dxf>
      <numFmt numFmtId="164" formatCode="0.000"/>
    </dxf>
    <dxf>
      <numFmt numFmtId="164" formatCode="0.000"/>
    </dxf>
    <dxf>
      <numFmt numFmtId="2" formatCode="0.00"/>
    </dxf>
    <dxf>
      <numFmt numFmtId="164" formatCode="0.000"/>
    </dxf>
    <dxf>
      <numFmt numFmtId="164" formatCode="0.000"/>
    </dxf>
    <dxf>
      <numFmt numFmtId="164" formatCode="0.000"/>
    </dxf>
    <dxf>
      <numFmt numFmtId="2" formatCode="0.00"/>
    </dxf>
    <dxf>
      <numFmt numFmtId="164" formatCode="0.000"/>
    </dxf>
    <dxf>
      <numFmt numFmtId="164" formatCode="0.000"/>
    </dxf>
    <dxf>
      <numFmt numFmtId="164" formatCode="0.000"/>
    </dxf>
    <dxf>
      <numFmt numFmtId="2" formatCode="0.00"/>
    </dxf>
    <dxf>
      <numFmt numFmtId="164" formatCode="0.000"/>
    </dxf>
    <dxf>
      <numFmt numFmtId="164" formatCode="0.000"/>
    </dxf>
    <dxf>
      <numFmt numFmtId="164" formatCode="0.000"/>
    </dxf>
    <dxf>
      <numFmt numFmtId="2" formatCode="0.00"/>
    </dxf>
    <dxf>
      <numFmt numFmtId="164" formatCode="0.000"/>
    </dxf>
    <dxf>
      <numFmt numFmtId="164" formatCode="0.000"/>
    </dxf>
    <dxf>
      <numFmt numFmtId="164" formatCode="0.000"/>
    </dxf>
    <dxf>
      <numFmt numFmtId="2" formatCode="0.00"/>
    </dxf>
    <dxf>
      <numFmt numFmtId="164" formatCode="0.000"/>
    </dxf>
    <dxf>
      <numFmt numFmtId="164" formatCode="0.000"/>
    </dxf>
    <dxf>
      <numFmt numFmtId="164" formatCode="0.000"/>
    </dxf>
    <dxf>
      <numFmt numFmtId="2" formatCode="0.00"/>
    </dxf>
    <dxf>
      <numFmt numFmtId="164" formatCode="0.000"/>
    </dxf>
    <dxf>
      <numFmt numFmtId="164" formatCode="0.000"/>
    </dxf>
    <dxf>
      <numFmt numFmtId="164" formatCode="0.000"/>
    </dxf>
    <dxf>
      <numFmt numFmtId="2" formatCode="0.00"/>
    </dxf>
    <dxf>
      <numFmt numFmtId="164" formatCode="0.000"/>
    </dxf>
    <dxf>
      <numFmt numFmtId="164" formatCode="0.000"/>
    </dxf>
    <dxf>
      <numFmt numFmtId="164" formatCode="0.000"/>
    </dxf>
    <dxf>
      <numFmt numFmtId="2" formatCode="0.00"/>
    </dxf>
    <dxf>
      <numFmt numFmtId="2" formatCode="0.00"/>
    </dxf>
    <dxf>
      <numFmt numFmtId="164" formatCode="0.000"/>
    </dxf>
    <dxf>
      <numFmt numFmtId="164" formatCode="0.000"/>
    </dxf>
    <dxf>
      <numFmt numFmtId="164" formatCode="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Relation</a:t>
            </a:r>
            <a:r>
              <a:rPr lang="en-US" b="1" baseline="0">
                <a:solidFill>
                  <a:schemeClr val="tx1"/>
                </a:solidFill>
              </a:rPr>
              <a:t> between Employee and Job Satisfaction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'practice work'!$G$1</c:f>
              <c:strCache>
                <c:ptCount val="1"/>
                <c:pt idx="0">
                  <c:v>JobSatisfaction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'practice work'!$F$2:$F$1471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'practice work'!$G$2:$G$1471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61C6-4C33-818D-C882F954F369}"/>
            </c:ext>
          </c:extLst>
        </c:ser>
        <c:dLbls>
          <c:showLegendKey val="0"/>
          <c:showVal val="0"/>
          <c:showCatName val="0"/>
          <c:showSerName val="0"/>
          <c:showPercent val="0"/>
          <c:showBubbleSize val="0"/>
        </c:dLbls>
        <c:axId val="375658463"/>
        <c:axId val="375658943"/>
      </c:scatterChart>
      <c:valAx>
        <c:axId val="375658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AGE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58943"/>
        <c:crosses val="autoZero"/>
        <c:crossBetween val="midCat"/>
      </c:valAx>
      <c:valAx>
        <c:axId val="375658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JOB</a:t>
                </a:r>
                <a:r>
                  <a:rPr lang="en-IN" b="1" baseline="0">
                    <a:solidFill>
                      <a:schemeClr val="tx1"/>
                    </a:solidFill>
                  </a:rPr>
                  <a:t> SATISFACTION</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584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Worklife</a:t>
            </a:r>
            <a:r>
              <a:rPr lang="en-US" b="1" baseline="0">
                <a:solidFill>
                  <a:schemeClr val="tx1"/>
                </a:solidFill>
              </a:rPr>
              <a:t> balance affecting </a:t>
            </a:r>
            <a:r>
              <a:rPr lang="en-US" b="1">
                <a:solidFill>
                  <a:schemeClr val="tx1"/>
                </a:solidFill>
              </a:rPr>
              <a:t>PerformanceRating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'practice work'!$K$1</c:f>
              <c:strCache>
                <c:ptCount val="1"/>
                <c:pt idx="0">
                  <c:v>PerformanceRating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'practice work'!$J$2:$J$1471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'practice work'!$K$2:$K$1471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0073-4FCC-8ACE-11ED9DC9C004}"/>
            </c:ext>
          </c:extLst>
        </c:ser>
        <c:dLbls>
          <c:showLegendKey val="0"/>
          <c:showVal val="0"/>
          <c:showCatName val="0"/>
          <c:showSerName val="0"/>
          <c:showPercent val="0"/>
          <c:showBubbleSize val="0"/>
        </c:dLbls>
        <c:axId val="311393711"/>
        <c:axId val="776954831"/>
      </c:scatterChart>
      <c:valAx>
        <c:axId val="3113937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WORKLIFE</a:t>
                </a:r>
                <a:r>
                  <a:rPr lang="en-IN" b="1" baseline="0">
                    <a:solidFill>
                      <a:schemeClr val="tx1"/>
                    </a:solidFill>
                  </a:rPr>
                  <a:t> BALANCE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954831"/>
        <c:crosses val="autoZero"/>
        <c:crossBetween val="midCat"/>
      </c:valAx>
      <c:valAx>
        <c:axId val="77695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PERFORMANCE</a:t>
                </a:r>
                <a:r>
                  <a:rPr lang="en-IN" b="1" baseline="0">
                    <a:solidFill>
                      <a:schemeClr val="tx1"/>
                    </a:solidFill>
                  </a:rPr>
                  <a:t> RATING</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937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Employee</a:t>
            </a:r>
            <a:r>
              <a:rPr lang="en-US" b="1" baseline="0">
                <a:solidFill>
                  <a:schemeClr val="tx1"/>
                </a:solidFill>
              </a:rPr>
              <a:t> Tenure relation to Job Satisfaction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'practice work'!$O$1</c:f>
              <c:strCache>
                <c:ptCount val="1"/>
                <c:pt idx="0">
                  <c:v>JobSatisfaction</c:v>
                </c:pt>
              </c:strCache>
            </c:strRef>
          </c:tx>
          <c:spPr>
            <a:ln w="19050" cap="rnd">
              <a:noFill/>
              <a:round/>
            </a:ln>
            <a:effectLst/>
          </c:spPr>
          <c:marker>
            <c:symbol val="circle"/>
            <c:size val="5"/>
            <c:spPr>
              <a:solidFill>
                <a:schemeClr val="accent1"/>
              </a:solidFill>
              <a:ln w="9525">
                <a:solidFill>
                  <a:schemeClr val="accent1"/>
                </a:solidFill>
              </a:ln>
              <a:effectLst/>
            </c:spPr>
          </c:marker>
          <c:xVal>
            <c:numRef>
              <c:f>'practice work'!$N$2:$N$1471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xVal>
          <c:yVal>
            <c:numRef>
              <c:f>'practice work'!$O$2:$O$1471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700F-42A1-AB08-20D7D0B2831C}"/>
            </c:ext>
          </c:extLst>
        </c:ser>
        <c:dLbls>
          <c:showLegendKey val="0"/>
          <c:showVal val="0"/>
          <c:showCatName val="0"/>
          <c:showSerName val="0"/>
          <c:showPercent val="0"/>
          <c:showBubbleSize val="0"/>
        </c:dLbls>
        <c:axId val="109939487"/>
        <c:axId val="109938047"/>
      </c:scatterChart>
      <c:valAx>
        <c:axId val="109939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Years</a:t>
                </a:r>
                <a:r>
                  <a:rPr lang="en-IN" b="1" baseline="0">
                    <a:solidFill>
                      <a:schemeClr val="tx1"/>
                    </a:solidFill>
                  </a:rPr>
                  <a:t> at company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8047"/>
        <c:crosses val="autoZero"/>
        <c:crossBetween val="midCat"/>
      </c:valAx>
      <c:valAx>
        <c:axId val="109938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Job</a:t>
                </a:r>
                <a:r>
                  <a:rPr lang="en-IN" b="1" baseline="0">
                    <a:solidFill>
                      <a:schemeClr val="tx1"/>
                    </a:solidFill>
                  </a:rPr>
                  <a:t> Satisfaction</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394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Promotion affecting Employee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'practice work'!$R$1</c:f>
              <c:strCache>
                <c:ptCount val="1"/>
                <c:pt idx="0">
                  <c:v>PerformanceRating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'practice work'!$Q$2:$Q$1471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xVal>
          <c:yVal>
            <c:numRef>
              <c:f>'practice work'!$R$2:$R$1471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1-4161-4290-9805-6C29EA5BACFA}"/>
            </c:ext>
          </c:extLst>
        </c:ser>
        <c:dLbls>
          <c:showLegendKey val="0"/>
          <c:showVal val="0"/>
          <c:showCatName val="0"/>
          <c:showSerName val="0"/>
          <c:showPercent val="0"/>
          <c:showBubbleSize val="0"/>
        </c:dLbls>
        <c:axId val="1375128847"/>
        <c:axId val="1375130767"/>
      </c:scatterChart>
      <c:valAx>
        <c:axId val="1375128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Years</a:t>
                </a:r>
                <a:r>
                  <a:rPr lang="en-IN" b="1" baseline="0">
                    <a:solidFill>
                      <a:schemeClr val="tx1"/>
                    </a:solidFill>
                  </a:rPr>
                  <a:t> since last promotion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30767"/>
        <c:crosses val="autoZero"/>
        <c:crossBetween val="midCat"/>
      </c:valAx>
      <c:valAx>
        <c:axId val="1375130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Performance</a:t>
                </a:r>
                <a:r>
                  <a:rPr lang="en-IN" b="1" baseline="0">
                    <a:solidFill>
                      <a:schemeClr val="tx1"/>
                    </a:solidFill>
                  </a:rPr>
                  <a:t> Rating</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128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70" baseline="0">
                <a:solidFill>
                  <a:schemeClr val="tx1"/>
                </a:solidFill>
                <a:latin typeface="+mn-lt"/>
                <a:ea typeface="+mn-ea"/>
                <a:cs typeface="+mn-cs"/>
              </a:defRPr>
            </a:pPr>
            <a:r>
              <a:rPr lang="en-US" b="1">
                <a:solidFill>
                  <a:schemeClr val="tx1"/>
                </a:solidFill>
              </a:rPr>
              <a:t>IMPACT</a:t>
            </a:r>
            <a:r>
              <a:rPr lang="en-US" b="1" baseline="0">
                <a:solidFill>
                  <a:schemeClr val="tx1"/>
                </a:solidFill>
              </a:rPr>
              <a:t> OF DISTANCE ON ATTRITION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7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'practice work'!$C$1</c:f>
              <c:strCache>
                <c:ptCount val="1"/>
                <c:pt idx="0">
                  <c:v>attrition_num</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'practice work'!$B$2:$B$1471</c:f>
              <c:numCache>
                <c:formatCode>General</c:formatCode>
                <c:ptCount val="1470"/>
                <c:pt idx="0">
                  <c:v>1</c:v>
                </c:pt>
                <c:pt idx="1">
                  <c:v>8</c:v>
                </c:pt>
                <c:pt idx="2">
                  <c:v>2</c:v>
                </c:pt>
                <c:pt idx="3">
                  <c:v>3</c:v>
                </c:pt>
                <c:pt idx="4">
                  <c:v>2</c:v>
                </c:pt>
                <c:pt idx="5">
                  <c:v>2</c:v>
                </c:pt>
                <c:pt idx="6">
                  <c:v>3</c:v>
                </c:pt>
                <c:pt idx="7">
                  <c:v>24</c:v>
                </c:pt>
                <c:pt idx="8">
                  <c:v>23</c:v>
                </c:pt>
                <c:pt idx="9">
                  <c:v>27</c:v>
                </c:pt>
                <c:pt idx="10">
                  <c:v>16</c:v>
                </c:pt>
                <c:pt idx="11">
                  <c:v>15</c:v>
                </c:pt>
                <c:pt idx="12">
                  <c:v>26</c:v>
                </c:pt>
                <c:pt idx="13">
                  <c:v>19</c:v>
                </c:pt>
                <c:pt idx="14">
                  <c:v>24</c:v>
                </c:pt>
                <c:pt idx="15">
                  <c:v>21</c:v>
                </c:pt>
                <c:pt idx="16">
                  <c:v>5</c:v>
                </c:pt>
                <c:pt idx="17">
                  <c:v>16</c:v>
                </c:pt>
                <c:pt idx="18">
                  <c:v>2</c:v>
                </c:pt>
                <c:pt idx="19">
                  <c:v>2</c:v>
                </c:pt>
                <c:pt idx="20">
                  <c:v>11</c:v>
                </c:pt>
                <c:pt idx="21">
                  <c:v>9</c:v>
                </c:pt>
                <c:pt idx="22">
                  <c:v>7</c:v>
                </c:pt>
                <c:pt idx="23">
                  <c:v>15</c:v>
                </c:pt>
                <c:pt idx="24">
                  <c:v>6</c:v>
                </c:pt>
                <c:pt idx="25">
                  <c:v>5</c:v>
                </c:pt>
                <c:pt idx="26">
                  <c:v>16</c:v>
                </c:pt>
                <c:pt idx="27">
                  <c:v>8</c:v>
                </c:pt>
                <c:pt idx="28">
                  <c:v>7</c:v>
                </c:pt>
                <c:pt idx="29">
                  <c:v>2</c:v>
                </c:pt>
                <c:pt idx="30">
                  <c:v>2</c:v>
                </c:pt>
                <c:pt idx="31">
                  <c:v>10</c:v>
                </c:pt>
                <c:pt idx="32">
                  <c:v>9</c:v>
                </c:pt>
                <c:pt idx="33">
                  <c:v>5</c:v>
                </c:pt>
                <c:pt idx="34">
                  <c:v>1</c:v>
                </c:pt>
                <c:pt idx="35">
                  <c:v>2</c:v>
                </c:pt>
                <c:pt idx="36">
                  <c:v>3</c:v>
                </c:pt>
                <c:pt idx="37">
                  <c:v>2</c:v>
                </c:pt>
                <c:pt idx="38">
                  <c:v>5</c:v>
                </c:pt>
                <c:pt idx="39">
                  <c:v>1</c:v>
                </c:pt>
                <c:pt idx="40">
                  <c:v>4</c:v>
                </c:pt>
                <c:pt idx="41">
                  <c:v>2</c:v>
                </c:pt>
                <c:pt idx="42">
                  <c:v>25</c:v>
                </c:pt>
                <c:pt idx="43">
                  <c:v>8</c:v>
                </c:pt>
                <c:pt idx="44">
                  <c:v>1</c:v>
                </c:pt>
                <c:pt idx="45">
                  <c:v>12</c:v>
                </c:pt>
                <c:pt idx="46">
                  <c:v>23</c:v>
                </c:pt>
                <c:pt idx="47">
                  <c:v>19</c:v>
                </c:pt>
                <c:pt idx="48">
                  <c:v>5</c:v>
                </c:pt>
                <c:pt idx="49">
                  <c:v>8</c:v>
                </c:pt>
                <c:pt idx="50">
                  <c:v>1</c:v>
                </c:pt>
                <c:pt idx="51">
                  <c:v>5</c:v>
                </c:pt>
                <c:pt idx="52">
                  <c:v>1</c:v>
                </c:pt>
                <c:pt idx="53">
                  <c:v>11</c:v>
                </c:pt>
                <c:pt idx="54">
                  <c:v>23</c:v>
                </c:pt>
                <c:pt idx="55">
                  <c:v>1</c:v>
                </c:pt>
                <c:pt idx="56">
                  <c:v>18</c:v>
                </c:pt>
                <c:pt idx="57">
                  <c:v>23</c:v>
                </c:pt>
                <c:pt idx="58">
                  <c:v>7</c:v>
                </c:pt>
                <c:pt idx="59">
                  <c:v>1</c:v>
                </c:pt>
                <c:pt idx="60">
                  <c:v>1</c:v>
                </c:pt>
                <c:pt idx="61">
                  <c:v>29</c:v>
                </c:pt>
                <c:pt idx="62">
                  <c:v>7</c:v>
                </c:pt>
                <c:pt idx="63">
                  <c:v>25</c:v>
                </c:pt>
                <c:pt idx="64">
                  <c:v>8</c:v>
                </c:pt>
                <c:pt idx="65">
                  <c:v>8</c:v>
                </c:pt>
                <c:pt idx="66">
                  <c:v>11</c:v>
                </c:pt>
                <c:pt idx="67">
                  <c:v>7</c:v>
                </c:pt>
                <c:pt idx="68">
                  <c:v>1</c:v>
                </c:pt>
                <c:pt idx="69">
                  <c:v>9</c:v>
                </c:pt>
                <c:pt idx="70">
                  <c:v>1</c:v>
                </c:pt>
                <c:pt idx="71">
                  <c:v>2</c:v>
                </c:pt>
                <c:pt idx="72">
                  <c:v>1</c:v>
                </c:pt>
                <c:pt idx="73">
                  <c:v>1</c:v>
                </c:pt>
                <c:pt idx="74">
                  <c:v>6</c:v>
                </c:pt>
                <c:pt idx="75">
                  <c:v>8</c:v>
                </c:pt>
                <c:pt idx="76">
                  <c:v>1</c:v>
                </c:pt>
                <c:pt idx="77">
                  <c:v>6</c:v>
                </c:pt>
                <c:pt idx="78">
                  <c:v>7</c:v>
                </c:pt>
                <c:pt idx="79">
                  <c:v>5</c:v>
                </c:pt>
                <c:pt idx="80">
                  <c:v>1</c:v>
                </c:pt>
                <c:pt idx="81">
                  <c:v>1</c:v>
                </c:pt>
                <c:pt idx="82">
                  <c:v>1</c:v>
                </c:pt>
                <c:pt idx="83">
                  <c:v>6</c:v>
                </c:pt>
                <c:pt idx="84">
                  <c:v>1</c:v>
                </c:pt>
                <c:pt idx="85">
                  <c:v>7</c:v>
                </c:pt>
                <c:pt idx="86">
                  <c:v>2</c:v>
                </c:pt>
                <c:pt idx="87">
                  <c:v>9</c:v>
                </c:pt>
                <c:pt idx="88">
                  <c:v>2</c:v>
                </c:pt>
                <c:pt idx="89">
                  <c:v>9</c:v>
                </c:pt>
                <c:pt idx="90">
                  <c:v>1</c:v>
                </c:pt>
                <c:pt idx="91">
                  <c:v>21</c:v>
                </c:pt>
                <c:pt idx="92">
                  <c:v>4</c:v>
                </c:pt>
                <c:pt idx="93">
                  <c:v>1</c:v>
                </c:pt>
                <c:pt idx="94">
                  <c:v>6</c:v>
                </c:pt>
                <c:pt idx="95">
                  <c:v>2</c:v>
                </c:pt>
                <c:pt idx="96">
                  <c:v>3</c:v>
                </c:pt>
                <c:pt idx="97">
                  <c:v>4</c:v>
                </c:pt>
                <c:pt idx="98">
                  <c:v>10</c:v>
                </c:pt>
                <c:pt idx="99">
                  <c:v>23</c:v>
                </c:pt>
                <c:pt idx="100">
                  <c:v>6</c:v>
                </c:pt>
                <c:pt idx="101">
                  <c:v>1</c:v>
                </c:pt>
                <c:pt idx="102">
                  <c:v>6</c:v>
                </c:pt>
                <c:pt idx="103">
                  <c:v>6</c:v>
                </c:pt>
                <c:pt idx="104">
                  <c:v>2</c:v>
                </c:pt>
                <c:pt idx="105">
                  <c:v>2</c:v>
                </c:pt>
                <c:pt idx="106">
                  <c:v>1</c:v>
                </c:pt>
                <c:pt idx="107">
                  <c:v>5</c:v>
                </c:pt>
                <c:pt idx="108">
                  <c:v>7</c:v>
                </c:pt>
                <c:pt idx="109">
                  <c:v>15</c:v>
                </c:pt>
                <c:pt idx="110">
                  <c:v>1</c:v>
                </c:pt>
                <c:pt idx="111">
                  <c:v>7</c:v>
                </c:pt>
                <c:pt idx="112">
                  <c:v>26</c:v>
                </c:pt>
                <c:pt idx="113">
                  <c:v>18</c:v>
                </c:pt>
                <c:pt idx="114">
                  <c:v>6</c:v>
                </c:pt>
                <c:pt idx="115">
                  <c:v>3</c:v>
                </c:pt>
                <c:pt idx="116">
                  <c:v>5</c:v>
                </c:pt>
                <c:pt idx="117">
                  <c:v>11</c:v>
                </c:pt>
                <c:pt idx="118">
                  <c:v>3</c:v>
                </c:pt>
                <c:pt idx="119">
                  <c:v>26</c:v>
                </c:pt>
                <c:pt idx="120">
                  <c:v>23</c:v>
                </c:pt>
                <c:pt idx="121">
                  <c:v>22</c:v>
                </c:pt>
                <c:pt idx="122">
                  <c:v>14</c:v>
                </c:pt>
                <c:pt idx="123">
                  <c:v>6</c:v>
                </c:pt>
                <c:pt idx="124">
                  <c:v>6</c:v>
                </c:pt>
                <c:pt idx="125">
                  <c:v>6</c:v>
                </c:pt>
                <c:pt idx="126">
                  <c:v>23</c:v>
                </c:pt>
                <c:pt idx="127">
                  <c:v>22</c:v>
                </c:pt>
                <c:pt idx="128">
                  <c:v>2</c:v>
                </c:pt>
                <c:pt idx="129">
                  <c:v>20</c:v>
                </c:pt>
                <c:pt idx="130">
                  <c:v>28</c:v>
                </c:pt>
                <c:pt idx="131">
                  <c:v>12</c:v>
                </c:pt>
                <c:pt idx="132">
                  <c:v>20</c:v>
                </c:pt>
                <c:pt idx="133">
                  <c:v>9</c:v>
                </c:pt>
                <c:pt idx="134">
                  <c:v>25</c:v>
                </c:pt>
                <c:pt idx="135">
                  <c:v>6</c:v>
                </c:pt>
                <c:pt idx="136">
                  <c:v>8</c:v>
                </c:pt>
                <c:pt idx="137">
                  <c:v>4</c:v>
                </c:pt>
                <c:pt idx="138">
                  <c:v>28</c:v>
                </c:pt>
                <c:pt idx="139">
                  <c:v>9</c:v>
                </c:pt>
                <c:pt idx="140">
                  <c:v>9</c:v>
                </c:pt>
                <c:pt idx="141">
                  <c:v>29</c:v>
                </c:pt>
                <c:pt idx="142">
                  <c:v>3</c:v>
                </c:pt>
                <c:pt idx="143">
                  <c:v>18</c:v>
                </c:pt>
                <c:pt idx="144">
                  <c:v>9</c:v>
                </c:pt>
                <c:pt idx="145">
                  <c:v>5</c:v>
                </c:pt>
                <c:pt idx="146">
                  <c:v>2</c:v>
                </c:pt>
                <c:pt idx="147">
                  <c:v>10</c:v>
                </c:pt>
                <c:pt idx="148">
                  <c:v>9</c:v>
                </c:pt>
                <c:pt idx="149">
                  <c:v>3</c:v>
                </c:pt>
                <c:pt idx="150">
                  <c:v>26</c:v>
                </c:pt>
                <c:pt idx="151">
                  <c:v>1</c:v>
                </c:pt>
                <c:pt idx="152">
                  <c:v>6</c:v>
                </c:pt>
                <c:pt idx="153">
                  <c:v>9</c:v>
                </c:pt>
                <c:pt idx="154">
                  <c:v>8</c:v>
                </c:pt>
                <c:pt idx="155">
                  <c:v>1</c:v>
                </c:pt>
                <c:pt idx="156">
                  <c:v>7</c:v>
                </c:pt>
                <c:pt idx="157">
                  <c:v>9</c:v>
                </c:pt>
                <c:pt idx="158">
                  <c:v>4</c:v>
                </c:pt>
                <c:pt idx="159">
                  <c:v>2</c:v>
                </c:pt>
                <c:pt idx="160">
                  <c:v>19</c:v>
                </c:pt>
                <c:pt idx="161">
                  <c:v>9</c:v>
                </c:pt>
                <c:pt idx="162">
                  <c:v>21</c:v>
                </c:pt>
                <c:pt idx="163">
                  <c:v>24</c:v>
                </c:pt>
                <c:pt idx="164">
                  <c:v>3</c:v>
                </c:pt>
                <c:pt idx="165">
                  <c:v>11</c:v>
                </c:pt>
                <c:pt idx="166">
                  <c:v>14</c:v>
                </c:pt>
                <c:pt idx="167">
                  <c:v>5</c:v>
                </c:pt>
                <c:pt idx="168">
                  <c:v>1</c:v>
                </c:pt>
                <c:pt idx="169">
                  <c:v>6</c:v>
                </c:pt>
                <c:pt idx="170">
                  <c:v>17</c:v>
                </c:pt>
                <c:pt idx="171">
                  <c:v>1</c:v>
                </c:pt>
                <c:pt idx="172">
                  <c:v>3</c:v>
                </c:pt>
                <c:pt idx="173">
                  <c:v>9</c:v>
                </c:pt>
                <c:pt idx="174">
                  <c:v>4</c:v>
                </c:pt>
                <c:pt idx="175">
                  <c:v>8</c:v>
                </c:pt>
                <c:pt idx="176">
                  <c:v>2</c:v>
                </c:pt>
                <c:pt idx="177">
                  <c:v>2</c:v>
                </c:pt>
                <c:pt idx="178">
                  <c:v>1</c:v>
                </c:pt>
                <c:pt idx="179">
                  <c:v>9</c:v>
                </c:pt>
                <c:pt idx="180">
                  <c:v>12</c:v>
                </c:pt>
                <c:pt idx="181">
                  <c:v>27</c:v>
                </c:pt>
                <c:pt idx="182">
                  <c:v>20</c:v>
                </c:pt>
                <c:pt idx="183">
                  <c:v>1</c:v>
                </c:pt>
                <c:pt idx="184">
                  <c:v>13</c:v>
                </c:pt>
                <c:pt idx="185">
                  <c:v>14</c:v>
                </c:pt>
                <c:pt idx="186">
                  <c:v>4</c:v>
                </c:pt>
                <c:pt idx="187">
                  <c:v>14</c:v>
                </c:pt>
                <c:pt idx="188">
                  <c:v>2</c:v>
                </c:pt>
                <c:pt idx="189">
                  <c:v>3</c:v>
                </c:pt>
                <c:pt idx="190">
                  <c:v>1</c:v>
                </c:pt>
                <c:pt idx="191">
                  <c:v>9</c:v>
                </c:pt>
                <c:pt idx="192">
                  <c:v>23</c:v>
                </c:pt>
                <c:pt idx="193">
                  <c:v>7</c:v>
                </c:pt>
                <c:pt idx="194">
                  <c:v>2</c:v>
                </c:pt>
                <c:pt idx="195">
                  <c:v>21</c:v>
                </c:pt>
                <c:pt idx="196">
                  <c:v>2</c:v>
                </c:pt>
                <c:pt idx="197">
                  <c:v>21</c:v>
                </c:pt>
                <c:pt idx="198">
                  <c:v>2</c:v>
                </c:pt>
                <c:pt idx="199">
                  <c:v>29</c:v>
                </c:pt>
                <c:pt idx="200">
                  <c:v>1</c:v>
                </c:pt>
                <c:pt idx="201">
                  <c:v>18</c:v>
                </c:pt>
                <c:pt idx="202">
                  <c:v>10</c:v>
                </c:pt>
                <c:pt idx="203">
                  <c:v>19</c:v>
                </c:pt>
                <c:pt idx="204">
                  <c:v>29</c:v>
                </c:pt>
                <c:pt idx="205">
                  <c:v>27</c:v>
                </c:pt>
                <c:pt idx="206">
                  <c:v>5</c:v>
                </c:pt>
                <c:pt idx="207">
                  <c:v>18</c:v>
                </c:pt>
                <c:pt idx="208">
                  <c:v>9</c:v>
                </c:pt>
                <c:pt idx="209">
                  <c:v>1</c:v>
                </c:pt>
                <c:pt idx="210">
                  <c:v>4</c:v>
                </c:pt>
                <c:pt idx="211">
                  <c:v>1</c:v>
                </c:pt>
                <c:pt idx="212">
                  <c:v>20</c:v>
                </c:pt>
                <c:pt idx="213">
                  <c:v>8</c:v>
                </c:pt>
                <c:pt idx="214">
                  <c:v>3</c:v>
                </c:pt>
                <c:pt idx="215">
                  <c:v>6</c:v>
                </c:pt>
                <c:pt idx="216">
                  <c:v>26</c:v>
                </c:pt>
                <c:pt idx="217">
                  <c:v>1</c:v>
                </c:pt>
                <c:pt idx="218">
                  <c:v>6</c:v>
                </c:pt>
                <c:pt idx="219">
                  <c:v>3</c:v>
                </c:pt>
                <c:pt idx="220">
                  <c:v>5</c:v>
                </c:pt>
                <c:pt idx="221">
                  <c:v>4</c:v>
                </c:pt>
                <c:pt idx="222">
                  <c:v>11</c:v>
                </c:pt>
                <c:pt idx="223">
                  <c:v>3</c:v>
                </c:pt>
                <c:pt idx="224">
                  <c:v>1</c:v>
                </c:pt>
                <c:pt idx="225">
                  <c:v>3</c:v>
                </c:pt>
                <c:pt idx="226">
                  <c:v>4</c:v>
                </c:pt>
                <c:pt idx="227">
                  <c:v>1</c:v>
                </c:pt>
                <c:pt idx="228">
                  <c:v>1</c:v>
                </c:pt>
                <c:pt idx="229">
                  <c:v>18</c:v>
                </c:pt>
                <c:pt idx="230">
                  <c:v>2</c:v>
                </c:pt>
                <c:pt idx="231">
                  <c:v>4</c:v>
                </c:pt>
                <c:pt idx="232">
                  <c:v>6</c:v>
                </c:pt>
                <c:pt idx="233">
                  <c:v>1</c:v>
                </c:pt>
                <c:pt idx="234">
                  <c:v>14</c:v>
                </c:pt>
                <c:pt idx="235">
                  <c:v>16</c:v>
                </c:pt>
                <c:pt idx="236">
                  <c:v>2</c:v>
                </c:pt>
                <c:pt idx="237">
                  <c:v>2</c:v>
                </c:pt>
                <c:pt idx="238">
                  <c:v>4</c:v>
                </c:pt>
                <c:pt idx="239">
                  <c:v>1</c:v>
                </c:pt>
                <c:pt idx="240">
                  <c:v>1</c:v>
                </c:pt>
                <c:pt idx="241">
                  <c:v>26</c:v>
                </c:pt>
                <c:pt idx="242">
                  <c:v>19</c:v>
                </c:pt>
                <c:pt idx="243">
                  <c:v>24</c:v>
                </c:pt>
                <c:pt idx="244">
                  <c:v>1</c:v>
                </c:pt>
                <c:pt idx="245">
                  <c:v>3</c:v>
                </c:pt>
                <c:pt idx="246">
                  <c:v>5</c:v>
                </c:pt>
                <c:pt idx="247">
                  <c:v>2</c:v>
                </c:pt>
                <c:pt idx="248">
                  <c:v>1</c:v>
                </c:pt>
                <c:pt idx="249">
                  <c:v>7</c:v>
                </c:pt>
                <c:pt idx="250">
                  <c:v>10</c:v>
                </c:pt>
                <c:pt idx="251">
                  <c:v>2</c:v>
                </c:pt>
                <c:pt idx="252">
                  <c:v>15</c:v>
                </c:pt>
                <c:pt idx="253">
                  <c:v>17</c:v>
                </c:pt>
                <c:pt idx="254">
                  <c:v>20</c:v>
                </c:pt>
                <c:pt idx="255">
                  <c:v>1</c:v>
                </c:pt>
                <c:pt idx="256">
                  <c:v>2</c:v>
                </c:pt>
                <c:pt idx="257">
                  <c:v>2</c:v>
                </c:pt>
                <c:pt idx="258">
                  <c:v>1</c:v>
                </c:pt>
                <c:pt idx="259">
                  <c:v>29</c:v>
                </c:pt>
                <c:pt idx="260">
                  <c:v>7</c:v>
                </c:pt>
                <c:pt idx="261">
                  <c:v>2</c:v>
                </c:pt>
                <c:pt idx="262">
                  <c:v>2</c:v>
                </c:pt>
                <c:pt idx="263">
                  <c:v>2</c:v>
                </c:pt>
                <c:pt idx="264">
                  <c:v>2</c:v>
                </c:pt>
                <c:pt idx="265">
                  <c:v>2</c:v>
                </c:pt>
                <c:pt idx="266">
                  <c:v>23</c:v>
                </c:pt>
                <c:pt idx="267">
                  <c:v>5</c:v>
                </c:pt>
                <c:pt idx="268">
                  <c:v>20</c:v>
                </c:pt>
                <c:pt idx="269">
                  <c:v>6</c:v>
                </c:pt>
                <c:pt idx="270">
                  <c:v>1</c:v>
                </c:pt>
                <c:pt idx="271">
                  <c:v>29</c:v>
                </c:pt>
                <c:pt idx="272">
                  <c:v>9</c:v>
                </c:pt>
                <c:pt idx="273">
                  <c:v>6</c:v>
                </c:pt>
                <c:pt idx="274">
                  <c:v>3</c:v>
                </c:pt>
                <c:pt idx="275">
                  <c:v>1</c:v>
                </c:pt>
                <c:pt idx="276">
                  <c:v>22</c:v>
                </c:pt>
                <c:pt idx="277">
                  <c:v>7</c:v>
                </c:pt>
                <c:pt idx="278">
                  <c:v>1</c:v>
                </c:pt>
                <c:pt idx="279">
                  <c:v>4</c:v>
                </c:pt>
                <c:pt idx="280">
                  <c:v>3</c:v>
                </c:pt>
                <c:pt idx="281">
                  <c:v>1</c:v>
                </c:pt>
                <c:pt idx="282">
                  <c:v>2</c:v>
                </c:pt>
                <c:pt idx="283">
                  <c:v>20</c:v>
                </c:pt>
                <c:pt idx="284">
                  <c:v>11</c:v>
                </c:pt>
                <c:pt idx="285">
                  <c:v>1</c:v>
                </c:pt>
                <c:pt idx="286">
                  <c:v>24</c:v>
                </c:pt>
                <c:pt idx="287">
                  <c:v>23</c:v>
                </c:pt>
                <c:pt idx="288">
                  <c:v>16</c:v>
                </c:pt>
                <c:pt idx="289">
                  <c:v>8</c:v>
                </c:pt>
                <c:pt idx="290">
                  <c:v>10</c:v>
                </c:pt>
                <c:pt idx="291">
                  <c:v>3</c:v>
                </c:pt>
                <c:pt idx="292">
                  <c:v>5</c:v>
                </c:pt>
                <c:pt idx="293">
                  <c:v>4</c:v>
                </c:pt>
                <c:pt idx="294">
                  <c:v>9</c:v>
                </c:pt>
                <c:pt idx="295">
                  <c:v>26</c:v>
                </c:pt>
                <c:pt idx="296">
                  <c:v>3</c:v>
                </c:pt>
                <c:pt idx="297">
                  <c:v>16</c:v>
                </c:pt>
                <c:pt idx="298">
                  <c:v>18</c:v>
                </c:pt>
                <c:pt idx="299">
                  <c:v>2</c:v>
                </c:pt>
                <c:pt idx="300">
                  <c:v>2</c:v>
                </c:pt>
                <c:pt idx="301">
                  <c:v>10</c:v>
                </c:pt>
                <c:pt idx="302">
                  <c:v>16</c:v>
                </c:pt>
                <c:pt idx="303">
                  <c:v>7</c:v>
                </c:pt>
                <c:pt idx="304">
                  <c:v>1</c:v>
                </c:pt>
                <c:pt idx="305">
                  <c:v>24</c:v>
                </c:pt>
                <c:pt idx="306">
                  <c:v>7</c:v>
                </c:pt>
                <c:pt idx="307">
                  <c:v>25</c:v>
                </c:pt>
                <c:pt idx="308">
                  <c:v>1</c:v>
                </c:pt>
                <c:pt idx="309">
                  <c:v>5</c:v>
                </c:pt>
                <c:pt idx="310">
                  <c:v>2</c:v>
                </c:pt>
                <c:pt idx="311">
                  <c:v>7</c:v>
                </c:pt>
                <c:pt idx="312">
                  <c:v>2</c:v>
                </c:pt>
                <c:pt idx="313">
                  <c:v>5</c:v>
                </c:pt>
                <c:pt idx="314">
                  <c:v>10</c:v>
                </c:pt>
                <c:pt idx="315">
                  <c:v>10</c:v>
                </c:pt>
                <c:pt idx="316">
                  <c:v>1</c:v>
                </c:pt>
                <c:pt idx="317">
                  <c:v>8</c:v>
                </c:pt>
                <c:pt idx="318">
                  <c:v>5</c:v>
                </c:pt>
                <c:pt idx="319">
                  <c:v>8</c:v>
                </c:pt>
                <c:pt idx="320">
                  <c:v>2</c:v>
                </c:pt>
                <c:pt idx="321">
                  <c:v>7</c:v>
                </c:pt>
                <c:pt idx="322">
                  <c:v>2</c:v>
                </c:pt>
                <c:pt idx="323">
                  <c:v>2</c:v>
                </c:pt>
                <c:pt idx="324">
                  <c:v>28</c:v>
                </c:pt>
                <c:pt idx="325">
                  <c:v>7</c:v>
                </c:pt>
                <c:pt idx="326">
                  <c:v>7</c:v>
                </c:pt>
                <c:pt idx="327">
                  <c:v>3</c:v>
                </c:pt>
                <c:pt idx="328">
                  <c:v>10</c:v>
                </c:pt>
                <c:pt idx="329">
                  <c:v>5</c:v>
                </c:pt>
                <c:pt idx="330">
                  <c:v>10</c:v>
                </c:pt>
                <c:pt idx="331">
                  <c:v>1</c:v>
                </c:pt>
                <c:pt idx="332">
                  <c:v>20</c:v>
                </c:pt>
                <c:pt idx="333">
                  <c:v>7</c:v>
                </c:pt>
                <c:pt idx="334">
                  <c:v>8</c:v>
                </c:pt>
                <c:pt idx="335">
                  <c:v>1</c:v>
                </c:pt>
                <c:pt idx="336">
                  <c:v>8</c:v>
                </c:pt>
                <c:pt idx="337">
                  <c:v>9</c:v>
                </c:pt>
                <c:pt idx="338">
                  <c:v>5</c:v>
                </c:pt>
                <c:pt idx="339">
                  <c:v>8</c:v>
                </c:pt>
                <c:pt idx="340">
                  <c:v>5</c:v>
                </c:pt>
                <c:pt idx="341">
                  <c:v>15</c:v>
                </c:pt>
                <c:pt idx="342">
                  <c:v>7</c:v>
                </c:pt>
                <c:pt idx="343">
                  <c:v>10</c:v>
                </c:pt>
                <c:pt idx="344">
                  <c:v>5</c:v>
                </c:pt>
                <c:pt idx="345">
                  <c:v>26</c:v>
                </c:pt>
                <c:pt idx="346">
                  <c:v>6</c:v>
                </c:pt>
                <c:pt idx="347">
                  <c:v>4</c:v>
                </c:pt>
                <c:pt idx="348">
                  <c:v>23</c:v>
                </c:pt>
                <c:pt idx="349">
                  <c:v>2</c:v>
                </c:pt>
                <c:pt idx="350">
                  <c:v>2</c:v>
                </c:pt>
                <c:pt idx="351">
                  <c:v>2</c:v>
                </c:pt>
                <c:pt idx="352">
                  <c:v>29</c:v>
                </c:pt>
                <c:pt idx="353">
                  <c:v>6</c:v>
                </c:pt>
                <c:pt idx="354">
                  <c:v>25</c:v>
                </c:pt>
                <c:pt idx="355">
                  <c:v>1</c:v>
                </c:pt>
                <c:pt idx="356">
                  <c:v>2</c:v>
                </c:pt>
                <c:pt idx="357">
                  <c:v>1</c:v>
                </c:pt>
                <c:pt idx="358">
                  <c:v>1</c:v>
                </c:pt>
                <c:pt idx="359">
                  <c:v>3</c:v>
                </c:pt>
                <c:pt idx="360">
                  <c:v>1</c:v>
                </c:pt>
                <c:pt idx="361">
                  <c:v>10</c:v>
                </c:pt>
                <c:pt idx="362">
                  <c:v>9</c:v>
                </c:pt>
                <c:pt idx="363">
                  <c:v>5</c:v>
                </c:pt>
                <c:pt idx="364">
                  <c:v>10</c:v>
                </c:pt>
                <c:pt idx="365">
                  <c:v>7</c:v>
                </c:pt>
                <c:pt idx="366">
                  <c:v>4</c:v>
                </c:pt>
                <c:pt idx="367">
                  <c:v>10</c:v>
                </c:pt>
                <c:pt idx="368">
                  <c:v>22</c:v>
                </c:pt>
                <c:pt idx="369">
                  <c:v>9</c:v>
                </c:pt>
                <c:pt idx="370">
                  <c:v>12</c:v>
                </c:pt>
                <c:pt idx="371">
                  <c:v>23</c:v>
                </c:pt>
                <c:pt idx="372">
                  <c:v>9</c:v>
                </c:pt>
                <c:pt idx="373">
                  <c:v>1</c:v>
                </c:pt>
                <c:pt idx="374">
                  <c:v>9</c:v>
                </c:pt>
                <c:pt idx="375">
                  <c:v>7</c:v>
                </c:pt>
                <c:pt idx="376">
                  <c:v>14</c:v>
                </c:pt>
                <c:pt idx="377">
                  <c:v>2</c:v>
                </c:pt>
                <c:pt idx="378">
                  <c:v>19</c:v>
                </c:pt>
                <c:pt idx="379">
                  <c:v>2</c:v>
                </c:pt>
                <c:pt idx="380">
                  <c:v>10</c:v>
                </c:pt>
                <c:pt idx="381">
                  <c:v>2</c:v>
                </c:pt>
                <c:pt idx="382">
                  <c:v>3</c:v>
                </c:pt>
                <c:pt idx="383">
                  <c:v>11</c:v>
                </c:pt>
                <c:pt idx="384">
                  <c:v>2</c:v>
                </c:pt>
                <c:pt idx="385">
                  <c:v>4</c:v>
                </c:pt>
                <c:pt idx="386">
                  <c:v>14</c:v>
                </c:pt>
                <c:pt idx="387">
                  <c:v>2</c:v>
                </c:pt>
                <c:pt idx="388">
                  <c:v>1</c:v>
                </c:pt>
                <c:pt idx="389">
                  <c:v>10</c:v>
                </c:pt>
                <c:pt idx="390">
                  <c:v>12</c:v>
                </c:pt>
                <c:pt idx="391">
                  <c:v>2</c:v>
                </c:pt>
                <c:pt idx="392">
                  <c:v>5</c:v>
                </c:pt>
                <c:pt idx="393">
                  <c:v>4</c:v>
                </c:pt>
                <c:pt idx="394">
                  <c:v>7</c:v>
                </c:pt>
                <c:pt idx="395">
                  <c:v>21</c:v>
                </c:pt>
                <c:pt idx="396">
                  <c:v>8</c:v>
                </c:pt>
                <c:pt idx="397">
                  <c:v>4</c:v>
                </c:pt>
                <c:pt idx="398">
                  <c:v>25</c:v>
                </c:pt>
                <c:pt idx="399">
                  <c:v>1</c:v>
                </c:pt>
                <c:pt idx="400">
                  <c:v>1</c:v>
                </c:pt>
                <c:pt idx="401">
                  <c:v>6</c:v>
                </c:pt>
                <c:pt idx="402">
                  <c:v>12</c:v>
                </c:pt>
                <c:pt idx="403">
                  <c:v>1</c:v>
                </c:pt>
                <c:pt idx="404">
                  <c:v>17</c:v>
                </c:pt>
                <c:pt idx="405">
                  <c:v>3</c:v>
                </c:pt>
                <c:pt idx="406">
                  <c:v>3</c:v>
                </c:pt>
                <c:pt idx="407">
                  <c:v>10</c:v>
                </c:pt>
                <c:pt idx="408">
                  <c:v>4</c:v>
                </c:pt>
                <c:pt idx="409">
                  <c:v>29</c:v>
                </c:pt>
                <c:pt idx="410">
                  <c:v>2</c:v>
                </c:pt>
                <c:pt idx="411">
                  <c:v>7</c:v>
                </c:pt>
                <c:pt idx="412">
                  <c:v>18</c:v>
                </c:pt>
                <c:pt idx="413">
                  <c:v>28</c:v>
                </c:pt>
                <c:pt idx="414">
                  <c:v>1</c:v>
                </c:pt>
                <c:pt idx="415">
                  <c:v>6</c:v>
                </c:pt>
                <c:pt idx="416">
                  <c:v>2</c:v>
                </c:pt>
                <c:pt idx="417">
                  <c:v>2</c:v>
                </c:pt>
                <c:pt idx="418">
                  <c:v>23</c:v>
                </c:pt>
                <c:pt idx="419">
                  <c:v>3</c:v>
                </c:pt>
                <c:pt idx="420">
                  <c:v>3</c:v>
                </c:pt>
                <c:pt idx="421">
                  <c:v>25</c:v>
                </c:pt>
                <c:pt idx="422">
                  <c:v>2</c:v>
                </c:pt>
                <c:pt idx="423">
                  <c:v>22</c:v>
                </c:pt>
                <c:pt idx="424">
                  <c:v>29</c:v>
                </c:pt>
                <c:pt idx="425">
                  <c:v>29</c:v>
                </c:pt>
                <c:pt idx="426">
                  <c:v>2</c:v>
                </c:pt>
                <c:pt idx="427">
                  <c:v>28</c:v>
                </c:pt>
                <c:pt idx="428">
                  <c:v>2</c:v>
                </c:pt>
                <c:pt idx="429">
                  <c:v>2</c:v>
                </c:pt>
                <c:pt idx="430">
                  <c:v>22</c:v>
                </c:pt>
                <c:pt idx="431">
                  <c:v>8</c:v>
                </c:pt>
                <c:pt idx="432">
                  <c:v>2</c:v>
                </c:pt>
                <c:pt idx="433">
                  <c:v>10</c:v>
                </c:pt>
                <c:pt idx="434">
                  <c:v>9</c:v>
                </c:pt>
                <c:pt idx="435">
                  <c:v>15</c:v>
                </c:pt>
                <c:pt idx="436">
                  <c:v>10</c:v>
                </c:pt>
                <c:pt idx="437">
                  <c:v>7</c:v>
                </c:pt>
                <c:pt idx="438">
                  <c:v>16</c:v>
                </c:pt>
                <c:pt idx="439">
                  <c:v>20</c:v>
                </c:pt>
                <c:pt idx="440">
                  <c:v>23</c:v>
                </c:pt>
                <c:pt idx="441">
                  <c:v>5</c:v>
                </c:pt>
                <c:pt idx="442">
                  <c:v>10</c:v>
                </c:pt>
                <c:pt idx="443">
                  <c:v>4</c:v>
                </c:pt>
                <c:pt idx="444">
                  <c:v>2</c:v>
                </c:pt>
                <c:pt idx="445">
                  <c:v>18</c:v>
                </c:pt>
                <c:pt idx="446">
                  <c:v>10</c:v>
                </c:pt>
                <c:pt idx="447">
                  <c:v>1</c:v>
                </c:pt>
                <c:pt idx="448">
                  <c:v>6</c:v>
                </c:pt>
                <c:pt idx="449">
                  <c:v>8</c:v>
                </c:pt>
                <c:pt idx="450">
                  <c:v>2</c:v>
                </c:pt>
                <c:pt idx="451">
                  <c:v>24</c:v>
                </c:pt>
                <c:pt idx="452">
                  <c:v>2</c:v>
                </c:pt>
                <c:pt idx="453">
                  <c:v>17</c:v>
                </c:pt>
                <c:pt idx="454">
                  <c:v>19</c:v>
                </c:pt>
                <c:pt idx="455">
                  <c:v>1</c:v>
                </c:pt>
                <c:pt idx="456">
                  <c:v>7</c:v>
                </c:pt>
                <c:pt idx="457">
                  <c:v>5</c:v>
                </c:pt>
                <c:pt idx="458">
                  <c:v>28</c:v>
                </c:pt>
                <c:pt idx="459">
                  <c:v>2</c:v>
                </c:pt>
                <c:pt idx="460">
                  <c:v>29</c:v>
                </c:pt>
                <c:pt idx="461">
                  <c:v>1</c:v>
                </c:pt>
                <c:pt idx="462">
                  <c:v>21</c:v>
                </c:pt>
                <c:pt idx="463">
                  <c:v>24</c:v>
                </c:pt>
                <c:pt idx="464">
                  <c:v>1</c:v>
                </c:pt>
                <c:pt idx="465">
                  <c:v>18</c:v>
                </c:pt>
                <c:pt idx="466">
                  <c:v>2</c:v>
                </c:pt>
                <c:pt idx="467">
                  <c:v>9</c:v>
                </c:pt>
                <c:pt idx="468">
                  <c:v>6</c:v>
                </c:pt>
                <c:pt idx="469">
                  <c:v>11</c:v>
                </c:pt>
                <c:pt idx="470">
                  <c:v>24</c:v>
                </c:pt>
                <c:pt idx="471">
                  <c:v>10</c:v>
                </c:pt>
                <c:pt idx="472">
                  <c:v>1</c:v>
                </c:pt>
                <c:pt idx="473">
                  <c:v>18</c:v>
                </c:pt>
                <c:pt idx="474">
                  <c:v>23</c:v>
                </c:pt>
                <c:pt idx="475">
                  <c:v>28</c:v>
                </c:pt>
                <c:pt idx="476">
                  <c:v>17</c:v>
                </c:pt>
                <c:pt idx="477">
                  <c:v>3</c:v>
                </c:pt>
                <c:pt idx="478">
                  <c:v>13</c:v>
                </c:pt>
                <c:pt idx="479">
                  <c:v>7</c:v>
                </c:pt>
                <c:pt idx="480">
                  <c:v>12</c:v>
                </c:pt>
                <c:pt idx="481">
                  <c:v>1</c:v>
                </c:pt>
                <c:pt idx="482">
                  <c:v>13</c:v>
                </c:pt>
                <c:pt idx="483">
                  <c:v>25</c:v>
                </c:pt>
                <c:pt idx="484">
                  <c:v>6</c:v>
                </c:pt>
                <c:pt idx="485">
                  <c:v>6</c:v>
                </c:pt>
                <c:pt idx="486">
                  <c:v>2</c:v>
                </c:pt>
                <c:pt idx="487">
                  <c:v>1</c:v>
                </c:pt>
                <c:pt idx="488">
                  <c:v>2</c:v>
                </c:pt>
                <c:pt idx="489">
                  <c:v>6</c:v>
                </c:pt>
                <c:pt idx="490">
                  <c:v>1</c:v>
                </c:pt>
                <c:pt idx="491">
                  <c:v>9</c:v>
                </c:pt>
                <c:pt idx="492">
                  <c:v>1</c:v>
                </c:pt>
                <c:pt idx="493">
                  <c:v>1</c:v>
                </c:pt>
                <c:pt idx="494">
                  <c:v>14</c:v>
                </c:pt>
                <c:pt idx="495">
                  <c:v>2</c:v>
                </c:pt>
                <c:pt idx="496">
                  <c:v>22</c:v>
                </c:pt>
                <c:pt idx="497">
                  <c:v>3</c:v>
                </c:pt>
                <c:pt idx="498">
                  <c:v>6</c:v>
                </c:pt>
                <c:pt idx="499">
                  <c:v>8</c:v>
                </c:pt>
                <c:pt idx="500">
                  <c:v>9</c:v>
                </c:pt>
                <c:pt idx="501">
                  <c:v>3</c:v>
                </c:pt>
                <c:pt idx="502">
                  <c:v>1</c:v>
                </c:pt>
                <c:pt idx="503">
                  <c:v>1</c:v>
                </c:pt>
                <c:pt idx="504">
                  <c:v>26</c:v>
                </c:pt>
                <c:pt idx="505">
                  <c:v>6</c:v>
                </c:pt>
                <c:pt idx="506">
                  <c:v>3</c:v>
                </c:pt>
                <c:pt idx="507">
                  <c:v>3</c:v>
                </c:pt>
                <c:pt idx="508">
                  <c:v>6</c:v>
                </c:pt>
                <c:pt idx="509">
                  <c:v>6</c:v>
                </c:pt>
                <c:pt idx="510">
                  <c:v>19</c:v>
                </c:pt>
                <c:pt idx="511">
                  <c:v>9</c:v>
                </c:pt>
                <c:pt idx="512">
                  <c:v>3</c:v>
                </c:pt>
                <c:pt idx="513">
                  <c:v>10</c:v>
                </c:pt>
                <c:pt idx="514">
                  <c:v>3</c:v>
                </c:pt>
                <c:pt idx="515">
                  <c:v>3</c:v>
                </c:pt>
                <c:pt idx="516">
                  <c:v>4</c:v>
                </c:pt>
                <c:pt idx="517">
                  <c:v>8</c:v>
                </c:pt>
                <c:pt idx="518">
                  <c:v>7</c:v>
                </c:pt>
                <c:pt idx="519">
                  <c:v>1</c:v>
                </c:pt>
                <c:pt idx="520">
                  <c:v>2</c:v>
                </c:pt>
                <c:pt idx="521">
                  <c:v>3</c:v>
                </c:pt>
                <c:pt idx="522">
                  <c:v>10</c:v>
                </c:pt>
                <c:pt idx="523">
                  <c:v>28</c:v>
                </c:pt>
                <c:pt idx="524">
                  <c:v>9</c:v>
                </c:pt>
                <c:pt idx="525">
                  <c:v>3</c:v>
                </c:pt>
                <c:pt idx="526">
                  <c:v>2</c:v>
                </c:pt>
                <c:pt idx="527">
                  <c:v>10</c:v>
                </c:pt>
                <c:pt idx="528">
                  <c:v>8</c:v>
                </c:pt>
                <c:pt idx="529">
                  <c:v>1</c:v>
                </c:pt>
                <c:pt idx="530">
                  <c:v>1</c:v>
                </c:pt>
                <c:pt idx="531">
                  <c:v>3</c:v>
                </c:pt>
                <c:pt idx="532">
                  <c:v>14</c:v>
                </c:pt>
                <c:pt idx="533">
                  <c:v>5</c:v>
                </c:pt>
                <c:pt idx="534">
                  <c:v>7</c:v>
                </c:pt>
                <c:pt idx="535">
                  <c:v>10</c:v>
                </c:pt>
                <c:pt idx="536">
                  <c:v>16</c:v>
                </c:pt>
                <c:pt idx="537">
                  <c:v>10</c:v>
                </c:pt>
                <c:pt idx="538">
                  <c:v>1</c:v>
                </c:pt>
                <c:pt idx="539">
                  <c:v>8</c:v>
                </c:pt>
                <c:pt idx="540">
                  <c:v>1</c:v>
                </c:pt>
                <c:pt idx="541">
                  <c:v>8</c:v>
                </c:pt>
                <c:pt idx="542">
                  <c:v>1</c:v>
                </c:pt>
                <c:pt idx="543">
                  <c:v>24</c:v>
                </c:pt>
                <c:pt idx="544">
                  <c:v>3</c:v>
                </c:pt>
                <c:pt idx="545">
                  <c:v>27</c:v>
                </c:pt>
                <c:pt idx="546">
                  <c:v>10</c:v>
                </c:pt>
                <c:pt idx="547">
                  <c:v>19</c:v>
                </c:pt>
                <c:pt idx="548">
                  <c:v>15</c:v>
                </c:pt>
                <c:pt idx="549">
                  <c:v>8</c:v>
                </c:pt>
                <c:pt idx="550">
                  <c:v>9</c:v>
                </c:pt>
                <c:pt idx="551">
                  <c:v>3</c:v>
                </c:pt>
                <c:pt idx="552">
                  <c:v>9</c:v>
                </c:pt>
                <c:pt idx="553">
                  <c:v>2</c:v>
                </c:pt>
                <c:pt idx="554">
                  <c:v>7</c:v>
                </c:pt>
                <c:pt idx="555">
                  <c:v>10</c:v>
                </c:pt>
                <c:pt idx="556">
                  <c:v>6</c:v>
                </c:pt>
                <c:pt idx="557">
                  <c:v>2</c:v>
                </c:pt>
                <c:pt idx="558">
                  <c:v>24</c:v>
                </c:pt>
                <c:pt idx="559">
                  <c:v>2</c:v>
                </c:pt>
                <c:pt idx="560">
                  <c:v>8</c:v>
                </c:pt>
                <c:pt idx="561">
                  <c:v>3</c:v>
                </c:pt>
                <c:pt idx="562">
                  <c:v>1</c:v>
                </c:pt>
                <c:pt idx="563">
                  <c:v>26</c:v>
                </c:pt>
                <c:pt idx="564">
                  <c:v>2</c:v>
                </c:pt>
                <c:pt idx="565">
                  <c:v>10</c:v>
                </c:pt>
                <c:pt idx="566">
                  <c:v>27</c:v>
                </c:pt>
                <c:pt idx="567">
                  <c:v>2</c:v>
                </c:pt>
                <c:pt idx="568">
                  <c:v>2</c:v>
                </c:pt>
                <c:pt idx="569">
                  <c:v>8</c:v>
                </c:pt>
                <c:pt idx="570">
                  <c:v>19</c:v>
                </c:pt>
                <c:pt idx="571">
                  <c:v>1</c:v>
                </c:pt>
                <c:pt idx="572">
                  <c:v>27</c:v>
                </c:pt>
                <c:pt idx="573">
                  <c:v>8</c:v>
                </c:pt>
                <c:pt idx="574">
                  <c:v>1</c:v>
                </c:pt>
                <c:pt idx="575">
                  <c:v>19</c:v>
                </c:pt>
                <c:pt idx="576">
                  <c:v>8</c:v>
                </c:pt>
                <c:pt idx="577">
                  <c:v>10</c:v>
                </c:pt>
                <c:pt idx="578">
                  <c:v>2</c:v>
                </c:pt>
                <c:pt idx="579">
                  <c:v>2</c:v>
                </c:pt>
                <c:pt idx="580">
                  <c:v>8</c:v>
                </c:pt>
                <c:pt idx="581">
                  <c:v>1</c:v>
                </c:pt>
                <c:pt idx="582">
                  <c:v>2</c:v>
                </c:pt>
                <c:pt idx="583">
                  <c:v>8</c:v>
                </c:pt>
                <c:pt idx="584">
                  <c:v>8</c:v>
                </c:pt>
                <c:pt idx="585">
                  <c:v>6</c:v>
                </c:pt>
                <c:pt idx="586">
                  <c:v>9</c:v>
                </c:pt>
                <c:pt idx="587">
                  <c:v>11</c:v>
                </c:pt>
                <c:pt idx="588">
                  <c:v>2</c:v>
                </c:pt>
                <c:pt idx="589">
                  <c:v>1</c:v>
                </c:pt>
                <c:pt idx="590">
                  <c:v>7</c:v>
                </c:pt>
                <c:pt idx="591">
                  <c:v>16</c:v>
                </c:pt>
                <c:pt idx="592">
                  <c:v>2</c:v>
                </c:pt>
                <c:pt idx="593">
                  <c:v>1</c:v>
                </c:pt>
                <c:pt idx="594">
                  <c:v>23</c:v>
                </c:pt>
                <c:pt idx="595">
                  <c:v>2</c:v>
                </c:pt>
                <c:pt idx="596">
                  <c:v>1</c:v>
                </c:pt>
                <c:pt idx="597">
                  <c:v>1</c:v>
                </c:pt>
                <c:pt idx="598">
                  <c:v>2</c:v>
                </c:pt>
                <c:pt idx="599">
                  <c:v>13</c:v>
                </c:pt>
                <c:pt idx="600">
                  <c:v>4</c:v>
                </c:pt>
                <c:pt idx="601">
                  <c:v>16</c:v>
                </c:pt>
                <c:pt idx="602">
                  <c:v>2</c:v>
                </c:pt>
                <c:pt idx="603">
                  <c:v>2</c:v>
                </c:pt>
                <c:pt idx="604">
                  <c:v>29</c:v>
                </c:pt>
                <c:pt idx="605">
                  <c:v>12</c:v>
                </c:pt>
                <c:pt idx="606">
                  <c:v>16</c:v>
                </c:pt>
                <c:pt idx="607">
                  <c:v>11</c:v>
                </c:pt>
                <c:pt idx="608">
                  <c:v>2</c:v>
                </c:pt>
                <c:pt idx="609">
                  <c:v>14</c:v>
                </c:pt>
                <c:pt idx="610">
                  <c:v>5</c:v>
                </c:pt>
                <c:pt idx="611">
                  <c:v>7</c:v>
                </c:pt>
                <c:pt idx="612">
                  <c:v>2</c:v>
                </c:pt>
                <c:pt idx="613">
                  <c:v>3</c:v>
                </c:pt>
                <c:pt idx="614">
                  <c:v>5</c:v>
                </c:pt>
                <c:pt idx="615">
                  <c:v>3</c:v>
                </c:pt>
                <c:pt idx="616">
                  <c:v>26</c:v>
                </c:pt>
                <c:pt idx="617">
                  <c:v>4</c:v>
                </c:pt>
                <c:pt idx="618">
                  <c:v>2</c:v>
                </c:pt>
                <c:pt idx="619">
                  <c:v>1</c:v>
                </c:pt>
                <c:pt idx="620">
                  <c:v>27</c:v>
                </c:pt>
                <c:pt idx="621">
                  <c:v>1</c:v>
                </c:pt>
                <c:pt idx="622">
                  <c:v>13</c:v>
                </c:pt>
                <c:pt idx="623">
                  <c:v>5</c:v>
                </c:pt>
                <c:pt idx="624">
                  <c:v>7</c:v>
                </c:pt>
                <c:pt idx="625">
                  <c:v>9</c:v>
                </c:pt>
                <c:pt idx="626">
                  <c:v>8</c:v>
                </c:pt>
                <c:pt idx="627">
                  <c:v>25</c:v>
                </c:pt>
                <c:pt idx="628">
                  <c:v>16</c:v>
                </c:pt>
                <c:pt idx="629">
                  <c:v>8</c:v>
                </c:pt>
                <c:pt idx="630">
                  <c:v>1</c:v>
                </c:pt>
                <c:pt idx="631">
                  <c:v>8</c:v>
                </c:pt>
                <c:pt idx="632">
                  <c:v>2</c:v>
                </c:pt>
                <c:pt idx="633">
                  <c:v>8</c:v>
                </c:pt>
                <c:pt idx="634">
                  <c:v>3</c:v>
                </c:pt>
                <c:pt idx="635">
                  <c:v>9</c:v>
                </c:pt>
                <c:pt idx="636">
                  <c:v>25</c:v>
                </c:pt>
                <c:pt idx="637">
                  <c:v>1</c:v>
                </c:pt>
                <c:pt idx="638">
                  <c:v>4</c:v>
                </c:pt>
                <c:pt idx="639">
                  <c:v>1</c:v>
                </c:pt>
                <c:pt idx="640">
                  <c:v>4</c:v>
                </c:pt>
                <c:pt idx="641">
                  <c:v>5</c:v>
                </c:pt>
                <c:pt idx="642">
                  <c:v>9</c:v>
                </c:pt>
                <c:pt idx="643">
                  <c:v>3</c:v>
                </c:pt>
                <c:pt idx="644">
                  <c:v>11</c:v>
                </c:pt>
                <c:pt idx="645">
                  <c:v>1</c:v>
                </c:pt>
                <c:pt idx="646">
                  <c:v>8</c:v>
                </c:pt>
                <c:pt idx="647">
                  <c:v>25</c:v>
                </c:pt>
                <c:pt idx="648">
                  <c:v>21</c:v>
                </c:pt>
                <c:pt idx="649">
                  <c:v>23</c:v>
                </c:pt>
                <c:pt idx="650">
                  <c:v>1</c:v>
                </c:pt>
                <c:pt idx="651">
                  <c:v>2</c:v>
                </c:pt>
                <c:pt idx="652">
                  <c:v>19</c:v>
                </c:pt>
                <c:pt idx="653">
                  <c:v>2</c:v>
                </c:pt>
                <c:pt idx="654">
                  <c:v>2</c:v>
                </c:pt>
                <c:pt idx="655">
                  <c:v>3</c:v>
                </c:pt>
                <c:pt idx="656">
                  <c:v>25</c:v>
                </c:pt>
                <c:pt idx="657">
                  <c:v>7</c:v>
                </c:pt>
                <c:pt idx="658">
                  <c:v>9</c:v>
                </c:pt>
                <c:pt idx="659">
                  <c:v>5</c:v>
                </c:pt>
                <c:pt idx="660">
                  <c:v>2</c:v>
                </c:pt>
                <c:pt idx="661">
                  <c:v>8</c:v>
                </c:pt>
                <c:pt idx="662">
                  <c:v>2</c:v>
                </c:pt>
                <c:pt idx="663">
                  <c:v>18</c:v>
                </c:pt>
                <c:pt idx="664">
                  <c:v>14</c:v>
                </c:pt>
                <c:pt idx="665">
                  <c:v>2</c:v>
                </c:pt>
                <c:pt idx="666">
                  <c:v>3</c:v>
                </c:pt>
                <c:pt idx="667">
                  <c:v>2</c:v>
                </c:pt>
                <c:pt idx="668">
                  <c:v>9</c:v>
                </c:pt>
                <c:pt idx="669">
                  <c:v>6</c:v>
                </c:pt>
                <c:pt idx="670">
                  <c:v>4</c:v>
                </c:pt>
                <c:pt idx="671">
                  <c:v>10</c:v>
                </c:pt>
                <c:pt idx="672">
                  <c:v>14</c:v>
                </c:pt>
                <c:pt idx="673">
                  <c:v>1</c:v>
                </c:pt>
                <c:pt idx="674">
                  <c:v>5</c:v>
                </c:pt>
                <c:pt idx="675">
                  <c:v>7</c:v>
                </c:pt>
                <c:pt idx="676">
                  <c:v>21</c:v>
                </c:pt>
                <c:pt idx="677">
                  <c:v>8</c:v>
                </c:pt>
                <c:pt idx="678">
                  <c:v>20</c:v>
                </c:pt>
                <c:pt idx="679">
                  <c:v>20</c:v>
                </c:pt>
                <c:pt idx="680">
                  <c:v>7</c:v>
                </c:pt>
                <c:pt idx="681">
                  <c:v>1</c:v>
                </c:pt>
                <c:pt idx="682">
                  <c:v>1</c:v>
                </c:pt>
                <c:pt idx="683">
                  <c:v>19</c:v>
                </c:pt>
                <c:pt idx="684">
                  <c:v>10</c:v>
                </c:pt>
                <c:pt idx="685">
                  <c:v>1</c:v>
                </c:pt>
                <c:pt idx="686">
                  <c:v>6</c:v>
                </c:pt>
                <c:pt idx="687">
                  <c:v>2</c:v>
                </c:pt>
                <c:pt idx="688">
                  <c:v>21</c:v>
                </c:pt>
                <c:pt idx="689">
                  <c:v>4</c:v>
                </c:pt>
                <c:pt idx="690">
                  <c:v>12</c:v>
                </c:pt>
                <c:pt idx="691">
                  <c:v>9</c:v>
                </c:pt>
                <c:pt idx="692">
                  <c:v>3</c:v>
                </c:pt>
                <c:pt idx="693">
                  <c:v>3</c:v>
                </c:pt>
                <c:pt idx="694">
                  <c:v>1</c:v>
                </c:pt>
                <c:pt idx="695">
                  <c:v>1</c:v>
                </c:pt>
                <c:pt idx="696">
                  <c:v>4</c:v>
                </c:pt>
                <c:pt idx="697">
                  <c:v>20</c:v>
                </c:pt>
                <c:pt idx="698">
                  <c:v>18</c:v>
                </c:pt>
                <c:pt idx="699">
                  <c:v>1</c:v>
                </c:pt>
                <c:pt idx="700">
                  <c:v>2</c:v>
                </c:pt>
                <c:pt idx="701">
                  <c:v>2</c:v>
                </c:pt>
                <c:pt idx="702">
                  <c:v>8</c:v>
                </c:pt>
                <c:pt idx="703">
                  <c:v>10</c:v>
                </c:pt>
                <c:pt idx="704">
                  <c:v>3</c:v>
                </c:pt>
                <c:pt idx="705">
                  <c:v>2</c:v>
                </c:pt>
                <c:pt idx="706">
                  <c:v>24</c:v>
                </c:pt>
                <c:pt idx="707">
                  <c:v>16</c:v>
                </c:pt>
                <c:pt idx="708">
                  <c:v>8</c:v>
                </c:pt>
                <c:pt idx="709">
                  <c:v>9</c:v>
                </c:pt>
                <c:pt idx="710">
                  <c:v>17</c:v>
                </c:pt>
                <c:pt idx="711">
                  <c:v>10</c:v>
                </c:pt>
                <c:pt idx="712">
                  <c:v>13</c:v>
                </c:pt>
                <c:pt idx="713">
                  <c:v>1</c:v>
                </c:pt>
                <c:pt idx="714">
                  <c:v>1</c:v>
                </c:pt>
                <c:pt idx="715">
                  <c:v>1</c:v>
                </c:pt>
                <c:pt idx="716">
                  <c:v>9</c:v>
                </c:pt>
                <c:pt idx="717">
                  <c:v>16</c:v>
                </c:pt>
                <c:pt idx="718">
                  <c:v>23</c:v>
                </c:pt>
                <c:pt idx="719">
                  <c:v>4</c:v>
                </c:pt>
                <c:pt idx="720">
                  <c:v>22</c:v>
                </c:pt>
                <c:pt idx="721">
                  <c:v>24</c:v>
                </c:pt>
                <c:pt idx="722">
                  <c:v>10</c:v>
                </c:pt>
                <c:pt idx="723">
                  <c:v>7</c:v>
                </c:pt>
                <c:pt idx="724">
                  <c:v>17</c:v>
                </c:pt>
                <c:pt idx="725">
                  <c:v>14</c:v>
                </c:pt>
                <c:pt idx="726">
                  <c:v>1</c:v>
                </c:pt>
                <c:pt idx="727">
                  <c:v>5</c:v>
                </c:pt>
                <c:pt idx="728">
                  <c:v>17</c:v>
                </c:pt>
                <c:pt idx="729">
                  <c:v>25</c:v>
                </c:pt>
                <c:pt idx="730">
                  <c:v>8</c:v>
                </c:pt>
                <c:pt idx="731">
                  <c:v>11</c:v>
                </c:pt>
                <c:pt idx="732">
                  <c:v>5</c:v>
                </c:pt>
                <c:pt idx="733">
                  <c:v>2</c:v>
                </c:pt>
                <c:pt idx="734">
                  <c:v>8</c:v>
                </c:pt>
                <c:pt idx="735">
                  <c:v>6</c:v>
                </c:pt>
                <c:pt idx="736">
                  <c:v>4</c:v>
                </c:pt>
                <c:pt idx="737">
                  <c:v>7</c:v>
                </c:pt>
                <c:pt idx="738">
                  <c:v>1</c:v>
                </c:pt>
                <c:pt idx="739">
                  <c:v>2</c:v>
                </c:pt>
                <c:pt idx="740">
                  <c:v>10</c:v>
                </c:pt>
                <c:pt idx="741">
                  <c:v>5</c:v>
                </c:pt>
                <c:pt idx="742">
                  <c:v>9</c:v>
                </c:pt>
                <c:pt idx="743">
                  <c:v>2</c:v>
                </c:pt>
                <c:pt idx="744">
                  <c:v>11</c:v>
                </c:pt>
                <c:pt idx="745">
                  <c:v>18</c:v>
                </c:pt>
                <c:pt idx="746">
                  <c:v>7</c:v>
                </c:pt>
                <c:pt idx="747">
                  <c:v>3</c:v>
                </c:pt>
                <c:pt idx="748">
                  <c:v>29</c:v>
                </c:pt>
                <c:pt idx="749">
                  <c:v>2</c:v>
                </c:pt>
                <c:pt idx="750">
                  <c:v>28</c:v>
                </c:pt>
                <c:pt idx="751">
                  <c:v>1</c:v>
                </c:pt>
                <c:pt idx="752">
                  <c:v>16</c:v>
                </c:pt>
                <c:pt idx="753">
                  <c:v>22</c:v>
                </c:pt>
                <c:pt idx="754">
                  <c:v>8</c:v>
                </c:pt>
                <c:pt idx="755">
                  <c:v>11</c:v>
                </c:pt>
                <c:pt idx="756">
                  <c:v>29</c:v>
                </c:pt>
                <c:pt idx="757">
                  <c:v>1</c:v>
                </c:pt>
                <c:pt idx="758">
                  <c:v>1</c:v>
                </c:pt>
                <c:pt idx="759">
                  <c:v>24</c:v>
                </c:pt>
                <c:pt idx="760">
                  <c:v>2</c:v>
                </c:pt>
                <c:pt idx="761">
                  <c:v>15</c:v>
                </c:pt>
                <c:pt idx="762">
                  <c:v>2</c:v>
                </c:pt>
                <c:pt idx="763">
                  <c:v>10</c:v>
                </c:pt>
                <c:pt idx="764">
                  <c:v>10</c:v>
                </c:pt>
                <c:pt idx="765">
                  <c:v>3</c:v>
                </c:pt>
                <c:pt idx="766">
                  <c:v>2</c:v>
                </c:pt>
                <c:pt idx="767">
                  <c:v>3</c:v>
                </c:pt>
                <c:pt idx="768">
                  <c:v>26</c:v>
                </c:pt>
                <c:pt idx="769">
                  <c:v>1</c:v>
                </c:pt>
                <c:pt idx="770">
                  <c:v>1</c:v>
                </c:pt>
                <c:pt idx="771">
                  <c:v>2</c:v>
                </c:pt>
                <c:pt idx="772">
                  <c:v>9</c:v>
                </c:pt>
                <c:pt idx="773">
                  <c:v>12</c:v>
                </c:pt>
                <c:pt idx="774">
                  <c:v>2</c:v>
                </c:pt>
                <c:pt idx="775">
                  <c:v>25</c:v>
                </c:pt>
                <c:pt idx="776">
                  <c:v>9</c:v>
                </c:pt>
                <c:pt idx="777">
                  <c:v>10</c:v>
                </c:pt>
                <c:pt idx="778">
                  <c:v>8</c:v>
                </c:pt>
                <c:pt idx="779">
                  <c:v>4</c:v>
                </c:pt>
                <c:pt idx="780">
                  <c:v>24</c:v>
                </c:pt>
                <c:pt idx="781">
                  <c:v>1</c:v>
                </c:pt>
                <c:pt idx="782">
                  <c:v>20</c:v>
                </c:pt>
                <c:pt idx="783">
                  <c:v>7</c:v>
                </c:pt>
                <c:pt idx="784">
                  <c:v>17</c:v>
                </c:pt>
                <c:pt idx="785">
                  <c:v>20</c:v>
                </c:pt>
                <c:pt idx="786">
                  <c:v>8</c:v>
                </c:pt>
                <c:pt idx="787">
                  <c:v>2</c:v>
                </c:pt>
                <c:pt idx="788">
                  <c:v>10</c:v>
                </c:pt>
                <c:pt idx="789">
                  <c:v>1</c:v>
                </c:pt>
                <c:pt idx="790">
                  <c:v>5</c:v>
                </c:pt>
                <c:pt idx="791">
                  <c:v>4</c:v>
                </c:pt>
                <c:pt idx="792">
                  <c:v>29</c:v>
                </c:pt>
                <c:pt idx="793">
                  <c:v>15</c:v>
                </c:pt>
                <c:pt idx="794">
                  <c:v>3</c:v>
                </c:pt>
                <c:pt idx="795">
                  <c:v>10</c:v>
                </c:pt>
                <c:pt idx="796">
                  <c:v>4</c:v>
                </c:pt>
                <c:pt idx="797">
                  <c:v>21</c:v>
                </c:pt>
                <c:pt idx="798">
                  <c:v>25</c:v>
                </c:pt>
                <c:pt idx="799">
                  <c:v>2</c:v>
                </c:pt>
                <c:pt idx="800">
                  <c:v>1</c:v>
                </c:pt>
                <c:pt idx="801">
                  <c:v>1</c:v>
                </c:pt>
                <c:pt idx="802">
                  <c:v>7</c:v>
                </c:pt>
                <c:pt idx="803">
                  <c:v>3</c:v>
                </c:pt>
                <c:pt idx="804">
                  <c:v>1</c:v>
                </c:pt>
                <c:pt idx="805">
                  <c:v>9</c:v>
                </c:pt>
                <c:pt idx="806">
                  <c:v>7</c:v>
                </c:pt>
                <c:pt idx="807">
                  <c:v>10</c:v>
                </c:pt>
                <c:pt idx="808">
                  <c:v>28</c:v>
                </c:pt>
                <c:pt idx="809">
                  <c:v>3</c:v>
                </c:pt>
                <c:pt idx="810">
                  <c:v>3</c:v>
                </c:pt>
                <c:pt idx="811">
                  <c:v>2</c:v>
                </c:pt>
                <c:pt idx="812">
                  <c:v>27</c:v>
                </c:pt>
                <c:pt idx="813">
                  <c:v>2</c:v>
                </c:pt>
                <c:pt idx="814">
                  <c:v>14</c:v>
                </c:pt>
                <c:pt idx="815">
                  <c:v>1</c:v>
                </c:pt>
                <c:pt idx="816">
                  <c:v>9</c:v>
                </c:pt>
                <c:pt idx="817">
                  <c:v>18</c:v>
                </c:pt>
                <c:pt idx="818">
                  <c:v>20</c:v>
                </c:pt>
                <c:pt idx="819">
                  <c:v>2</c:v>
                </c:pt>
                <c:pt idx="820">
                  <c:v>11</c:v>
                </c:pt>
                <c:pt idx="821">
                  <c:v>8</c:v>
                </c:pt>
                <c:pt idx="822">
                  <c:v>2</c:v>
                </c:pt>
                <c:pt idx="823">
                  <c:v>10</c:v>
                </c:pt>
                <c:pt idx="824">
                  <c:v>29</c:v>
                </c:pt>
                <c:pt idx="825">
                  <c:v>8</c:v>
                </c:pt>
                <c:pt idx="826">
                  <c:v>1</c:v>
                </c:pt>
                <c:pt idx="827">
                  <c:v>6</c:v>
                </c:pt>
                <c:pt idx="828">
                  <c:v>8</c:v>
                </c:pt>
                <c:pt idx="829">
                  <c:v>9</c:v>
                </c:pt>
                <c:pt idx="830">
                  <c:v>12</c:v>
                </c:pt>
                <c:pt idx="831">
                  <c:v>15</c:v>
                </c:pt>
                <c:pt idx="832">
                  <c:v>25</c:v>
                </c:pt>
                <c:pt idx="833">
                  <c:v>6</c:v>
                </c:pt>
                <c:pt idx="834">
                  <c:v>9</c:v>
                </c:pt>
                <c:pt idx="835">
                  <c:v>8</c:v>
                </c:pt>
                <c:pt idx="836">
                  <c:v>23</c:v>
                </c:pt>
                <c:pt idx="837">
                  <c:v>9</c:v>
                </c:pt>
                <c:pt idx="838">
                  <c:v>12</c:v>
                </c:pt>
                <c:pt idx="839">
                  <c:v>4</c:v>
                </c:pt>
                <c:pt idx="840">
                  <c:v>1</c:v>
                </c:pt>
                <c:pt idx="841">
                  <c:v>24</c:v>
                </c:pt>
                <c:pt idx="842">
                  <c:v>12</c:v>
                </c:pt>
                <c:pt idx="843">
                  <c:v>3</c:v>
                </c:pt>
                <c:pt idx="844">
                  <c:v>10</c:v>
                </c:pt>
                <c:pt idx="845">
                  <c:v>26</c:v>
                </c:pt>
                <c:pt idx="846">
                  <c:v>2</c:v>
                </c:pt>
                <c:pt idx="847">
                  <c:v>1</c:v>
                </c:pt>
                <c:pt idx="848">
                  <c:v>4</c:v>
                </c:pt>
                <c:pt idx="849">
                  <c:v>9</c:v>
                </c:pt>
                <c:pt idx="850">
                  <c:v>2</c:v>
                </c:pt>
                <c:pt idx="851">
                  <c:v>4</c:v>
                </c:pt>
                <c:pt idx="852">
                  <c:v>6</c:v>
                </c:pt>
                <c:pt idx="853">
                  <c:v>9</c:v>
                </c:pt>
                <c:pt idx="854">
                  <c:v>7</c:v>
                </c:pt>
                <c:pt idx="855">
                  <c:v>1</c:v>
                </c:pt>
                <c:pt idx="856">
                  <c:v>3</c:v>
                </c:pt>
                <c:pt idx="857">
                  <c:v>10</c:v>
                </c:pt>
                <c:pt idx="858">
                  <c:v>7</c:v>
                </c:pt>
                <c:pt idx="859">
                  <c:v>15</c:v>
                </c:pt>
                <c:pt idx="860">
                  <c:v>3</c:v>
                </c:pt>
                <c:pt idx="861">
                  <c:v>2</c:v>
                </c:pt>
                <c:pt idx="862">
                  <c:v>17</c:v>
                </c:pt>
                <c:pt idx="863">
                  <c:v>2</c:v>
                </c:pt>
                <c:pt idx="864">
                  <c:v>5</c:v>
                </c:pt>
                <c:pt idx="865">
                  <c:v>29</c:v>
                </c:pt>
                <c:pt idx="866">
                  <c:v>2</c:v>
                </c:pt>
                <c:pt idx="867">
                  <c:v>2</c:v>
                </c:pt>
                <c:pt idx="868">
                  <c:v>19</c:v>
                </c:pt>
                <c:pt idx="869">
                  <c:v>15</c:v>
                </c:pt>
                <c:pt idx="870">
                  <c:v>17</c:v>
                </c:pt>
                <c:pt idx="871">
                  <c:v>17</c:v>
                </c:pt>
                <c:pt idx="872">
                  <c:v>25</c:v>
                </c:pt>
                <c:pt idx="873">
                  <c:v>6</c:v>
                </c:pt>
                <c:pt idx="874">
                  <c:v>7</c:v>
                </c:pt>
                <c:pt idx="875">
                  <c:v>29</c:v>
                </c:pt>
                <c:pt idx="876">
                  <c:v>21</c:v>
                </c:pt>
                <c:pt idx="877">
                  <c:v>2</c:v>
                </c:pt>
                <c:pt idx="878">
                  <c:v>2</c:v>
                </c:pt>
                <c:pt idx="879">
                  <c:v>7</c:v>
                </c:pt>
                <c:pt idx="880">
                  <c:v>13</c:v>
                </c:pt>
                <c:pt idx="881">
                  <c:v>2</c:v>
                </c:pt>
                <c:pt idx="882">
                  <c:v>1</c:v>
                </c:pt>
                <c:pt idx="883">
                  <c:v>9</c:v>
                </c:pt>
                <c:pt idx="884">
                  <c:v>10</c:v>
                </c:pt>
                <c:pt idx="885">
                  <c:v>10</c:v>
                </c:pt>
                <c:pt idx="886">
                  <c:v>1</c:v>
                </c:pt>
                <c:pt idx="887">
                  <c:v>26</c:v>
                </c:pt>
                <c:pt idx="888">
                  <c:v>8</c:v>
                </c:pt>
                <c:pt idx="889">
                  <c:v>14</c:v>
                </c:pt>
                <c:pt idx="890">
                  <c:v>1</c:v>
                </c:pt>
                <c:pt idx="891">
                  <c:v>2</c:v>
                </c:pt>
                <c:pt idx="892">
                  <c:v>10</c:v>
                </c:pt>
                <c:pt idx="893">
                  <c:v>1</c:v>
                </c:pt>
                <c:pt idx="894">
                  <c:v>3</c:v>
                </c:pt>
                <c:pt idx="895">
                  <c:v>11</c:v>
                </c:pt>
                <c:pt idx="896">
                  <c:v>24</c:v>
                </c:pt>
                <c:pt idx="897">
                  <c:v>3</c:v>
                </c:pt>
                <c:pt idx="898">
                  <c:v>3</c:v>
                </c:pt>
                <c:pt idx="899">
                  <c:v>4</c:v>
                </c:pt>
                <c:pt idx="900">
                  <c:v>3</c:v>
                </c:pt>
                <c:pt idx="901">
                  <c:v>2</c:v>
                </c:pt>
                <c:pt idx="902">
                  <c:v>4</c:v>
                </c:pt>
                <c:pt idx="903">
                  <c:v>7</c:v>
                </c:pt>
                <c:pt idx="904">
                  <c:v>1</c:v>
                </c:pt>
                <c:pt idx="905">
                  <c:v>1</c:v>
                </c:pt>
                <c:pt idx="906">
                  <c:v>20</c:v>
                </c:pt>
                <c:pt idx="907">
                  <c:v>5</c:v>
                </c:pt>
                <c:pt idx="908">
                  <c:v>10</c:v>
                </c:pt>
                <c:pt idx="909">
                  <c:v>25</c:v>
                </c:pt>
                <c:pt idx="910">
                  <c:v>1</c:v>
                </c:pt>
                <c:pt idx="911">
                  <c:v>24</c:v>
                </c:pt>
                <c:pt idx="912">
                  <c:v>4</c:v>
                </c:pt>
                <c:pt idx="913">
                  <c:v>2</c:v>
                </c:pt>
                <c:pt idx="914">
                  <c:v>8</c:v>
                </c:pt>
                <c:pt idx="915">
                  <c:v>10</c:v>
                </c:pt>
                <c:pt idx="916">
                  <c:v>4</c:v>
                </c:pt>
                <c:pt idx="917">
                  <c:v>2</c:v>
                </c:pt>
                <c:pt idx="918">
                  <c:v>9</c:v>
                </c:pt>
                <c:pt idx="919">
                  <c:v>18</c:v>
                </c:pt>
                <c:pt idx="920">
                  <c:v>19</c:v>
                </c:pt>
                <c:pt idx="921">
                  <c:v>1</c:v>
                </c:pt>
                <c:pt idx="922">
                  <c:v>4</c:v>
                </c:pt>
                <c:pt idx="923">
                  <c:v>11</c:v>
                </c:pt>
                <c:pt idx="924">
                  <c:v>6</c:v>
                </c:pt>
                <c:pt idx="925">
                  <c:v>7</c:v>
                </c:pt>
                <c:pt idx="926">
                  <c:v>4</c:v>
                </c:pt>
                <c:pt idx="927">
                  <c:v>2</c:v>
                </c:pt>
                <c:pt idx="928">
                  <c:v>15</c:v>
                </c:pt>
                <c:pt idx="929">
                  <c:v>2</c:v>
                </c:pt>
                <c:pt idx="930">
                  <c:v>6</c:v>
                </c:pt>
                <c:pt idx="931">
                  <c:v>9</c:v>
                </c:pt>
                <c:pt idx="932">
                  <c:v>7</c:v>
                </c:pt>
                <c:pt idx="933">
                  <c:v>1</c:v>
                </c:pt>
                <c:pt idx="934">
                  <c:v>1</c:v>
                </c:pt>
                <c:pt idx="935">
                  <c:v>8</c:v>
                </c:pt>
                <c:pt idx="936">
                  <c:v>25</c:v>
                </c:pt>
                <c:pt idx="937">
                  <c:v>13</c:v>
                </c:pt>
                <c:pt idx="938">
                  <c:v>23</c:v>
                </c:pt>
                <c:pt idx="939">
                  <c:v>7</c:v>
                </c:pt>
                <c:pt idx="940">
                  <c:v>23</c:v>
                </c:pt>
                <c:pt idx="941">
                  <c:v>6</c:v>
                </c:pt>
                <c:pt idx="942">
                  <c:v>10</c:v>
                </c:pt>
                <c:pt idx="943">
                  <c:v>1</c:v>
                </c:pt>
                <c:pt idx="944">
                  <c:v>1</c:v>
                </c:pt>
                <c:pt idx="945">
                  <c:v>28</c:v>
                </c:pt>
                <c:pt idx="946">
                  <c:v>25</c:v>
                </c:pt>
                <c:pt idx="947">
                  <c:v>5</c:v>
                </c:pt>
                <c:pt idx="948">
                  <c:v>17</c:v>
                </c:pt>
                <c:pt idx="949">
                  <c:v>18</c:v>
                </c:pt>
                <c:pt idx="950">
                  <c:v>2</c:v>
                </c:pt>
                <c:pt idx="951">
                  <c:v>10</c:v>
                </c:pt>
                <c:pt idx="952">
                  <c:v>1</c:v>
                </c:pt>
                <c:pt idx="953">
                  <c:v>3</c:v>
                </c:pt>
                <c:pt idx="954">
                  <c:v>2</c:v>
                </c:pt>
                <c:pt idx="955">
                  <c:v>2</c:v>
                </c:pt>
                <c:pt idx="956">
                  <c:v>8</c:v>
                </c:pt>
                <c:pt idx="957">
                  <c:v>16</c:v>
                </c:pt>
                <c:pt idx="958">
                  <c:v>9</c:v>
                </c:pt>
                <c:pt idx="959">
                  <c:v>2</c:v>
                </c:pt>
                <c:pt idx="960">
                  <c:v>1</c:v>
                </c:pt>
                <c:pt idx="961">
                  <c:v>4</c:v>
                </c:pt>
                <c:pt idx="962">
                  <c:v>5</c:v>
                </c:pt>
                <c:pt idx="963">
                  <c:v>2</c:v>
                </c:pt>
                <c:pt idx="964">
                  <c:v>15</c:v>
                </c:pt>
                <c:pt idx="965">
                  <c:v>19</c:v>
                </c:pt>
                <c:pt idx="966">
                  <c:v>7</c:v>
                </c:pt>
                <c:pt idx="967">
                  <c:v>1</c:v>
                </c:pt>
                <c:pt idx="968">
                  <c:v>7</c:v>
                </c:pt>
                <c:pt idx="969">
                  <c:v>4</c:v>
                </c:pt>
                <c:pt idx="970">
                  <c:v>11</c:v>
                </c:pt>
                <c:pt idx="971">
                  <c:v>11</c:v>
                </c:pt>
                <c:pt idx="972">
                  <c:v>1</c:v>
                </c:pt>
                <c:pt idx="973">
                  <c:v>1</c:v>
                </c:pt>
                <c:pt idx="974">
                  <c:v>2</c:v>
                </c:pt>
                <c:pt idx="975">
                  <c:v>13</c:v>
                </c:pt>
                <c:pt idx="976">
                  <c:v>23</c:v>
                </c:pt>
                <c:pt idx="977">
                  <c:v>26</c:v>
                </c:pt>
                <c:pt idx="978">
                  <c:v>2</c:v>
                </c:pt>
                <c:pt idx="979">
                  <c:v>29</c:v>
                </c:pt>
                <c:pt idx="980">
                  <c:v>2</c:v>
                </c:pt>
                <c:pt idx="981">
                  <c:v>18</c:v>
                </c:pt>
                <c:pt idx="982">
                  <c:v>7</c:v>
                </c:pt>
                <c:pt idx="983">
                  <c:v>2</c:v>
                </c:pt>
                <c:pt idx="984">
                  <c:v>26</c:v>
                </c:pt>
                <c:pt idx="985">
                  <c:v>22</c:v>
                </c:pt>
                <c:pt idx="986">
                  <c:v>21</c:v>
                </c:pt>
                <c:pt idx="987">
                  <c:v>2</c:v>
                </c:pt>
                <c:pt idx="988">
                  <c:v>22</c:v>
                </c:pt>
                <c:pt idx="989">
                  <c:v>4</c:v>
                </c:pt>
                <c:pt idx="990">
                  <c:v>5</c:v>
                </c:pt>
                <c:pt idx="991">
                  <c:v>2</c:v>
                </c:pt>
                <c:pt idx="992">
                  <c:v>25</c:v>
                </c:pt>
                <c:pt idx="993">
                  <c:v>18</c:v>
                </c:pt>
                <c:pt idx="994">
                  <c:v>28</c:v>
                </c:pt>
                <c:pt idx="995">
                  <c:v>6</c:v>
                </c:pt>
                <c:pt idx="996">
                  <c:v>10</c:v>
                </c:pt>
                <c:pt idx="997">
                  <c:v>17</c:v>
                </c:pt>
                <c:pt idx="998">
                  <c:v>2</c:v>
                </c:pt>
                <c:pt idx="999">
                  <c:v>10</c:v>
                </c:pt>
                <c:pt idx="1000">
                  <c:v>8</c:v>
                </c:pt>
                <c:pt idx="1001">
                  <c:v>11</c:v>
                </c:pt>
                <c:pt idx="1002">
                  <c:v>18</c:v>
                </c:pt>
                <c:pt idx="1003">
                  <c:v>1</c:v>
                </c:pt>
                <c:pt idx="1004">
                  <c:v>7</c:v>
                </c:pt>
                <c:pt idx="1005">
                  <c:v>17</c:v>
                </c:pt>
                <c:pt idx="1006">
                  <c:v>28</c:v>
                </c:pt>
                <c:pt idx="1007">
                  <c:v>14</c:v>
                </c:pt>
                <c:pt idx="1008">
                  <c:v>1</c:v>
                </c:pt>
                <c:pt idx="1009">
                  <c:v>1</c:v>
                </c:pt>
                <c:pt idx="1010">
                  <c:v>1</c:v>
                </c:pt>
                <c:pt idx="1011">
                  <c:v>3</c:v>
                </c:pt>
                <c:pt idx="1012">
                  <c:v>1</c:v>
                </c:pt>
                <c:pt idx="1013">
                  <c:v>7</c:v>
                </c:pt>
                <c:pt idx="1014">
                  <c:v>8</c:v>
                </c:pt>
                <c:pt idx="1015">
                  <c:v>1</c:v>
                </c:pt>
                <c:pt idx="1016">
                  <c:v>8</c:v>
                </c:pt>
                <c:pt idx="1017">
                  <c:v>11</c:v>
                </c:pt>
                <c:pt idx="1018">
                  <c:v>4</c:v>
                </c:pt>
                <c:pt idx="1019">
                  <c:v>16</c:v>
                </c:pt>
                <c:pt idx="1020">
                  <c:v>1</c:v>
                </c:pt>
                <c:pt idx="1021">
                  <c:v>9</c:v>
                </c:pt>
                <c:pt idx="1022">
                  <c:v>5</c:v>
                </c:pt>
                <c:pt idx="1023">
                  <c:v>1</c:v>
                </c:pt>
                <c:pt idx="1024">
                  <c:v>2</c:v>
                </c:pt>
                <c:pt idx="1025">
                  <c:v>4</c:v>
                </c:pt>
                <c:pt idx="1026">
                  <c:v>7</c:v>
                </c:pt>
                <c:pt idx="1027">
                  <c:v>1</c:v>
                </c:pt>
                <c:pt idx="1028">
                  <c:v>5</c:v>
                </c:pt>
                <c:pt idx="1029">
                  <c:v>9</c:v>
                </c:pt>
                <c:pt idx="1030">
                  <c:v>8</c:v>
                </c:pt>
                <c:pt idx="1031">
                  <c:v>9</c:v>
                </c:pt>
                <c:pt idx="1032">
                  <c:v>2</c:v>
                </c:pt>
                <c:pt idx="1033">
                  <c:v>1</c:v>
                </c:pt>
                <c:pt idx="1034">
                  <c:v>20</c:v>
                </c:pt>
                <c:pt idx="1035">
                  <c:v>8</c:v>
                </c:pt>
                <c:pt idx="1036">
                  <c:v>2</c:v>
                </c:pt>
                <c:pt idx="1037">
                  <c:v>29</c:v>
                </c:pt>
                <c:pt idx="1038">
                  <c:v>7</c:v>
                </c:pt>
                <c:pt idx="1039">
                  <c:v>9</c:v>
                </c:pt>
                <c:pt idx="1040">
                  <c:v>8</c:v>
                </c:pt>
                <c:pt idx="1041">
                  <c:v>5</c:v>
                </c:pt>
                <c:pt idx="1042">
                  <c:v>5</c:v>
                </c:pt>
                <c:pt idx="1043">
                  <c:v>2</c:v>
                </c:pt>
                <c:pt idx="1044">
                  <c:v>5</c:v>
                </c:pt>
                <c:pt idx="1045">
                  <c:v>2</c:v>
                </c:pt>
                <c:pt idx="1046">
                  <c:v>20</c:v>
                </c:pt>
                <c:pt idx="1047">
                  <c:v>7</c:v>
                </c:pt>
                <c:pt idx="1048">
                  <c:v>3</c:v>
                </c:pt>
                <c:pt idx="1049">
                  <c:v>16</c:v>
                </c:pt>
                <c:pt idx="1050">
                  <c:v>9</c:v>
                </c:pt>
                <c:pt idx="1051">
                  <c:v>1</c:v>
                </c:pt>
                <c:pt idx="1052">
                  <c:v>7</c:v>
                </c:pt>
                <c:pt idx="1053">
                  <c:v>1</c:v>
                </c:pt>
                <c:pt idx="1054">
                  <c:v>7</c:v>
                </c:pt>
                <c:pt idx="1055">
                  <c:v>15</c:v>
                </c:pt>
                <c:pt idx="1056">
                  <c:v>1</c:v>
                </c:pt>
                <c:pt idx="1057">
                  <c:v>13</c:v>
                </c:pt>
                <c:pt idx="1058">
                  <c:v>24</c:v>
                </c:pt>
                <c:pt idx="1059">
                  <c:v>7</c:v>
                </c:pt>
                <c:pt idx="1060">
                  <c:v>9</c:v>
                </c:pt>
                <c:pt idx="1061">
                  <c:v>13</c:v>
                </c:pt>
                <c:pt idx="1062">
                  <c:v>2</c:v>
                </c:pt>
                <c:pt idx="1063">
                  <c:v>19</c:v>
                </c:pt>
                <c:pt idx="1064">
                  <c:v>1</c:v>
                </c:pt>
                <c:pt idx="1065">
                  <c:v>4</c:v>
                </c:pt>
                <c:pt idx="1066">
                  <c:v>4</c:v>
                </c:pt>
                <c:pt idx="1067">
                  <c:v>14</c:v>
                </c:pt>
                <c:pt idx="1068">
                  <c:v>2</c:v>
                </c:pt>
                <c:pt idx="1069">
                  <c:v>1</c:v>
                </c:pt>
                <c:pt idx="1070">
                  <c:v>7</c:v>
                </c:pt>
                <c:pt idx="1071">
                  <c:v>3</c:v>
                </c:pt>
                <c:pt idx="1072">
                  <c:v>2</c:v>
                </c:pt>
                <c:pt idx="1073">
                  <c:v>29</c:v>
                </c:pt>
                <c:pt idx="1074">
                  <c:v>8</c:v>
                </c:pt>
                <c:pt idx="1075">
                  <c:v>10</c:v>
                </c:pt>
                <c:pt idx="1076">
                  <c:v>11</c:v>
                </c:pt>
                <c:pt idx="1077">
                  <c:v>1</c:v>
                </c:pt>
                <c:pt idx="1078">
                  <c:v>28</c:v>
                </c:pt>
                <c:pt idx="1079">
                  <c:v>6</c:v>
                </c:pt>
                <c:pt idx="1080">
                  <c:v>3</c:v>
                </c:pt>
                <c:pt idx="1081">
                  <c:v>16</c:v>
                </c:pt>
                <c:pt idx="1082">
                  <c:v>20</c:v>
                </c:pt>
                <c:pt idx="1083">
                  <c:v>9</c:v>
                </c:pt>
                <c:pt idx="1084">
                  <c:v>1</c:v>
                </c:pt>
                <c:pt idx="1085">
                  <c:v>3</c:v>
                </c:pt>
                <c:pt idx="1086">
                  <c:v>22</c:v>
                </c:pt>
                <c:pt idx="1087">
                  <c:v>7</c:v>
                </c:pt>
                <c:pt idx="1088">
                  <c:v>2</c:v>
                </c:pt>
                <c:pt idx="1089">
                  <c:v>13</c:v>
                </c:pt>
                <c:pt idx="1090">
                  <c:v>8</c:v>
                </c:pt>
                <c:pt idx="1091">
                  <c:v>25</c:v>
                </c:pt>
                <c:pt idx="1092">
                  <c:v>28</c:v>
                </c:pt>
                <c:pt idx="1093">
                  <c:v>2</c:v>
                </c:pt>
                <c:pt idx="1094">
                  <c:v>9</c:v>
                </c:pt>
                <c:pt idx="1095">
                  <c:v>28</c:v>
                </c:pt>
                <c:pt idx="1096">
                  <c:v>6</c:v>
                </c:pt>
                <c:pt idx="1097">
                  <c:v>21</c:v>
                </c:pt>
                <c:pt idx="1098">
                  <c:v>8</c:v>
                </c:pt>
                <c:pt idx="1099">
                  <c:v>1</c:v>
                </c:pt>
                <c:pt idx="1100">
                  <c:v>28</c:v>
                </c:pt>
                <c:pt idx="1101">
                  <c:v>5</c:v>
                </c:pt>
                <c:pt idx="1102">
                  <c:v>2</c:v>
                </c:pt>
                <c:pt idx="1103">
                  <c:v>16</c:v>
                </c:pt>
                <c:pt idx="1104">
                  <c:v>9</c:v>
                </c:pt>
                <c:pt idx="1105">
                  <c:v>8</c:v>
                </c:pt>
                <c:pt idx="1106">
                  <c:v>1</c:v>
                </c:pt>
                <c:pt idx="1107">
                  <c:v>10</c:v>
                </c:pt>
                <c:pt idx="1108">
                  <c:v>1</c:v>
                </c:pt>
                <c:pt idx="1109">
                  <c:v>29</c:v>
                </c:pt>
                <c:pt idx="1110">
                  <c:v>2</c:v>
                </c:pt>
                <c:pt idx="1111">
                  <c:v>2</c:v>
                </c:pt>
                <c:pt idx="1112">
                  <c:v>2</c:v>
                </c:pt>
                <c:pt idx="1113">
                  <c:v>1</c:v>
                </c:pt>
                <c:pt idx="1114">
                  <c:v>15</c:v>
                </c:pt>
                <c:pt idx="1115">
                  <c:v>7</c:v>
                </c:pt>
                <c:pt idx="1116">
                  <c:v>26</c:v>
                </c:pt>
                <c:pt idx="1117">
                  <c:v>1</c:v>
                </c:pt>
                <c:pt idx="1118">
                  <c:v>3</c:v>
                </c:pt>
                <c:pt idx="1119">
                  <c:v>14</c:v>
                </c:pt>
                <c:pt idx="1120">
                  <c:v>16</c:v>
                </c:pt>
                <c:pt idx="1121">
                  <c:v>1</c:v>
                </c:pt>
                <c:pt idx="1122">
                  <c:v>3</c:v>
                </c:pt>
                <c:pt idx="1123">
                  <c:v>10</c:v>
                </c:pt>
                <c:pt idx="1124">
                  <c:v>6</c:v>
                </c:pt>
                <c:pt idx="1125">
                  <c:v>2</c:v>
                </c:pt>
                <c:pt idx="1126">
                  <c:v>9</c:v>
                </c:pt>
                <c:pt idx="1127">
                  <c:v>10</c:v>
                </c:pt>
                <c:pt idx="1128">
                  <c:v>6</c:v>
                </c:pt>
                <c:pt idx="1129">
                  <c:v>9</c:v>
                </c:pt>
                <c:pt idx="1130">
                  <c:v>28</c:v>
                </c:pt>
                <c:pt idx="1131">
                  <c:v>10</c:v>
                </c:pt>
                <c:pt idx="1132">
                  <c:v>14</c:v>
                </c:pt>
                <c:pt idx="1133">
                  <c:v>27</c:v>
                </c:pt>
                <c:pt idx="1134">
                  <c:v>7</c:v>
                </c:pt>
                <c:pt idx="1135">
                  <c:v>1</c:v>
                </c:pt>
                <c:pt idx="1136">
                  <c:v>24</c:v>
                </c:pt>
                <c:pt idx="1137">
                  <c:v>26</c:v>
                </c:pt>
                <c:pt idx="1138">
                  <c:v>20</c:v>
                </c:pt>
                <c:pt idx="1139">
                  <c:v>5</c:v>
                </c:pt>
                <c:pt idx="1140">
                  <c:v>7</c:v>
                </c:pt>
                <c:pt idx="1141">
                  <c:v>7</c:v>
                </c:pt>
                <c:pt idx="1142">
                  <c:v>5</c:v>
                </c:pt>
                <c:pt idx="1143">
                  <c:v>26</c:v>
                </c:pt>
                <c:pt idx="1144">
                  <c:v>2</c:v>
                </c:pt>
                <c:pt idx="1145">
                  <c:v>12</c:v>
                </c:pt>
                <c:pt idx="1146">
                  <c:v>10</c:v>
                </c:pt>
                <c:pt idx="1147">
                  <c:v>25</c:v>
                </c:pt>
                <c:pt idx="1148">
                  <c:v>10</c:v>
                </c:pt>
                <c:pt idx="1149">
                  <c:v>19</c:v>
                </c:pt>
                <c:pt idx="1150">
                  <c:v>18</c:v>
                </c:pt>
                <c:pt idx="1151">
                  <c:v>27</c:v>
                </c:pt>
                <c:pt idx="1152">
                  <c:v>5</c:v>
                </c:pt>
                <c:pt idx="1153">
                  <c:v>3</c:v>
                </c:pt>
                <c:pt idx="1154">
                  <c:v>26</c:v>
                </c:pt>
                <c:pt idx="1155">
                  <c:v>3</c:v>
                </c:pt>
                <c:pt idx="1156">
                  <c:v>15</c:v>
                </c:pt>
                <c:pt idx="1157">
                  <c:v>8</c:v>
                </c:pt>
                <c:pt idx="1158">
                  <c:v>19</c:v>
                </c:pt>
                <c:pt idx="1159">
                  <c:v>4</c:v>
                </c:pt>
                <c:pt idx="1160">
                  <c:v>2</c:v>
                </c:pt>
                <c:pt idx="1161">
                  <c:v>2</c:v>
                </c:pt>
                <c:pt idx="1162">
                  <c:v>10</c:v>
                </c:pt>
                <c:pt idx="1163">
                  <c:v>10</c:v>
                </c:pt>
                <c:pt idx="1164">
                  <c:v>16</c:v>
                </c:pt>
                <c:pt idx="1165">
                  <c:v>1</c:v>
                </c:pt>
                <c:pt idx="1166">
                  <c:v>4</c:v>
                </c:pt>
                <c:pt idx="1167">
                  <c:v>15</c:v>
                </c:pt>
                <c:pt idx="1168">
                  <c:v>2</c:v>
                </c:pt>
                <c:pt idx="1169">
                  <c:v>8</c:v>
                </c:pt>
                <c:pt idx="1170">
                  <c:v>2</c:v>
                </c:pt>
                <c:pt idx="1171">
                  <c:v>7</c:v>
                </c:pt>
                <c:pt idx="1172">
                  <c:v>10</c:v>
                </c:pt>
                <c:pt idx="1173">
                  <c:v>5</c:v>
                </c:pt>
                <c:pt idx="1174">
                  <c:v>2</c:v>
                </c:pt>
                <c:pt idx="1175">
                  <c:v>12</c:v>
                </c:pt>
                <c:pt idx="1176">
                  <c:v>22</c:v>
                </c:pt>
                <c:pt idx="1177">
                  <c:v>17</c:v>
                </c:pt>
                <c:pt idx="1178">
                  <c:v>2</c:v>
                </c:pt>
                <c:pt idx="1179">
                  <c:v>3</c:v>
                </c:pt>
                <c:pt idx="1180">
                  <c:v>7</c:v>
                </c:pt>
                <c:pt idx="1181">
                  <c:v>6</c:v>
                </c:pt>
                <c:pt idx="1182">
                  <c:v>1</c:v>
                </c:pt>
                <c:pt idx="1183">
                  <c:v>3</c:v>
                </c:pt>
                <c:pt idx="1184">
                  <c:v>22</c:v>
                </c:pt>
                <c:pt idx="1185">
                  <c:v>15</c:v>
                </c:pt>
                <c:pt idx="1186">
                  <c:v>12</c:v>
                </c:pt>
                <c:pt idx="1187">
                  <c:v>1</c:v>
                </c:pt>
                <c:pt idx="1188">
                  <c:v>5</c:v>
                </c:pt>
                <c:pt idx="1189">
                  <c:v>2</c:v>
                </c:pt>
                <c:pt idx="1190">
                  <c:v>2</c:v>
                </c:pt>
                <c:pt idx="1191">
                  <c:v>5</c:v>
                </c:pt>
                <c:pt idx="1192">
                  <c:v>16</c:v>
                </c:pt>
                <c:pt idx="1193">
                  <c:v>2</c:v>
                </c:pt>
                <c:pt idx="1194">
                  <c:v>2</c:v>
                </c:pt>
                <c:pt idx="1195">
                  <c:v>1</c:v>
                </c:pt>
                <c:pt idx="1196">
                  <c:v>23</c:v>
                </c:pt>
                <c:pt idx="1197">
                  <c:v>9</c:v>
                </c:pt>
                <c:pt idx="1198">
                  <c:v>16</c:v>
                </c:pt>
                <c:pt idx="1199">
                  <c:v>26</c:v>
                </c:pt>
                <c:pt idx="1200">
                  <c:v>1</c:v>
                </c:pt>
                <c:pt idx="1201">
                  <c:v>8</c:v>
                </c:pt>
                <c:pt idx="1202">
                  <c:v>4</c:v>
                </c:pt>
                <c:pt idx="1203">
                  <c:v>24</c:v>
                </c:pt>
                <c:pt idx="1204">
                  <c:v>7</c:v>
                </c:pt>
                <c:pt idx="1205">
                  <c:v>2</c:v>
                </c:pt>
                <c:pt idx="1206">
                  <c:v>7</c:v>
                </c:pt>
                <c:pt idx="1207">
                  <c:v>22</c:v>
                </c:pt>
                <c:pt idx="1208">
                  <c:v>5</c:v>
                </c:pt>
                <c:pt idx="1209">
                  <c:v>1</c:v>
                </c:pt>
                <c:pt idx="1210">
                  <c:v>21</c:v>
                </c:pt>
                <c:pt idx="1211">
                  <c:v>1</c:v>
                </c:pt>
                <c:pt idx="1212">
                  <c:v>19</c:v>
                </c:pt>
                <c:pt idx="1213">
                  <c:v>7</c:v>
                </c:pt>
                <c:pt idx="1214">
                  <c:v>2</c:v>
                </c:pt>
                <c:pt idx="1215">
                  <c:v>2</c:v>
                </c:pt>
                <c:pt idx="1216">
                  <c:v>2</c:v>
                </c:pt>
                <c:pt idx="1217">
                  <c:v>9</c:v>
                </c:pt>
                <c:pt idx="1218">
                  <c:v>6</c:v>
                </c:pt>
                <c:pt idx="1219">
                  <c:v>9</c:v>
                </c:pt>
                <c:pt idx="1220">
                  <c:v>2</c:v>
                </c:pt>
                <c:pt idx="1221">
                  <c:v>1</c:v>
                </c:pt>
                <c:pt idx="1222">
                  <c:v>22</c:v>
                </c:pt>
                <c:pt idx="1223">
                  <c:v>9</c:v>
                </c:pt>
                <c:pt idx="1224">
                  <c:v>17</c:v>
                </c:pt>
                <c:pt idx="1225">
                  <c:v>28</c:v>
                </c:pt>
                <c:pt idx="1226">
                  <c:v>10</c:v>
                </c:pt>
                <c:pt idx="1227">
                  <c:v>2</c:v>
                </c:pt>
                <c:pt idx="1228">
                  <c:v>4</c:v>
                </c:pt>
                <c:pt idx="1229">
                  <c:v>8</c:v>
                </c:pt>
                <c:pt idx="1230">
                  <c:v>29</c:v>
                </c:pt>
                <c:pt idx="1231">
                  <c:v>13</c:v>
                </c:pt>
                <c:pt idx="1232">
                  <c:v>27</c:v>
                </c:pt>
                <c:pt idx="1233">
                  <c:v>16</c:v>
                </c:pt>
                <c:pt idx="1234">
                  <c:v>2</c:v>
                </c:pt>
                <c:pt idx="1235">
                  <c:v>2</c:v>
                </c:pt>
                <c:pt idx="1236">
                  <c:v>13</c:v>
                </c:pt>
                <c:pt idx="1237">
                  <c:v>1</c:v>
                </c:pt>
                <c:pt idx="1238">
                  <c:v>4</c:v>
                </c:pt>
                <c:pt idx="1239">
                  <c:v>24</c:v>
                </c:pt>
                <c:pt idx="1240">
                  <c:v>1</c:v>
                </c:pt>
                <c:pt idx="1241">
                  <c:v>19</c:v>
                </c:pt>
                <c:pt idx="1242">
                  <c:v>7</c:v>
                </c:pt>
                <c:pt idx="1243">
                  <c:v>4</c:v>
                </c:pt>
                <c:pt idx="1244">
                  <c:v>2</c:v>
                </c:pt>
                <c:pt idx="1245">
                  <c:v>10</c:v>
                </c:pt>
                <c:pt idx="1246">
                  <c:v>8</c:v>
                </c:pt>
                <c:pt idx="1247">
                  <c:v>5</c:v>
                </c:pt>
                <c:pt idx="1248">
                  <c:v>8</c:v>
                </c:pt>
                <c:pt idx="1249">
                  <c:v>9</c:v>
                </c:pt>
                <c:pt idx="1250">
                  <c:v>1</c:v>
                </c:pt>
                <c:pt idx="1251">
                  <c:v>15</c:v>
                </c:pt>
                <c:pt idx="1252">
                  <c:v>2</c:v>
                </c:pt>
                <c:pt idx="1253">
                  <c:v>2</c:v>
                </c:pt>
                <c:pt idx="1254">
                  <c:v>11</c:v>
                </c:pt>
                <c:pt idx="1255">
                  <c:v>16</c:v>
                </c:pt>
                <c:pt idx="1256">
                  <c:v>2</c:v>
                </c:pt>
                <c:pt idx="1257">
                  <c:v>16</c:v>
                </c:pt>
                <c:pt idx="1258">
                  <c:v>4</c:v>
                </c:pt>
                <c:pt idx="1259">
                  <c:v>16</c:v>
                </c:pt>
                <c:pt idx="1260">
                  <c:v>5</c:v>
                </c:pt>
                <c:pt idx="1261">
                  <c:v>18</c:v>
                </c:pt>
                <c:pt idx="1262">
                  <c:v>17</c:v>
                </c:pt>
                <c:pt idx="1263">
                  <c:v>12</c:v>
                </c:pt>
                <c:pt idx="1264">
                  <c:v>2</c:v>
                </c:pt>
                <c:pt idx="1265">
                  <c:v>4</c:v>
                </c:pt>
                <c:pt idx="1266">
                  <c:v>9</c:v>
                </c:pt>
                <c:pt idx="1267">
                  <c:v>10</c:v>
                </c:pt>
                <c:pt idx="1268">
                  <c:v>1</c:v>
                </c:pt>
                <c:pt idx="1269">
                  <c:v>2</c:v>
                </c:pt>
                <c:pt idx="1270">
                  <c:v>3</c:v>
                </c:pt>
                <c:pt idx="1271">
                  <c:v>7</c:v>
                </c:pt>
                <c:pt idx="1272">
                  <c:v>6</c:v>
                </c:pt>
                <c:pt idx="1273">
                  <c:v>8</c:v>
                </c:pt>
                <c:pt idx="1274">
                  <c:v>29</c:v>
                </c:pt>
                <c:pt idx="1275">
                  <c:v>3</c:v>
                </c:pt>
                <c:pt idx="1276">
                  <c:v>9</c:v>
                </c:pt>
                <c:pt idx="1277">
                  <c:v>2</c:v>
                </c:pt>
                <c:pt idx="1278">
                  <c:v>10</c:v>
                </c:pt>
                <c:pt idx="1279">
                  <c:v>1</c:v>
                </c:pt>
                <c:pt idx="1280">
                  <c:v>8</c:v>
                </c:pt>
                <c:pt idx="1281">
                  <c:v>27</c:v>
                </c:pt>
                <c:pt idx="1282">
                  <c:v>8</c:v>
                </c:pt>
                <c:pt idx="1283">
                  <c:v>1</c:v>
                </c:pt>
                <c:pt idx="1284">
                  <c:v>10</c:v>
                </c:pt>
                <c:pt idx="1285">
                  <c:v>26</c:v>
                </c:pt>
                <c:pt idx="1286">
                  <c:v>2</c:v>
                </c:pt>
                <c:pt idx="1287">
                  <c:v>13</c:v>
                </c:pt>
                <c:pt idx="1288">
                  <c:v>2</c:v>
                </c:pt>
                <c:pt idx="1289">
                  <c:v>2</c:v>
                </c:pt>
                <c:pt idx="1290">
                  <c:v>9</c:v>
                </c:pt>
                <c:pt idx="1291">
                  <c:v>10</c:v>
                </c:pt>
                <c:pt idx="1292">
                  <c:v>20</c:v>
                </c:pt>
                <c:pt idx="1293">
                  <c:v>9</c:v>
                </c:pt>
                <c:pt idx="1294">
                  <c:v>5</c:v>
                </c:pt>
                <c:pt idx="1295">
                  <c:v>4</c:v>
                </c:pt>
                <c:pt idx="1296">
                  <c:v>10</c:v>
                </c:pt>
                <c:pt idx="1297">
                  <c:v>20</c:v>
                </c:pt>
                <c:pt idx="1298">
                  <c:v>21</c:v>
                </c:pt>
                <c:pt idx="1299">
                  <c:v>1</c:v>
                </c:pt>
                <c:pt idx="1300">
                  <c:v>8</c:v>
                </c:pt>
                <c:pt idx="1301">
                  <c:v>2</c:v>
                </c:pt>
                <c:pt idx="1302">
                  <c:v>23</c:v>
                </c:pt>
                <c:pt idx="1303">
                  <c:v>4</c:v>
                </c:pt>
                <c:pt idx="1304">
                  <c:v>12</c:v>
                </c:pt>
                <c:pt idx="1305">
                  <c:v>7</c:v>
                </c:pt>
                <c:pt idx="1306">
                  <c:v>7</c:v>
                </c:pt>
                <c:pt idx="1307">
                  <c:v>1</c:v>
                </c:pt>
                <c:pt idx="1308">
                  <c:v>2</c:v>
                </c:pt>
                <c:pt idx="1309">
                  <c:v>10</c:v>
                </c:pt>
                <c:pt idx="1310">
                  <c:v>15</c:v>
                </c:pt>
                <c:pt idx="1311">
                  <c:v>14</c:v>
                </c:pt>
                <c:pt idx="1312">
                  <c:v>18</c:v>
                </c:pt>
                <c:pt idx="1313">
                  <c:v>13</c:v>
                </c:pt>
                <c:pt idx="1314">
                  <c:v>2</c:v>
                </c:pt>
                <c:pt idx="1315">
                  <c:v>2</c:v>
                </c:pt>
                <c:pt idx="1316">
                  <c:v>2</c:v>
                </c:pt>
                <c:pt idx="1317">
                  <c:v>5</c:v>
                </c:pt>
                <c:pt idx="1318">
                  <c:v>20</c:v>
                </c:pt>
                <c:pt idx="1319">
                  <c:v>10</c:v>
                </c:pt>
                <c:pt idx="1320">
                  <c:v>10</c:v>
                </c:pt>
                <c:pt idx="1321">
                  <c:v>9</c:v>
                </c:pt>
                <c:pt idx="1322">
                  <c:v>2</c:v>
                </c:pt>
                <c:pt idx="1323">
                  <c:v>1</c:v>
                </c:pt>
                <c:pt idx="1324">
                  <c:v>29</c:v>
                </c:pt>
                <c:pt idx="1325">
                  <c:v>8</c:v>
                </c:pt>
                <c:pt idx="1326">
                  <c:v>2</c:v>
                </c:pt>
                <c:pt idx="1327">
                  <c:v>3</c:v>
                </c:pt>
                <c:pt idx="1328">
                  <c:v>23</c:v>
                </c:pt>
                <c:pt idx="1329">
                  <c:v>6</c:v>
                </c:pt>
                <c:pt idx="1330">
                  <c:v>6</c:v>
                </c:pt>
                <c:pt idx="1331">
                  <c:v>10</c:v>
                </c:pt>
                <c:pt idx="1332">
                  <c:v>24</c:v>
                </c:pt>
                <c:pt idx="1333">
                  <c:v>10</c:v>
                </c:pt>
                <c:pt idx="1334">
                  <c:v>15</c:v>
                </c:pt>
                <c:pt idx="1335">
                  <c:v>19</c:v>
                </c:pt>
                <c:pt idx="1336">
                  <c:v>2</c:v>
                </c:pt>
                <c:pt idx="1337">
                  <c:v>3</c:v>
                </c:pt>
                <c:pt idx="1338">
                  <c:v>9</c:v>
                </c:pt>
                <c:pt idx="1339">
                  <c:v>7</c:v>
                </c:pt>
                <c:pt idx="1340">
                  <c:v>10</c:v>
                </c:pt>
                <c:pt idx="1341">
                  <c:v>20</c:v>
                </c:pt>
                <c:pt idx="1342">
                  <c:v>4</c:v>
                </c:pt>
                <c:pt idx="1343">
                  <c:v>7</c:v>
                </c:pt>
                <c:pt idx="1344">
                  <c:v>7</c:v>
                </c:pt>
                <c:pt idx="1345">
                  <c:v>16</c:v>
                </c:pt>
                <c:pt idx="1346">
                  <c:v>25</c:v>
                </c:pt>
                <c:pt idx="1347">
                  <c:v>2</c:v>
                </c:pt>
                <c:pt idx="1348">
                  <c:v>1</c:v>
                </c:pt>
                <c:pt idx="1349">
                  <c:v>1</c:v>
                </c:pt>
                <c:pt idx="1350">
                  <c:v>2</c:v>
                </c:pt>
                <c:pt idx="1351">
                  <c:v>22</c:v>
                </c:pt>
                <c:pt idx="1352">
                  <c:v>1</c:v>
                </c:pt>
                <c:pt idx="1353">
                  <c:v>16</c:v>
                </c:pt>
                <c:pt idx="1354">
                  <c:v>24</c:v>
                </c:pt>
                <c:pt idx="1355">
                  <c:v>17</c:v>
                </c:pt>
                <c:pt idx="1356">
                  <c:v>8</c:v>
                </c:pt>
                <c:pt idx="1357">
                  <c:v>6</c:v>
                </c:pt>
                <c:pt idx="1358">
                  <c:v>10</c:v>
                </c:pt>
                <c:pt idx="1359">
                  <c:v>3</c:v>
                </c:pt>
                <c:pt idx="1360">
                  <c:v>4</c:v>
                </c:pt>
                <c:pt idx="1361">
                  <c:v>6</c:v>
                </c:pt>
                <c:pt idx="1362">
                  <c:v>1</c:v>
                </c:pt>
                <c:pt idx="1363">
                  <c:v>10</c:v>
                </c:pt>
                <c:pt idx="1364">
                  <c:v>1</c:v>
                </c:pt>
                <c:pt idx="1365">
                  <c:v>24</c:v>
                </c:pt>
                <c:pt idx="1366">
                  <c:v>21</c:v>
                </c:pt>
                <c:pt idx="1367">
                  <c:v>2</c:v>
                </c:pt>
                <c:pt idx="1368">
                  <c:v>22</c:v>
                </c:pt>
                <c:pt idx="1369">
                  <c:v>13</c:v>
                </c:pt>
                <c:pt idx="1370">
                  <c:v>14</c:v>
                </c:pt>
                <c:pt idx="1371">
                  <c:v>11</c:v>
                </c:pt>
                <c:pt idx="1372">
                  <c:v>9</c:v>
                </c:pt>
                <c:pt idx="1373">
                  <c:v>8</c:v>
                </c:pt>
                <c:pt idx="1374">
                  <c:v>21</c:v>
                </c:pt>
                <c:pt idx="1375">
                  <c:v>5</c:v>
                </c:pt>
                <c:pt idx="1376">
                  <c:v>9</c:v>
                </c:pt>
                <c:pt idx="1377">
                  <c:v>2</c:v>
                </c:pt>
                <c:pt idx="1378">
                  <c:v>12</c:v>
                </c:pt>
                <c:pt idx="1379">
                  <c:v>22</c:v>
                </c:pt>
                <c:pt idx="1380">
                  <c:v>18</c:v>
                </c:pt>
                <c:pt idx="1381">
                  <c:v>16</c:v>
                </c:pt>
                <c:pt idx="1382">
                  <c:v>3</c:v>
                </c:pt>
                <c:pt idx="1383">
                  <c:v>9</c:v>
                </c:pt>
                <c:pt idx="1384">
                  <c:v>1</c:v>
                </c:pt>
                <c:pt idx="1385">
                  <c:v>13</c:v>
                </c:pt>
                <c:pt idx="1386">
                  <c:v>1</c:v>
                </c:pt>
                <c:pt idx="1387">
                  <c:v>1</c:v>
                </c:pt>
                <c:pt idx="1388">
                  <c:v>15</c:v>
                </c:pt>
                <c:pt idx="1389">
                  <c:v>1</c:v>
                </c:pt>
                <c:pt idx="1390">
                  <c:v>17</c:v>
                </c:pt>
                <c:pt idx="1391">
                  <c:v>1</c:v>
                </c:pt>
                <c:pt idx="1392">
                  <c:v>7</c:v>
                </c:pt>
                <c:pt idx="1393">
                  <c:v>9</c:v>
                </c:pt>
                <c:pt idx="1394">
                  <c:v>5</c:v>
                </c:pt>
                <c:pt idx="1395">
                  <c:v>26</c:v>
                </c:pt>
                <c:pt idx="1396">
                  <c:v>24</c:v>
                </c:pt>
                <c:pt idx="1397">
                  <c:v>9</c:v>
                </c:pt>
                <c:pt idx="1398">
                  <c:v>7</c:v>
                </c:pt>
                <c:pt idx="1399">
                  <c:v>11</c:v>
                </c:pt>
                <c:pt idx="1400">
                  <c:v>1</c:v>
                </c:pt>
                <c:pt idx="1401">
                  <c:v>26</c:v>
                </c:pt>
                <c:pt idx="1402">
                  <c:v>2</c:v>
                </c:pt>
                <c:pt idx="1403">
                  <c:v>15</c:v>
                </c:pt>
                <c:pt idx="1404">
                  <c:v>23</c:v>
                </c:pt>
                <c:pt idx="1405">
                  <c:v>10</c:v>
                </c:pt>
                <c:pt idx="1406">
                  <c:v>10</c:v>
                </c:pt>
                <c:pt idx="1407">
                  <c:v>1</c:v>
                </c:pt>
                <c:pt idx="1408">
                  <c:v>12</c:v>
                </c:pt>
                <c:pt idx="1409">
                  <c:v>11</c:v>
                </c:pt>
                <c:pt idx="1410">
                  <c:v>2</c:v>
                </c:pt>
                <c:pt idx="1411">
                  <c:v>2</c:v>
                </c:pt>
                <c:pt idx="1412">
                  <c:v>1</c:v>
                </c:pt>
                <c:pt idx="1413">
                  <c:v>2</c:v>
                </c:pt>
                <c:pt idx="1414">
                  <c:v>25</c:v>
                </c:pt>
                <c:pt idx="1415">
                  <c:v>1</c:v>
                </c:pt>
                <c:pt idx="1416">
                  <c:v>1</c:v>
                </c:pt>
                <c:pt idx="1417">
                  <c:v>2</c:v>
                </c:pt>
                <c:pt idx="1418">
                  <c:v>6</c:v>
                </c:pt>
                <c:pt idx="1419">
                  <c:v>18</c:v>
                </c:pt>
                <c:pt idx="1420">
                  <c:v>1</c:v>
                </c:pt>
                <c:pt idx="1421">
                  <c:v>1</c:v>
                </c:pt>
                <c:pt idx="1422">
                  <c:v>11</c:v>
                </c:pt>
                <c:pt idx="1423">
                  <c:v>1</c:v>
                </c:pt>
                <c:pt idx="1424">
                  <c:v>9</c:v>
                </c:pt>
                <c:pt idx="1425">
                  <c:v>15</c:v>
                </c:pt>
                <c:pt idx="1426">
                  <c:v>29</c:v>
                </c:pt>
                <c:pt idx="1427">
                  <c:v>1</c:v>
                </c:pt>
                <c:pt idx="1428">
                  <c:v>1</c:v>
                </c:pt>
                <c:pt idx="1429">
                  <c:v>24</c:v>
                </c:pt>
                <c:pt idx="1430">
                  <c:v>10</c:v>
                </c:pt>
                <c:pt idx="1431">
                  <c:v>1</c:v>
                </c:pt>
                <c:pt idx="1432">
                  <c:v>10</c:v>
                </c:pt>
                <c:pt idx="1433">
                  <c:v>8</c:v>
                </c:pt>
                <c:pt idx="1434">
                  <c:v>29</c:v>
                </c:pt>
                <c:pt idx="1435">
                  <c:v>1</c:v>
                </c:pt>
                <c:pt idx="1436">
                  <c:v>5</c:v>
                </c:pt>
                <c:pt idx="1437">
                  <c:v>9</c:v>
                </c:pt>
                <c:pt idx="1438">
                  <c:v>9</c:v>
                </c:pt>
                <c:pt idx="1439">
                  <c:v>3</c:v>
                </c:pt>
                <c:pt idx="1440">
                  <c:v>4</c:v>
                </c:pt>
                <c:pt idx="1441">
                  <c:v>1</c:v>
                </c:pt>
                <c:pt idx="1442">
                  <c:v>1</c:v>
                </c:pt>
                <c:pt idx="1443">
                  <c:v>2</c:v>
                </c:pt>
                <c:pt idx="1444">
                  <c:v>7</c:v>
                </c:pt>
                <c:pt idx="1445">
                  <c:v>28</c:v>
                </c:pt>
                <c:pt idx="1446">
                  <c:v>28</c:v>
                </c:pt>
                <c:pt idx="1447">
                  <c:v>15</c:v>
                </c:pt>
                <c:pt idx="1448">
                  <c:v>3</c:v>
                </c:pt>
                <c:pt idx="1449">
                  <c:v>2</c:v>
                </c:pt>
                <c:pt idx="1450">
                  <c:v>26</c:v>
                </c:pt>
                <c:pt idx="1451">
                  <c:v>10</c:v>
                </c:pt>
                <c:pt idx="1452">
                  <c:v>1</c:v>
                </c:pt>
                <c:pt idx="1453">
                  <c:v>11</c:v>
                </c:pt>
                <c:pt idx="1454">
                  <c:v>20</c:v>
                </c:pt>
                <c:pt idx="1455">
                  <c:v>2</c:v>
                </c:pt>
                <c:pt idx="1456">
                  <c:v>18</c:v>
                </c:pt>
                <c:pt idx="1457">
                  <c:v>2</c:v>
                </c:pt>
                <c:pt idx="1458">
                  <c:v>1</c:v>
                </c:pt>
                <c:pt idx="1459">
                  <c:v>13</c:v>
                </c:pt>
                <c:pt idx="1460">
                  <c:v>28</c:v>
                </c:pt>
                <c:pt idx="1461">
                  <c:v>28</c:v>
                </c:pt>
                <c:pt idx="1462">
                  <c:v>24</c:v>
                </c:pt>
                <c:pt idx="1463">
                  <c:v>5</c:v>
                </c:pt>
                <c:pt idx="1464">
                  <c:v>5</c:v>
                </c:pt>
                <c:pt idx="1465">
                  <c:v>23</c:v>
                </c:pt>
                <c:pt idx="1466">
                  <c:v>6</c:v>
                </c:pt>
                <c:pt idx="1467">
                  <c:v>4</c:v>
                </c:pt>
                <c:pt idx="1468">
                  <c:v>2</c:v>
                </c:pt>
                <c:pt idx="1469">
                  <c:v>8</c:v>
                </c:pt>
              </c:numCache>
            </c:numRef>
          </c:xVal>
          <c:yVal>
            <c:numRef>
              <c:f>'practice work'!$C$2:$C$1471</c:f>
              <c:numCache>
                <c:formatCode>General</c:formatCode>
                <c:ptCount val="1470"/>
                <c:pt idx="0">
                  <c:v>1</c:v>
                </c:pt>
                <c:pt idx="1">
                  <c:v>0</c:v>
                </c:pt>
                <c:pt idx="2">
                  <c:v>1</c:v>
                </c:pt>
                <c:pt idx="3">
                  <c:v>0</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0</c:v>
                </c:pt>
                <c:pt idx="21">
                  <c:v>1</c:v>
                </c:pt>
                <c:pt idx="22">
                  <c:v>0</c:v>
                </c:pt>
                <c:pt idx="23">
                  <c:v>0</c:v>
                </c:pt>
                <c:pt idx="24">
                  <c:v>1</c:v>
                </c:pt>
                <c:pt idx="25">
                  <c:v>0</c:v>
                </c:pt>
                <c:pt idx="26">
                  <c:v>1</c:v>
                </c:pt>
                <c:pt idx="27">
                  <c:v>0</c:v>
                </c:pt>
                <c:pt idx="28">
                  <c:v>0</c:v>
                </c:pt>
                <c:pt idx="29">
                  <c:v>0</c:v>
                </c:pt>
                <c:pt idx="30">
                  <c:v>0</c:v>
                </c:pt>
                <c:pt idx="31">
                  <c:v>0</c:v>
                </c:pt>
                <c:pt idx="32">
                  <c:v>0</c:v>
                </c:pt>
                <c:pt idx="33">
                  <c:v>1</c:v>
                </c:pt>
                <c:pt idx="34">
                  <c:v>1</c:v>
                </c:pt>
                <c:pt idx="35">
                  <c:v>0</c:v>
                </c:pt>
                <c:pt idx="36">
                  <c:v>1</c:v>
                </c:pt>
                <c:pt idx="37">
                  <c:v>0</c:v>
                </c:pt>
                <c:pt idx="38">
                  <c:v>0</c:v>
                </c:pt>
                <c:pt idx="39">
                  <c:v>0</c:v>
                </c:pt>
                <c:pt idx="40">
                  <c:v>0</c:v>
                </c:pt>
                <c:pt idx="41">
                  <c:v>0</c:v>
                </c:pt>
                <c:pt idx="42">
                  <c:v>1</c:v>
                </c:pt>
                <c:pt idx="43">
                  <c:v>0</c:v>
                </c:pt>
                <c:pt idx="44">
                  <c:v>0</c:v>
                </c:pt>
                <c:pt idx="45">
                  <c:v>1</c:v>
                </c:pt>
                <c:pt idx="46">
                  <c:v>0</c:v>
                </c:pt>
                <c:pt idx="47">
                  <c:v>0</c:v>
                </c:pt>
                <c:pt idx="48">
                  <c:v>0</c:v>
                </c:pt>
                <c:pt idx="49">
                  <c:v>0</c:v>
                </c:pt>
                <c:pt idx="50">
                  <c:v>1</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1</c:v>
                </c:pt>
                <c:pt idx="90">
                  <c:v>0</c:v>
                </c:pt>
                <c:pt idx="91">
                  <c:v>0</c:v>
                </c:pt>
                <c:pt idx="92">
                  <c:v>0</c:v>
                </c:pt>
                <c:pt idx="93">
                  <c:v>0</c:v>
                </c:pt>
                <c:pt idx="94">
                  <c:v>0</c:v>
                </c:pt>
                <c:pt idx="95">
                  <c:v>0</c:v>
                </c:pt>
                <c:pt idx="96">
                  <c:v>0</c:v>
                </c:pt>
                <c:pt idx="97">
                  <c:v>0</c:v>
                </c:pt>
                <c:pt idx="98">
                  <c:v>0</c:v>
                </c:pt>
                <c:pt idx="99">
                  <c:v>0</c:v>
                </c:pt>
                <c:pt idx="100">
                  <c:v>1</c:v>
                </c:pt>
                <c:pt idx="101">
                  <c:v>0</c:v>
                </c:pt>
                <c:pt idx="102">
                  <c:v>1</c:v>
                </c:pt>
                <c:pt idx="103">
                  <c:v>0</c:v>
                </c:pt>
                <c:pt idx="104">
                  <c:v>0</c:v>
                </c:pt>
                <c:pt idx="105">
                  <c:v>0</c:v>
                </c:pt>
                <c:pt idx="106">
                  <c:v>0</c:v>
                </c:pt>
                <c:pt idx="107">
                  <c:v>1</c:v>
                </c:pt>
                <c:pt idx="108">
                  <c:v>0</c:v>
                </c:pt>
                <c:pt idx="109">
                  <c:v>0</c:v>
                </c:pt>
                <c:pt idx="110">
                  <c:v>0</c:v>
                </c:pt>
                <c:pt idx="111">
                  <c:v>1</c:v>
                </c:pt>
                <c:pt idx="112">
                  <c:v>0</c:v>
                </c:pt>
                <c:pt idx="113">
                  <c:v>0</c:v>
                </c:pt>
                <c:pt idx="114">
                  <c:v>0</c:v>
                </c:pt>
                <c:pt idx="115">
                  <c:v>0</c:v>
                </c:pt>
                <c:pt idx="116">
                  <c:v>0</c:v>
                </c:pt>
                <c:pt idx="117">
                  <c:v>0</c:v>
                </c:pt>
                <c:pt idx="118">
                  <c:v>0</c:v>
                </c:pt>
                <c:pt idx="119">
                  <c:v>0</c:v>
                </c:pt>
                <c:pt idx="120">
                  <c:v>0</c:v>
                </c:pt>
                <c:pt idx="121">
                  <c:v>0</c:v>
                </c:pt>
                <c:pt idx="122">
                  <c:v>1</c:v>
                </c:pt>
                <c:pt idx="123">
                  <c:v>0</c:v>
                </c:pt>
                <c:pt idx="124">
                  <c:v>1</c:v>
                </c:pt>
                <c:pt idx="125">
                  <c:v>0</c:v>
                </c:pt>
                <c:pt idx="126">
                  <c:v>1</c:v>
                </c:pt>
                <c:pt idx="127">
                  <c:v>1</c:v>
                </c:pt>
                <c:pt idx="128">
                  <c:v>0</c:v>
                </c:pt>
                <c:pt idx="129">
                  <c:v>0</c:v>
                </c:pt>
                <c:pt idx="130">
                  <c:v>0</c:v>
                </c:pt>
                <c:pt idx="131">
                  <c:v>0</c:v>
                </c:pt>
                <c:pt idx="132">
                  <c:v>1</c:v>
                </c:pt>
                <c:pt idx="133">
                  <c:v>0</c:v>
                </c:pt>
                <c:pt idx="134">
                  <c:v>0</c:v>
                </c:pt>
                <c:pt idx="135">
                  <c:v>0</c:v>
                </c:pt>
                <c:pt idx="136">
                  <c:v>1</c:v>
                </c:pt>
                <c:pt idx="137">
                  <c:v>0</c:v>
                </c:pt>
                <c:pt idx="138">
                  <c:v>0</c:v>
                </c:pt>
                <c:pt idx="139">
                  <c:v>0</c:v>
                </c:pt>
                <c:pt idx="140">
                  <c:v>1</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1</c:v>
                </c:pt>
                <c:pt idx="172">
                  <c:v>0</c:v>
                </c:pt>
                <c:pt idx="173">
                  <c:v>0</c:v>
                </c:pt>
                <c:pt idx="174">
                  <c:v>0</c:v>
                </c:pt>
                <c:pt idx="175">
                  <c:v>0</c:v>
                </c:pt>
                <c:pt idx="176">
                  <c:v>0</c:v>
                </c:pt>
                <c:pt idx="177">
                  <c:v>1</c:v>
                </c:pt>
                <c:pt idx="178">
                  <c:v>0</c:v>
                </c:pt>
                <c:pt idx="179">
                  <c:v>0</c:v>
                </c:pt>
                <c:pt idx="180">
                  <c:v>0</c:v>
                </c:pt>
                <c:pt idx="181">
                  <c:v>0</c:v>
                </c:pt>
                <c:pt idx="182">
                  <c:v>1</c:v>
                </c:pt>
                <c:pt idx="183">
                  <c:v>0</c:v>
                </c:pt>
                <c:pt idx="184">
                  <c:v>0</c:v>
                </c:pt>
                <c:pt idx="185">
                  <c:v>0</c:v>
                </c:pt>
                <c:pt idx="186">
                  <c:v>0</c:v>
                </c:pt>
                <c:pt idx="187">
                  <c:v>0</c:v>
                </c:pt>
                <c:pt idx="188">
                  <c:v>0</c:v>
                </c:pt>
                <c:pt idx="189">
                  <c:v>0</c:v>
                </c:pt>
                <c:pt idx="190">
                  <c:v>0</c:v>
                </c:pt>
                <c:pt idx="191">
                  <c:v>0</c:v>
                </c:pt>
                <c:pt idx="192">
                  <c:v>1</c:v>
                </c:pt>
                <c:pt idx="193">
                  <c:v>0</c:v>
                </c:pt>
                <c:pt idx="194">
                  <c:v>0</c:v>
                </c:pt>
                <c:pt idx="195">
                  <c:v>0</c:v>
                </c:pt>
                <c:pt idx="196">
                  <c:v>0</c:v>
                </c:pt>
                <c:pt idx="197">
                  <c:v>0</c:v>
                </c:pt>
                <c:pt idx="198">
                  <c:v>0</c:v>
                </c:pt>
                <c:pt idx="199">
                  <c:v>0</c:v>
                </c:pt>
                <c:pt idx="200">
                  <c:v>0</c:v>
                </c:pt>
                <c:pt idx="201">
                  <c:v>0</c:v>
                </c:pt>
                <c:pt idx="202">
                  <c:v>0</c:v>
                </c:pt>
                <c:pt idx="203">
                  <c:v>0</c:v>
                </c:pt>
                <c:pt idx="204">
                  <c:v>1</c:v>
                </c:pt>
                <c:pt idx="205">
                  <c:v>1</c:v>
                </c:pt>
                <c:pt idx="206">
                  <c:v>0</c:v>
                </c:pt>
                <c:pt idx="207">
                  <c:v>0</c:v>
                </c:pt>
                <c:pt idx="208">
                  <c:v>0</c:v>
                </c:pt>
                <c:pt idx="209">
                  <c:v>0</c:v>
                </c:pt>
                <c:pt idx="210">
                  <c:v>1</c:v>
                </c:pt>
                <c:pt idx="211">
                  <c:v>0</c:v>
                </c:pt>
                <c:pt idx="212">
                  <c:v>0</c:v>
                </c:pt>
                <c:pt idx="213">
                  <c:v>0</c:v>
                </c:pt>
                <c:pt idx="214">
                  <c:v>1</c:v>
                </c:pt>
                <c:pt idx="215">
                  <c:v>0</c:v>
                </c:pt>
                <c:pt idx="216">
                  <c:v>1</c:v>
                </c:pt>
                <c:pt idx="217">
                  <c:v>1</c:v>
                </c:pt>
                <c:pt idx="218">
                  <c:v>0</c:v>
                </c:pt>
                <c:pt idx="219">
                  <c:v>0</c:v>
                </c:pt>
                <c:pt idx="220">
                  <c:v>0</c:v>
                </c:pt>
                <c:pt idx="221">
                  <c:v>0</c:v>
                </c:pt>
                <c:pt idx="222">
                  <c:v>0</c:v>
                </c:pt>
                <c:pt idx="223">
                  <c:v>0</c:v>
                </c:pt>
                <c:pt idx="224">
                  <c:v>0</c:v>
                </c:pt>
                <c:pt idx="225">
                  <c:v>0</c:v>
                </c:pt>
                <c:pt idx="226">
                  <c:v>0</c:v>
                </c:pt>
                <c:pt idx="227">
                  <c:v>0</c:v>
                </c:pt>
                <c:pt idx="228">
                  <c:v>0</c:v>
                </c:pt>
                <c:pt idx="229">
                  <c:v>1</c:v>
                </c:pt>
                <c:pt idx="230">
                  <c:v>0</c:v>
                </c:pt>
                <c:pt idx="231">
                  <c:v>0</c:v>
                </c:pt>
                <c:pt idx="232">
                  <c:v>0</c:v>
                </c:pt>
                <c:pt idx="233">
                  <c:v>0</c:v>
                </c:pt>
                <c:pt idx="234">
                  <c:v>1</c:v>
                </c:pt>
                <c:pt idx="235">
                  <c:v>0</c:v>
                </c:pt>
                <c:pt idx="236">
                  <c:v>1</c:v>
                </c:pt>
                <c:pt idx="237">
                  <c:v>0</c:v>
                </c:pt>
                <c:pt idx="238">
                  <c:v>0</c:v>
                </c:pt>
                <c:pt idx="239">
                  <c:v>1</c:v>
                </c:pt>
                <c:pt idx="240">
                  <c:v>0</c:v>
                </c:pt>
                <c:pt idx="241">
                  <c:v>0</c:v>
                </c:pt>
                <c:pt idx="242">
                  <c:v>0</c:v>
                </c:pt>
                <c:pt idx="243">
                  <c:v>0</c:v>
                </c:pt>
                <c:pt idx="244">
                  <c:v>0</c:v>
                </c:pt>
                <c:pt idx="245">
                  <c:v>0</c:v>
                </c:pt>
                <c:pt idx="246">
                  <c:v>0</c:v>
                </c:pt>
                <c:pt idx="247">
                  <c:v>0</c:v>
                </c:pt>
                <c:pt idx="248">
                  <c:v>0</c:v>
                </c:pt>
                <c:pt idx="249">
                  <c:v>0</c:v>
                </c:pt>
                <c:pt idx="250">
                  <c:v>1</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1</c:v>
                </c:pt>
                <c:pt idx="265">
                  <c:v>0</c:v>
                </c:pt>
                <c:pt idx="266">
                  <c:v>0</c:v>
                </c:pt>
                <c:pt idx="267">
                  <c:v>0</c:v>
                </c:pt>
                <c:pt idx="268">
                  <c:v>0</c:v>
                </c:pt>
                <c:pt idx="269">
                  <c:v>0</c:v>
                </c:pt>
                <c:pt idx="270">
                  <c:v>0</c:v>
                </c:pt>
                <c:pt idx="271">
                  <c:v>1</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1</c:v>
                </c:pt>
                <c:pt idx="287">
                  <c:v>0</c:v>
                </c:pt>
                <c:pt idx="288">
                  <c:v>1</c:v>
                </c:pt>
                <c:pt idx="289">
                  <c:v>0</c:v>
                </c:pt>
                <c:pt idx="290">
                  <c:v>0</c:v>
                </c:pt>
                <c:pt idx="291">
                  <c:v>0</c:v>
                </c:pt>
                <c:pt idx="292">
                  <c:v>0</c:v>
                </c:pt>
                <c:pt idx="293">
                  <c:v>1</c:v>
                </c:pt>
                <c:pt idx="294">
                  <c:v>0</c:v>
                </c:pt>
                <c:pt idx="295">
                  <c:v>0</c:v>
                </c:pt>
                <c:pt idx="296">
                  <c:v>1</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1</c:v>
                </c:pt>
                <c:pt idx="318">
                  <c:v>0</c:v>
                </c:pt>
                <c:pt idx="319">
                  <c:v>0</c:v>
                </c:pt>
                <c:pt idx="320">
                  <c:v>0</c:v>
                </c:pt>
                <c:pt idx="321">
                  <c:v>0</c:v>
                </c:pt>
                <c:pt idx="322">
                  <c:v>0</c:v>
                </c:pt>
                <c:pt idx="323">
                  <c:v>1</c:v>
                </c:pt>
                <c:pt idx="324">
                  <c:v>0</c:v>
                </c:pt>
                <c:pt idx="325">
                  <c:v>0</c:v>
                </c:pt>
                <c:pt idx="326">
                  <c:v>0</c:v>
                </c:pt>
                <c:pt idx="327">
                  <c:v>1</c:v>
                </c:pt>
                <c:pt idx="328">
                  <c:v>0</c:v>
                </c:pt>
                <c:pt idx="329">
                  <c:v>0</c:v>
                </c:pt>
                <c:pt idx="330">
                  <c:v>0</c:v>
                </c:pt>
                <c:pt idx="331">
                  <c:v>0</c:v>
                </c:pt>
                <c:pt idx="332">
                  <c:v>0</c:v>
                </c:pt>
                <c:pt idx="333">
                  <c:v>0</c:v>
                </c:pt>
                <c:pt idx="334">
                  <c:v>0</c:v>
                </c:pt>
                <c:pt idx="335">
                  <c:v>0</c:v>
                </c:pt>
                <c:pt idx="336">
                  <c:v>1</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1</c:v>
                </c:pt>
                <c:pt idx="358">
                  <c:v>0</c:v>
                </c:pt>
                <c:pt idx="359">
                  <c:v>0</c:v>
                </c:pt>
                <c:pt idx="360">
                  <c:v>0</c:v>
                </c:pt>
                <c:pt idx="361">
                  <c:v>0</c:v>
                </c:pt>
                <c:pt idx="362">
                  <c:v>0</c:v>
                </c:pt>
                <c:pt idx="363">
                  <c:v>1</c:v>
                </c:pt>
                <c:pt idx="364">
                  <c:v>0</c:v>
                </c:pt>
                <c:pt idx="365">
                  <c:v>0</c:v>
                </c:pt>
                <c:pt idx="366">
                  <c:v>1</c:v>
                </c:pt>
                <c:pt idx="367">
                  <c:v>0</c:v>
                </c:pt>
                <c:pt idx="368">
                  <c:v>1</c:v>
                </c:pt>
                <c:pt idx="369">
                  <c:v>0</c:v>
                </c:pt>
                <c:pt idx="370">
                  <c:v>1</c:v>
                </c:pt>
                <c:pt idx="371">
                  <c:v>0</c:v>
                </c:pt>
                <c:pt idx="372">
                  <c:v>0</c:v>
                </c:pt>
                <c:pt idx="373">
                  <c:v>0</c:v>
                </c:pt>
                <c:pt idx="374">
                  <c:v>0</c:v>
                </c:pt>
                <c:pt idx="375">
                  <c:v>0</c:v>
                </c:pt>
                <c:pt idx="376">
                  <c:v>0</c:v>
                </c:pt>
                <c:pt idx="377">
                  <c:v>0</c:v>
                </c:pt>
                <c:pt idx="378">
                  <c:v>1</c:v>
                </c:pt>
                <c:pt idx="379">
                  <c:v>0</c:v>
                </c:pt>
                <c:pt idx="380">
                  <c:v>0</c:v>
                </c:pt>
                <c:pt idx="381">
                  <c:v>0</c:v>
                </c:pt>
                <c:pt idx="382">
                  <c:v>1</c:v>
                </c:pt>
                <c:pt idx="383">
                  <c:v>0</c:v>
                </c:pt>
                <c:pt idx="384">
                  <c:v>0</c:v>
                </c:pt>
                <c:pt idx="385">
                  <c:v>1</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1</c:v>
                </c:pt>
                <c:pt idx="406">
                  <c:v>0</c:v>
                </c:pt>
                <c:pt idx="407">
                  <c:v>0</c:v>
                </c:pt>
                <c:pt idx="408">
                  <c:v>0</c:v>
                </c:pt>
                <c:pt idx="409">
                  <c:v>0</c:v>
                </c:pt>
                <c:pt idx="410">
                  <c:v>0</c:v>
                </c:pt>
                <c:pt idx="411">
                  <c:v>0</c:v>
                </c:pt>
                <c:pt idx="412">
                  <c:v>0</c:v>
                </c:pt>
                <c:pt idx="413">
                  <c:v>0</c:v>
                </c:pt>
                <c:pt idx="414">
                  <c:v>1</c:v>
                </c:pt>
                <c:pt idx="415">
                  <c:v>1</c:v>
                </c:pt>
                <c:pt idx="416">
                  <c:v>0</c:v>
                </c:pt>
                <c:pt idx="417">
                  <c:v>0</c:v>
                </c:pt>
                <c:pt idx="418">
                  <c:v>0</c:v>
                </c:pt>
                <c:pt idx="419">
                  <c:v>0</c:v>
                </c:pt>
                <c:pt idx="420">
                  <c:v>0</c:v>
                </c:pt>
                <c:pt idx="421">
                  <c:v>1</c:v>
                </c:pt>
                <c:pt idx="422">
                  <c:v>1</c:v>
                </c:pt>
                <c:pt idx="423">
                  <c:v>0</c:v>
                </c:pt>
                <c:pt idx="424">
                  <c:v>0</c:v>
                </c:pt>
                <c:pt idx="425">
                  <c:v>0</c:v>
                </c:pt>
                <c:pt idx="426">
                  <c:v>0</c:v>
                </c:pt>
                <c:pt idx="427">
                  <c:v>0</c:v>
                </c:pt>
                <c:pt idx="428">
                  <c:v>0</c:v>
                </c:pt>
                <c:pt idx="429">
                  <c:v>0</c:v>
                </c:pt>
                <c:pt idx="430">
                  <c:v>0</c:v>
                </c:pt>
                <c:pt idx="431">
                  <c:v>0</c:v>
                </c:pt>
                <c:pt idx="432">
                  <c:v>0</c:v>
                </c:pt>
                <c:pt idx="433">
                  <c:v>0</c:v>
                </c:pt>
                <c:pt idx="434">
                  <c:v>0</c:v>
                </c:pt>
                <c:pt idx="435">
                  <c:v>1</c:v>
                </c:pt>
                <c:pt idx="436">
                  <c:v>1</c:v>
                </c:pt>
                <c:pt idx="437">
                  <c:v>0</c:v>
                </c:pt>
                <c:pt idx="438">
                  <c:v>0</c:v>
                </c:pt>
                <c:pt idx="439">
                  <c:v>1</c:v>
                </c:pt>
                <c:pt idx="440">
                  <c:v>1</c:v>
                </c:pt>
                <c:pt idx="441">
                  <c:v>0</c:v>
                </c:pt>
                <c:pt idx="442">
                  <c:v>0</c:v>
                </c:pt>
                <c:pt idx="443">
                  <c:v>1</c:v>
                </c:pt>
                <c:pt idx="444">
                  <c:v>0</c:v>
                </c:pt>
                <c:pt idx="445">
                  <c:v>0</c:v>
                </c:pt>
                <c:pt idx="446">
                  <c:v>0</c:v>
                </c:pt>
                <c:pt idx="447">
                  <c:v>0</c:v>
                </c:pt>
                <c:pt idx="448">
                  <c:v>0</c:v>
                </c:pt>
                <c:pt idx="449">
                  <c:v>0</c:v>
                </c:pt>
                <c:pt idx="450">
                  <c:v>0</c:v>
                </c:pt>
                <c:pt idx="451">
                  <c:v>0</c:v>
                </c:pt>
                <c:pt idx="452">
                  <c:v>0</c:v>
                </c:pt>
                <c:pt idx="453">
                  <c:v>1</c:v>
                </c:pt>
                <c:pt idx="454">
                  <c:v>0</c:v>
                </c:pt>
                <c:pt idx="455">
                  <c:v>0</c:v>
                </c:pt>
                <c:pt idx="456">
                  <c:v>0</c:v>
                </c:pt>
                <c:pt idx="457">
                  <c:v>1</c:v>
                </c:pt>
                <c:pt idx="458">
                  <c:v>0</c:v>
                </c:pt>
                <c:pt idx="459">
                  <c:v>0</c:v>
                </c:pt>
                <c:pt idx="460">
                  <c:v>0</c:v>
                </c:pt>
                <c:pt idx="461">
                  <c:v>0</c:v>
                </c:pt>
                <c:pt idx="462">
                  <c:v>0</c:v>
                </c:pt>
                <c:pt idx="463">
                  <c:v>1</c:v>
                </c:pt>
                <c:pt idx="464">
                  <c:v>0</c:v>
                </c:pt>
                <c:pt idx="465">
                  <c:v>0</c:v>
                </c:pt>
                <c:pt idx="466">
                  <c:v>0</c:v>
                </c:pt>
                <c:pt idx="467">
                  <c:v>0</c:v>
                </c:pt>
                <c:pt idx="468">
                  <c:v>0</c:v>
                </c:pt>
                <c:pt idx="469">
                  <c:v>1</c:v>
                </c:pt>
                <c:pt idx="470">
                  <c:v>0</c:v>
                </c:pt>
                <c:pt idx="471">
                  <c:v>0</c:v>
                </c:pt>
                <c:pt idx="472">
                  <c:v>0</c:v>
                </c:pt>
                <c:pt idx="473">
                  <c:v>0</c:v>
                </c:pt>
                <c:pt idx="474">
                  <c:v>0</c:v>
                </c:pt>
                <c:pt idx="475">
                  <c:v>0</c:v>
                </c:pt>
                <c:pt idx="476">
                  <c:v>0</c:v>
                </c:pt>
                <c:pt idx="477">
                  <c:v>0</c:v>
                </c:pt>
                <c:pt idx="478">
                  <c:v>0</c:v>
                </c:pt>
                <c:pt idx="479">
                  <c:v>1</c:v>
                </c:pt>
                <c:pt idx="480">
                  <c:v>1</c:v>
                </c:pt>
                <c:pt idx="481">
                  <c:v>0</c:v>
                </c:pt>
                <c:pt idx="482">
                  <c:v>1</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1</c:v>
                </c:pt>
                <c:pt idx="505">
                  <c:v>0</c:v>
                </c:pt>
                <c:pt idx="506">
                  <c:v>0</c:v>
                </c:pt>
                <c:pt idx="507">
                  <c:v>0</c:v>
                </c:pt>
                <c:pt idx="508">
                  <c:v>0</c:v>
                </c:pt>
                <c:pt idx="509">
                  <c:v>0</c:v>
                </c:pt>
                <c:pt idx="510">
                  <c:v>0</c:v>
                </c:pt>
                <c:pt idx="511">
                  <c:v>0</c:v>
                </c:pt>
                <c:pt idx="512">
                  <c:v>0</c:v>
                </c:pt>
                <c:pt idx="513">
                  <c:v>1</c:v>
                </c:pt>
                <c:pt idx="514">
                  <c:v>1</c:v>
                </c:pt>
                <c:pt idx="515">
                  <c:v>0</c:v>
                </c:pt>
                <c:pt idx="516">
                  <c:v>0</c:v>
                </c:pt>
                <c:pt idx="517">
                  <c:v>0</c:v>
                </c:pt>
                <c:pt idx="518">
                  <c:v>0</c:v>
                </c:pt>
                <c:pt idx="519">
                  <c:v>0</c:v>
                </c:pt>
                <c:pt idx="520">
                  <c:v>0</c:v>
                </c:pt>
                <c:pt idx="521">
                  <c:v>0</c:v>
                </c:pt>
                <c:pt idx="522">
                  <c:v>0</c:v>
                </c:pt>
                <c:pt idx="523">
                  <c:v>0</c:v>
                </c:pt>
                <c:pt idx="524">
                  <c:v>0</c:v>
                </c:pt>
                <c:pt idx="525">
                  <c:v>1</c:v>
                </c:pt>
                <c:pt idx="526">
                  <c:v>0</c:v>
                </c:pt>
                <c:pt idx="527">
                  <c:v>0</c:v>
                </c:pt>
                <c:pt idx="528">
                  <c:v>1</c:v>
                </c:pt>
                <c:pt idx="529">
                  <c:v>0</c:v>
                </c:pt>
                <c:pt idx="530">
                  <c:v>0</c:v>
                </c:pt>
                <c:pt idx="531">
                  <c:v>0</c:v>
                </c:pt>
                <c:pt idx="532">
                  <c:v>0</c:v>
                </c:pt>
                <c:pt idx="533">
                  <c:v>0</c:v>
                </c:pt>
                <c:pt idx="534">
                  <c:v>0</c:v>
                </c:pt>
                <c:pt idx="535">
                  <c:v>0</c:v>
                </c:pt>
                <c:pt idx="536">
                  <c:v>0</c:v>
                </c:pt>
                <c:pt idx="537">
                  <c:v>0</c:v>
                </c:pt>
                <c:pt idx="538">
                  <c:v>0</c:v>
                </c:pt>
                <c:pt idx="539">
                  <c:v>0</c:v>
                </c:pt>
                <c:pt idx="540">
                  <c:v>1</c:v>
                </c:pt>
                <c:pt idx="541">
                  <c:v>0</c:v>
                </c:pt>
                <c:pt idx="542">
                  <c:v>0</c:v>
                </c:pt>
                <c:pt idx="543">
                  <c:v>0</c:v>
                </c:pt>
                <c:pt idx="544">
                  <c:v>0</c:v>
                </c:pt>
                <c:pt idx="545">
                  <c:v>0</c:v>
                </c:pt>
                <c:pt idx="546">
                  <c:v>0</c:v>
                </c:pt>
                <c:pt idx="547">
                  <c:v>1</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1</c:v>
                </c:pt>
                <c:pt idx="563">
                  <c:v>0</c:v>
                </c:pt>
                <c:pt idx="564">
                  <c:v>0</c:v>
                </c:pt>
                <c:pt idx="565">
                  <c:v>0</c:v>
                </c:pt>
                <c:pt idx="566">
                  <c:v>1</c:v>
                </c:pt>
                <c:pt idx="567">
                  <c:v>0</c:v>
                </c:pt>
                <c:pt idx="568">
                  <c:v>1</c:v>
                </c:pt>
                <c:pt idx="569">
                  <c:v>0</c:v>
                </c:pt>
                <c:pt idx="570">
                  <c:v>0</c:v>
                </c:pt>
                <c:pt idx="571">
                  <c:v>0</c:v>
                </c:pt>
                <c:pt idx="572">
                  <c:v>0</c:v>
                </c:pt>
                <c:pt idx="573">
                  <c:v>1</c:v>
                </c:pt>
                <c:pt idx="574">
                  <c:v>0</c:v>
                </c:pt>
                <c:pt idx="575">
                  <c:v>0</c:v>
                </c:pt>
                <c:pt idx="576">
                  <c:v>0</c:v>
                </c:pt>
                <c:pt idx="577">
                  <c:v>0</c:v>
                </c:pt>
                <c:pt idx="578">
                  <c:v>0</c:v>
                </c:pt>
                <c:pt idx="579">
                  <c:v>0</c:v>
                </c:pt>
                <c:pt idx="580">
                  <c:v>0</c:v>
                </c:pt>
                <c:pt idx="581">
                  <c:v>0</c:v>
                </c:pt>
                <c:pt idx="582">
                  <c:v>0</c:v>
                </c:pt>
                <c:pt idx="583">
                  <c:v>0</c:v>
                </c:pt>
                <c:pt idx="584">
                  <c:v>0</c:v>
                </c:pt>
                <c:pt idx="585">
                  <c:v>1</c:v>
                </c:pt>
                <c:pt idx="586">
                  <c:v>0</c:v>
                </c:pt>
                <c:pt idx="587">
                  <c:v>0</c:v>
                </c:pt>
                <c:pt idx="588">
                  <c:v>0</c:v>
                </c:pt>
                <c:pt idx="589">
                  <c:v>1</c:v>
                </c:pt>
                <c:pt idx="590">
                  <c:v>0</c:v>
                </c:pt>
                <c:pt idx="591">
                  <c:v>1</c:v>
                </c:pt>
                <c:pt idx="592">
                  <c:v>0</c:v>
                </c:pt>
                <c:pt idx="593">
                  <c:v>0</c:v>
                </c:pt>
                <c:pt idx="594">
                  <c:v>0</c:v>
                </c:pt>
                <c:pt idx="595">
                  <c:v>1</c:v>
                </c:pt>
                <c:pt idx="596">
                  <c:v>0</c:v>
                </c:pt>
                <c:pt idx="597">
                  <c:v>0</c:v>
                </c:pt>
                <c:pt idx="598">
                  <c:v>1</c:v>
                </c:pt>
                <c:pt idx="599">
                  <c:v>0</c:v>
                </c:pt>
                <c:pt idx="600">
                  <c:v>0</c:v>
                </c:pt>
                <c:pt idx="601">
                  <c:v>0</c:v>
                </c:pt>
                <c:pt idx="602">
                  <c:v>0</c:v>
                </c:pt>
                <c:pt idx="603">
                  <c:v>0</c:v>
                </c:pt>
                <c:pt idx="604">
                  <c:v>0</c:v>
                </c:pt>
                <c:pt idx="605">
                  <c:v>0</c:v>
                </c:pt>
                <c:pt idx="606">
                  <c:v>0</c:v>
                </c:pt>
                <c:pt idx="607">
                  <c:v>1</c:v>
                </c:pt>
                <c:pt idx="608">
                  <c:v>1</c:v>
                </c:pt>
                <c:pt idx="609">
                  <c:v>0</c:v>
                </c:pt>
                <c:pt idx="610">
                  <c:v>0</c:v>
                </c:pt>
                <c:pt idx="611">
                  <c:v>0</c:v>
                </c:pt>
                <c:pt idx="612">
                  <c:v>0</c:v>
                </c:pt>
                <c:pt idx="613">
                  <c:v>0</c:v>
                </c:pt>
                <c:pt idx="614">
                  <c:v>1</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1</c:v>
                </c:pt>
                <c:pt idx="637">
                  <c:v>0</c:v>
                </c:pt>
                <c:pt idx="638">
                  <c:v>0</c:v>
                </c:pt>
                <c:pt idx="639">
                  <c:v>0</c:v>
                </c:pt>
                <c:pt idx="640">
                  <c:v>0</c:v>
                </c:pt>
                <c:pt idx="641">
                  <c:v>0</c:v>
                </c:pt>
                <c:pt idx="642">
                  <c:v>0</c:v>
                </c:pt>
                <c:pt idx="643">
                  <c:v>0</c:v>
                </c:pt>
                <c:pt idx="644">
                  <c:v>0</c:v>
                </c:pt>
                <c:pt idx="645">
                  <c:v>1</c:v>
                </c:pt>
                <c:pt idx="646">
                  <c:v>0</c:v>
                </c:pt>
                <c:pt idx="647">
                  <c:v>0</c:v>
                </c:pt>
                <c:pt idx="648">
                  <c:v>0</c:v>
                </c:pt>
                <c:pt idx="649">
                  <c:v>0</c:v>
                </c:pt>
                <c:pt idx="650">
                  <c:v>0</c:v>
                </c:pt>
                <c:pt idx="651">
                  <c:v>0</c:v>
                </c:pt>
                <c:pt idx="652">
                  <c:v>0</c:v>
                </c:pt>
                <c:pt idx="653">
                  <c:v>0</c:v>
                </c:pt>
                <c:pt idx="654">
                  <c:v>0</c:v>
                </c:pt>
                <c:pt idx="655">
                  <c:v>0</c:v>
                </c:pt>
                <c:pt idx="656">
                  <c:v>1</c:v>
                </c:pt>
                <c:pt idx="657">
                  <c:v>0</c:v>
                </c:pt>
                <c:pt idx="658">
                  <c:v>0</c:v>
                </c:pt>
                <c:pt idx="659">
                  <c:v>0</c:v>
                </c:pt>
                <c:pt idx="660">
                  <c:v>1</c:v>
                </c:pt>
                <c:pt idx="661">
                  <c:v>0</c:v>
                </c:pt>
                <c:pt idx="662">
                  <c:v>1</c:v>
                </c:pt>
                <c:pt idx="663">
                  <c:v>1</c:v>
                </c:pt>
                <c:pt idx="664">
                  <c:v>0</c:v>
                </c:pt>
                <c:pt idx="665">
                  <c:v>0</c:v>
                </c:pt>
                <c:pt idx="666">
                  <c:v>1</c:v>
                </c:pt>
                <c:pt idx="667">
                  <c:v>1</c:v>
                </c:pt>
                <c:pt idx="668">
                  <c:v>0</c:v>
                </c:pt>
                <c:pt idx="669">
                  <c:v>1</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1</c:v>
                </c:pt>
                <c:pt idx="684">
                  <c:v>0</c:v>
                </c:pt>
                <c:pt idx="685">
                  <c:v>0</c:v>
                </c:pt>
                <c:pt idx="686">
                  <c:v>0</c:v>
                </c:pt>
                <c:pt idx="687">
                  <c:v>0</c:v>
                </c:pt>
                <c:pt idx="688">
                  <c:v>1</c:v>
                </c:pt>
                <c:pt idx="689">
                  <c:v>1</c:v>
                </c:pt>
                <c:pt idx="690">
                  <c:v>0</c:v>
                </c:pt>
                <c:pt idx="691">
                  <c:v>0</c:v>
                </c:pt>
                <c:pt idx="692">
                  <c:v>0</c:v>
                </c:pt>
                <c:pt idx="693">
                  <c:v>1</c:v>
                </c:pt>
                <c:pt idx="694">
                  <c:v>0</c:v>
                </c:pt>
                <c:pt idx="695">
                  <c:v>1</c:v>
                </c:pt>
                <c:pt idx="696">
                  <c:v>0</c:v>
                </c:pt>
                <c:pt idx="697">
                  <c:v>0</c:v>
                </c:pt>
                <c:pt idx="698">
                  <c:v>0</c:v>
                </c:pt>
                <c:pt idx="699">
                  <c:v>0</c:v>
                </c:pt>
                <c:pt idx="700">
                  <c:v>1</c:v>
                </c:pt>
                <c:pt idx="701">
                  <c:v>0</c:v>
                </c:pt>
                <c:pt idx="702">
                  <c:v>0</c:v>
                </c:pt>
                <c:pt idx="703">
                  <c:v>0</c:v>
                </c:pt>
                <c:pt idx="704">
                  <c:v>0</c:v>
                </c:pt>
                <c:pt idx="705">
                  <c:v>0</c:v>
                </c:pt>
                <c:pt idx="706">
                  <c:v>1</c:v>
                </c:pt>
                <c:pt idx="707">
                  <c:v>0</c:v>
                </c:pt>
                <c:pt idx="708">
                  <c:v>0</c:v>
                </c:pt>
                <c:pt idx="709">
                  <c:v>1</c:v>
                </c:pt>
                <c:pt idx="710">
                  <c:v>0</c:v>
                </c:pt>
                <c:pt idx="711">
                  <c:v>1</c:v>
                </c:pt>
                <c:pt idx="712">
                  <c:v>0</c:v>
                </c:pt>
                <c:pt idx="713">
                  <c:v>0</c:v>
                </c:pt>
                <c:pt idx="714">
                  <c:v>0</c:v>
                </c:pt>
                <c:pt idx="715">
                  <c:v>0</c:v>
                </c:pt>
                <c:pt idx="716">
                  <c:v>0</c:v>
                </c:pt>
                <c:pt idx="717">
                  <c:v>0</c:v>
                </c:pt>
                <c:pt idx="718">
                  <c:v>0</c:v>
                </c:pt>
                <c:pt idx="719">
                  <c:v>0</c:v>
                </c:pt>
                <c:pt idx="720">
                  <c:v>1</c:v>
                </c:pt>
                <c:pt idx="721">
                  <c:v>0</c:v>
                </c:pt>
                <c:pt idx="722">
                  <c:v>0</c:v>
                </c:pt>
                <c:pt idx="723">
                  <c:v>0</c:v>
                </c:pt>
                <c:pt idx="724">
                  <c:v>0</c:v>
                </c:pt>
                <c:pt idx="725">
                  <c:v>1</c:v>
                </c:pt>
                <c:pt idx="726">
                  <c:v>0</c:v>
                </c:pt>
                <c:pt idx="727">
                  <c:v>0</c:v>
                </c:pt>
                <c:pt idx="728">
                  <c:v>0</c:v>
                </c:pt>
                <c:pt idx="729">
                  <c:v>0</c:v>
                </c:pt>
                <c:pt idx="730">
                  <c:v>0</c:v>
                </c:pt>
                <c:pt idx="731">
                  <c:v>1</c:v>
                </c:pt>
                <c:pt idx="732">
                  <c:v>1</c:v>
                </c:pt>
                <c:pt idx="733">
                  <c:v>0</c:v>
                </c:pt>
                <c:pt idx="734">
                  <c:v>0</c:v>
                </c:pt>
                <c:pt idx="735">
                  <c:v>0</c:v>
                </c:pt>
                <c:pt idx="736">
                  <c:v>0</c:v>
                </c:pt>
                <c:pt idx="737">
                  <c:v>0</c:v>
                </c:pt>
                <c:pt idx="738">
                  <c:v>0</c:v>
                </c:pt>
                <c:pt idx="739">
                  <c:v>0</c:v>
                </c:pt>
                <c:pt idx="740">
                  <c:v>0</c:v>
                </c:pt>
                <c:pt idx="741">
                  <c:v>0</c:v>
                </c:pt>
                <c:pt idx="742">
                  <c:v>0</c:v>
                </c:pt>
                <c:pt idx="743">
                  <c:v>0</c:v>
                </c:pt>
                <c:pt idx="744">
                  <c:v>1</c:v>
                </c:pt>
                <c:pt idx="745">
                  <c:v>0</c:v>
                </c:pt>
                <c:pt idx="746">
                  <c:v>0</c:v>
                </c:pt>
                <c:pt idx="747">
                  <c:v>0</c:v>
                </c:pt>
                <c:pt idx="748">
                  <c:v>1</c:v>
                </c:pt>
                <c:pt idx="749">
                  <c:v>1</c:v>
                </c:pt>
                <c:pt idx="750">
                  <c:v>0</c:v>
                </c:pt>
                <c:pt idx="751">
                  <c:v>0</c:v>
                </c:pt>
                <c:pt idx="752">
                  <c:v>1</c:v>
                </c:pt>
                <c:pt idx="753">
                  <c:v>0</c:v>
                </c:pt>
                <c:pt idx="754">
                  <c:v>0</c:v>
                </c:pt>
                <c:pt idx="755">
                  <c:v>0</c:v>
                </c:pt>
                <c:pt idx="756">
                  <c:v>0</c:v>
                </c:pt>
                <c:pt idx="757">
                  <c:v>0</c:v>
                </c:pt>
                <c:pt idx="758">
                  <c:v>0</c:v>
                </c:pt>
                <c:pt idx="759">
                  <c:v>0</c:v>
                </c:pt>
                <c:pt idx="760">
                  <c:v>0</c:v>
                </c:pt>
                <c:pt idx="761">
                  <c:v>1</c:v>
                </c:pt>
                <c:pt idx="762">
                  <c:v>1</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1</c:v>
                </c:pt>
                <c:pt idx="777">
                  <c:v>1</c:v>
                </c:pt>
                <c:pt idx="778">
                  <c:v>0</c:v>
                </c:pt>
                <c:pt idx="779">
                  <c:v>1</c:v>
                </c:pt>
                <c:pt idx="780">
                  <c:v>1</c:v>
                </c:pt>
                <c:pt idx="781">
                  <c:v>0</c:v>
                </c:pt>
                <c:pt idx="782">
                  <c:v>0</c:v>
                </c:pt>
                <c:pt idx="783">
                  <c:v>0</c:v>
                </c:pt>
                <c:pt idx="784">
                  <c:v>0</c:v>
                </c:pt>
                <c:pt idx="785">
                  <c:v>0</c:v>
                </c:pt>
                <c:pt idx="786">
                  <c:v>0</c:v>
                </c:pt>
                <c:pt idx="787">
                  <c:v>0</c:v>
                </c:pt>
                <c:pt idx="788">
                  <c:v>0</c:v>
                </c:pt>
                <c:pt idx="789">
                  <c:v>1</c:v>
                </c:pt>
                <c:pt idx="790">
                  <c:v>0</c:v>
                </c:pt>
                <c:pt idx="791">
                  <c:v>1</c:v>
                </c:pt>
                <c:pt idx="792">
                  <c:v>1</c:v>
                </c:pt>
                <c:pt idx="793">
                  <c:v>0</c:v>
                </c:pt>
                <c:pt idx="794">
                  <c:v>0</c:v>
                </c:pt>
                <c:pt idx="795">
                  <c:v>0</c:v>
                </c:pt>
                <c:pt idx="796">
                  <c:v>1</c:v>
                </c:pt>
                <c:pt idx="797">
                  <c:v>1</c:v>
                </c:pt>
                <c:pt idx="798">
                  <c:v>1</c:v>
                </c:pt>
                <c:pt idx="799">
                  <c:v>0</c:v>
                </c:pt>
                <c:pt idx="800">
                  <c:v>1</c:v>
                </c:pt>
                <c:pt idx="801">
                  <c:v>1</c:v>
                </c:pt>
                <c:pt idx="802">
                  <c:v>0</c:v>
                </c:pt>
                <c:pt idx="803">
                  <c:v>0</c:v>
                </c:pt>
                <c:pt idx="804">
                  <c:v>0</c:v>
                </c:pt>
                <c:pt idx="805">
                  <c:v>0</c:v>
                </c:pt>
                <c:pt idx="806">
                  <c:v>0</c:v>
                </c:pt>
                <c:pt idx="807">
                  <c:v>0</c:v>
                </c:pt>
                <c:pt idx="808">
                  <c:v>0</c:v>
                </c:pt>
                <c:pt idx="809">
                  <c:v>0</c:v>
                </c:pt>
                <c:pt idx="810">
                  <c:v>0</c:v>
                </c:pt>
                <c:pt idx="811">
                  <c:v>0</c:v>
                </c:pt>
                <c:pt idx="812">
                  <c:v>0</c:v>
                </c:pt>
                <c:pt idx="813">
                  <c:v>1</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1</c:v>
                </c:pt>
                <c:pt idx="829">
                  <c:v>1</c:v>
                </c:pt>
                <c:pt idx="830">
                  <c:v>0</c:v>
                </c:pt>
                <c:pt idx="831">
                  <c:v>1</c:v>
                </c:pt>
                <c:pt idx="832">
                  <c:v>0</c:v>
                </c:pt>
                <c:pt idx="833">
                  <c:v>0</c:v>
                </c:pt>
                <c:pt idx="834">
                  <c:v>0</c:v>
                </c:pt>
                <c:pt idx="835">
                  <c:v>0</c:v>
                </c:pt>
                <c:pt idx="836">
                  <c:v>1</c:v>
                </c:pt>
                <c:pt idx="837">
                  <c:v>0</c:v>
                </c:pt>
                <c:pt idx="838">
                  <c:v>1</c:v>
                </c:pt>
                <c:pt idx="839">
                  <c:v>0</c:v>
                </c:pt>
                <c:pt idx="840">
                  <c:v>0</c:v>
                </c:pt>
                <c:pt idx="841">
                  <c:v>0</c:v>
                </c:pt>
                <c:pt idx="842">
                  <c:v>1</c:v>
                </c:pt>
                <c:pt idx="843">
                  <c:v>0</c:v>
                </c:pt>
                <c:pt idx="844">
                  <c:v>0</c:v>
                </c:pt>
                <c:pt idx="845">
                  <c:v>0</c:v>
                </c:pt>
                <c:pt idx="846">
                  <c:v>0</c:v>
                </c:pt>
                <c:pt idx="847">
                  <c:v>0</c:v>
                </c:pt>
                <c:pt idx="848">
                  <c:v>0</c:v>
                </c:pt>
                <c:pt idx="849">
                  <c:v>1</c:v>
                </c:pt>
                <c:pt idx="850">
                  <c:v>0</c:v>
                </c:pt>
                <c:pt idx="851">
                  <c:v>0</c:v>
                </c:pt>
                <c:pt idx="852">
                  <c:v>0</c:v>
                </c:pt>
                <c:pt idx="853">
                  <c:v>0</c:v>
                </c:pt>
                <c:pt idx="854">
                  <c:v>0</c:v>
                </c:pt>
                <c:pt idx="855">
                  <c:v>0</c:v>
                </c:pt>
                <c:pt idx="856">
                  <c:v>0</c:v>
                </c:pt>
                <c:pt idx="857">
                  <c:v>1</c:v>
                </c:pt>
                <c:pt idx="858">
                  <c:v>0</c:v>
                </c:pt>
                <c:pt idx="859">
                  <c:v>0</c:v>
                </c:pt>
                <c:pt idx="860">
                  <c:v>1</c:v>
                </c:pt>
                <c:pt idx="861">
                  <c:v>0</c:v>
                </c:pt>
                <c:pt idx="862">
                  <c:v>0</c:v>
                </c:pt>
                <c:pt idx="863">
                  <c:v>0</c:v>
                </c:pt>
                <c:pt idx="864">
                  <c:v>1</c:v>
                </c:pt>
                <c:pt idx="865">
                  <c:v>0</c:v>
                </c:pt>
                <c:pt idx="866">
                  <c:v>0</c:v>
                </c:pt>
                <c:pt idx="867">
                  <c:v>0</c:v>
                </c:pt>
                <c:pt idx="868">
                  <c:v>0</c:v>
                </c:pt>
                <c:pt idx="869">
                  <c:v>0</c:v>
                </c:pt>
                <c:pt idx="870">
                  <c:v>0</c:v>
                </c:pt>
                <c:pt idx="871">
                  <c:v>1</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1</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1</c:v>
                </c:pt>
                <c:pt idx="912">
                  <c:v>0</c:v>
                </c:pt>
                <c:pt idx="913">
                  <c:v>1</c:v>
                </c:pt>
                <c:pt idx="914">
                  <c:v>0</c:v>
                </c:pt>
                <c:pt idx="915">
                  <c:v>1</c:v>
                </c:pt>
                <c:pt idx="916">
                  <c:v>0</c:v>
                </c:pt>
                <c:pt idx="917">
                  <c:v>0</c:v>
                </c:pt>
                <c:pt idx="918">
                  <c:v>0</c:v>
                </c:pt>
                <c:pt idx="919">
                  <c:v>0</c:v>
                </c:pt>
                <c:pt idx="920">
                  <c:v>0</c:v>
                </c:pt>
                <c:pt idx="921">
                  <c:v>0</c:v>
                </c:pt>
                <c:pt idx="922">
                  <c:v>0</c:v>
                </c:pt>
                <c:pt idx="923">
                  <c:v>0</c:v>
                </c:pt>
                <c:pt idx="924">
                  <c:v>0</c:v>
                </c:pt>
                <c:pt idx="925">
                  <c:v>0</c:v>
                </c:pt>
                <c:pt idx="926">
                  <c:v>0</c:v>
                </c:pt>
                <c:pt idx="927">
                  <c:v>0</c:v>
                </c:pt>
                <c:pt idx="928">
                  <c:v>1</c:v>
                </c:pt>
                <c:pt idx="929">
                  <c:v>0</c:v>
                </c:pt>
                <c:pt idx="930">
                  <c:v>0</c:v>
                </c:pt>
                <c:pt idx="931">
                  <c:v>0</c:v>
                </c:pt>
                <c:pt idx="932">
                  <c:v>1</c:v>
                </c:pt>
                <c:pt idx="933">
                  <c:v>0</c:v>
                </c:pt>
                <c:pt idx="934">
                  <c:v>0</c:v>
                </c:pt>
                <c:pt idx="935">
                  <c:v>0</c:v>
                </c:pt>
                <c:pt idx="936">
                  <c:v>0</c:v>
                </c:pt>
                <c:pt idx="937">
                  <c:v>0</c:v>
                </c:pt>
                <c:pt idx="938">
                  <c:v>0</c:v>
                </c:pt>
                <c:pt idx="939">
                  <c:v>1</c:v>
                </c:pt>
                <c:pt idx="940">
                  <c:v>1</c:v>
                </c:pt>
                <c:pt idx="941">
                  <c:v>0</c:v>
                </c:pt>
                <c:pt idx="942">
                  <c:v>0</c:v>
                </c:pt>
                <c:pt idx="943">
                  <c:v>0</c:v>
                </c:pt>
                <c:pt idx="944">
                  <c:v>0</c:v>
                </c:pt>
                <c:pt idx="945">
                  <c:v>0</c:v>
                </c:pt>
                <c:pt idx="946">
                  <c:v>1</c:v>
                </c:pt>
                <c:pt idx="947">
                  <c:v>1</c:v>
                </c:pt>
                <c:pt idx="948">
                  <c:v>0</c:v>
                </c:pt>
                <c:pt idx="949">
                  <c:v>0</c:v>
                </c:pt>
                <c:pt idx="950">
                  <c:v>0</c:v>
                </c:pt>
                <c:pt idx="951">
                  <c:v>0</c:v>
                </c:pt>
                <c:pt idx="952">
                  <c:v>1</c:v>
                </c:pt>
                <c:pt idx="953">
                  <c:v>1</c:v>
                </c:pt>
                <c:pt idx="954">
                  <c:v>0</c:v>
                </c:pt>
                <c:pt idx="955">
                  <c:v>0</c:v>
                </c:pt>
                <c:pt idx="956">
                  <c:v>0</c:v>
                </c:pt>
                <c:pt idx="957">
                  <c:v>0</c:v>
                </c:pt>
                <c:pt idx="958">
                  <c:v>0</c:v>
                </c:pt>
                <c:pt idx="959">
                  <c:v>0</c:v>
                </c:pt>
                <c:pt idx="960">
                  <c:v>0</c:v>
                </c:pt>
                <c:pt idx="961">
                  <c:v>0</c:v>
                </c:pt>
                <c:pt idx="962">
                  <c:v>0</c:v>
                </c:pt>
                <c:pt idx="963">
                  <c:v>0</c:v>
                </c:pt>
                <c:pt idx="964">
                  <c:v>0</c:v>
                </c:pt>
                <c:pt idx="965">
                  <c:v>0</c:v>
                </c:pt>
                <c:pt idx="966">
                  <c:v>1</c:v>
                </c:pt>
                <c:pt idx="967">
                  <c:v>0</c:v>
                </c:pt>
                <c:pt idx="968">
                  <c:v>0</c:v>
                </c:pt>
                <c:pt idx="969">
                  <c:v>0</c:v>
                </c:pt>
                <c:pt idx="970">
                  <c:v>0</c:v>
                </c:pt>
                <c:pt idx="971">
                  <c:v>0</c:v>
                </c:pt>
                <c:pt idx="972">
                  <c:v>0</c:v>
                </c:pt>
                <c:pt idx="973">
                  <c:v>0</c:v>
                </c:pt>
                <c:pt idx="974">
                  <c:v>0</c:v>
                </c:pt>
                <c:pt idx="975">
                  <c:v>1</c:v>
                </c:pt>
                <c:pt idx="976">
                  <c:v>0</c:v>
                </c:pt>
                <c:pt idx="977">
                  <c:v>0</c:v>
                </c:pt>
                <c:pt idx="978">
                  <c:v>0</c:v>
                </c:pt>
                <c:pt idx="979">
                  <c:v>0</c:v>
                </c:pt>
                <c:pt idx="980">
                  <c:v>1</c:v>
                </c:pt>
                <c:pt idx="981">
                  <c:v>1</c:v>
                </c:pt>
                <c:pt idx="982">
                  <c:v>0</c:v>
                </c:pt>
                <c:pt idx="983">
                  <c:v>0</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1</c:v>
                </c:pt>
                <c:pt idx="998">
                  <c:v>0</c:v>
                </c:pt>
                <c:pt idx="999">
                  <c:v>0</c:v>
                </c:pt>
                <c:pt idx="1000">
                  <c:v>0</c:v>
                </c:pt>
                <c:pt idx="1001">
                  <c:v>0</c:v>
                </c:pt>
                <c:pt idx="1002">
                  <c:v>0</c:v>
                </c:pt>
                <c:pt idx="1003">
                  <c:v>0</c:v>
                </c:pt>
                <c:pt idx="1004">
                  <c:v>0</c:v>
                </c:pt>
                <c:pt idx="1005">
                  <c:v>0</c:v>
                </c:pt>
                <c:pt idx="1006">
                  <c:v>1</c:v>
                </c:pt>
                <c:pt idx="1007">
                  <c:v>1</c:v>
                </c:pt>
                <c:pt idx="1008">
                  <c:v>0</c:v>
                </c:pt>
                <c:pt idx="1009">
                  <c:v>0</c:v>
                </c:pt>
                <c:pt idx="1010">
                  <c:v>0</c:v>
                </c:pt>
                <c:pt idx="1011">
                  <c:v>0</c:v>
                </c:pt>
                <c:pt idx="1012">
                  <c:v>1</c:v>
                </c:pt>
                <c:pt idx="1013">
                  <c:v>0</c:v>
                </c:pt>
                <c:pt idx="1014">
                  <c:v>0</c:v>
                </c:pt>
                <c:pt idx="1015">
                  <c:v>0</c:v>
                </c:pt>
                <c:pt idx="1016">
                  <c:v>1</c:v>
                </c:pt>
                <c:pt idx="1017">
                  <c:v>0</c:v>
                </c:pt>
                <c:pt idx="1018">
                  <c:v>0</c:v>
                </c:pt>
                <c:pt idx="1019">
                  <c:v>0</c:v>
                </c:pt>
                <c:pt idx="1020">
                  <c:v>0</c:v>
                </c:pt>
                <c:pt idx="1021">
                  <c:v>1</c:v>
                </c:pt>
                <c:pt idx="1022">
                  <c:v>0</c:v>
                </c:pt>
                <c:pt idx="1023">
                  <c:v>0</c:v>
                </c:pt>
                <c:pt idx="1024">
                  <c:v>0</c:v>
                </c:pt>
                <c:pt idx="1025">
                  <c:v>0</c:v>
                </c:pt>
                <c:pt idx="1026">
                  <c:v>0</c:v>
                </c:pt>
                <c:pt idx="1027">
                  <c:v>0</c:v>
                </c:pt>
                <c:pt idx="1028">
                  <c:v>0</c:v>
                </c:pt>
                <c:pt idx="1029">
                  <c:v>0</c:v>
                </c:pt>
                <c:pt idx="1030">
                  <c:v>0</c:v>
                </c:pt>
                <c:pt idx="1031">
                  <c:v>1</c:v>
                </c:pt>
                <c:pt idx="1032">
                  <c:v>1</c:v>
                </c:pt>
                <c:pt idx="1033">
                  <c:v>1</c:v>
                </c:pt>
                <c:pt idx="1034">
                  <c:v>0</c:v>
                </c:pt>
                <c:pt idx="1035">
                  <c:v>0</c:v>
                </c:pt>
                <c:pt idx="1036">
                  <c:v>1</c:v>
                </c:pt>
                <c:pt idx="1037">
                  <c:v>0</c:v>
                </c:pt>
                <c:pt idx="1038">
                  <c:v>0</c:v>
                </c:pt>
                <c:pt idx="1039">
                  <c:v>1</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1</c:v>
                </c:pt>
                <c:pt idx="1057">
                  <c:v>1</c:v>
                </c:pt>
                <c:pt idx="1058">
                  <c:v>1</c:v>
                </c:pt>
                <c:pt idx="1059">
                  <c:v>0</c:v>
                </c:pt>
                <c:pt idx="1060">
                  <c:v>1</c:v>
                </c:pt>
                <c:pt idx="1061">
                  <c:v>0</c:v>
                </c:pt>
                <c:pt idx="1062">
                  <c:v>0</c:v>
                </c:pt>
                <c:pt idx="1063">
                  <c:v>0</c:v>
                </c:pt>
                <c:pt idx="1064">
                  <c:v>0</c:v>
                </c:pt>
                <c:pt idx="1065">
                  <c:v>0</c:v>
                </c:pt>
                <c:pt idx="1066">
                  <c:v>0</c:v>
                </c:pt>
                <c:pt idx="1067">
                  <c:v>0</c:v>
                </c:pt>
                <c:pt idx="1068">
                  <c:v>1</c:v>
                </c:pt>
                <c:pt idx="1069">
                  <c:v>0</c:v>
                </c:pt>
                <c:pt idx="1070">
                  <c:v>0</c:v>
                </c:pt>
                <c:pt idx="1071">
                  <c:v>0</c:v>
                </c:pt>
                <c:pt idx="1072">
                  <c:v>0</c:v>
                </c:pt>
                <c:pt idx="1073">
                  <c:v>0</c:v>
                </c:pt>
                <c:pt idx="1074">
                  <c:v>0</c:v>
                </c:pt>
                <c:pt idx="1075">
                  <c:v>0</c:v>
                </c:pt>
                <c:pt idx="1076">
                  <c:v>0</c:v>
                </c:pt>
                <c:pt idx="1077">
                  <c:v>1</c:v>
                </c:pt>
                <c:pt idx="1078">
                  <c:v>0</c:v>
                </c:pt>
                <c:pt idx="1079">
                  <c:v>0</c:v>
                </c:pt>
                <c:pt idx="1080">
                  <c:v>0</c:v>
                </c:pt>
                <c:pt idx="1081">
                  <c:v>0</c:v>
                </c:pt>
                <c:pt idx="1082">
                  <c:v>0</c:v>
                </c:pt>
                <c:pt idx="1083">
                  <c:v>1</c:v>
                </c:pt>
                <c:pt idx="1084">
                  <c:v>0</c:v>
                </c:pt>
                <c:pt idx="1085">
                  <c:v>1</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1</c:v>
                </c:pt>
                <c:pt idx="1107">
                  <c:v>0</c:v>
                </c:pt>
                <c:pt idx="1108">
                  <c:v>0</c:v>
                </c:pt>
                <c:pt idx="1109">
                  <c:v>0</c:v>
                </c:pt>
                <c:pt idx="1110">
                  <c:v>1</c:v>
                </c:pt>
                <c:pt idx="1111">
                  <c:v>1</c:v>
                </c:pt>
                <c:pt idx="1112">
                  <c:v>1</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1</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1</c:v>
                </c:pt>
                <c:pt idx="1154">
                  <c:v>0</c:v>
                </c:pt>
                <c:pt idx="1155">
                  <c:v>0</c:v>
                </c:pt>
                <c:pt idx="1156">
                  <c:v>0</c:v>
                </c:pt>
                <c:pt idx="1157">
                  <c:v>0</c:v>
                </c:pt>
                <c:pt idx="1158">
                  <c:v>0</c:v>
                </c:pt>
                <c:pt idx="1159">
                  <c:v>0</c:v>
                </c:pt>
                <c:pt idx="1160">
                  <c:v>0</c:v>
                </c:pt>
                <c:pt idx="1161">
                  <c:v>0</c:v>
                </c:pt>
                <c:pt idx="1162">
                  <c:v>1</c:v>
                </c:pt>
                <c:pt idx="1163">
                  <c:v>0</c:v>
                </c:pt>
                <c:pt idx="1164">
                  <c:v>0</c:v>
                </c:pt>
                <c:pt idx="1165">
                  <c:v>0</c:v>
                </c:pt>
                <c:pt idx="1166">
                  <c:v>0</c:v>
                </c:pt>
                <c:pt idx="1167">
                  <c:v>1</c:v>
                </c:pt>
                <c:pt idx="1168">
                  <c:v>0</c:v>
                </c:pt>
                <c:pt idx="1169">
                  <c:v>0</c:v>
                </c:pt>
                <c:pt idx="1170">
                  <c:v>0</c:v>
                </c:pt>
                <c:pt idx="1171">
                  <c:v>1</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1</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1</c:v>
                </c:pt>
                <c:pt idx="1202">
                  <c:v>0</c:v>
                </c:pt>
                <c:pt idx="1203">
                  <c:v>0</c:v>
                </c:pt>
                <c:pt idx="1204">
                  <c:v>1</c:v>
                </c:pt>
                <c:pt idx="1205">
                  <c:v>1</c:v>
                </c:pt>
                <c:pt idx="1206">
                  <c:v>0</c:v>
                </c:pt>
                <c:pt idx="1207">
                  <c:v>0</c:v>
                </c:pt>
                <c:pt idx="1208">
                  <c:v>0</c:v>
                </c:pt>
                <c:pt idx="1209">
                  <c:v>0</c:v>
                </c:pt>
                <c:pt idx="1210">
                  <c:v>0</c:v>
                </c:pt>
                <c:pt idx="1211">
                  <c:v>0</c:v>
                </c:pt>
                <c:pt idx="1212">
                  <c:v>0</c:v>
                </c:pt>
                <c:pt idx="1213">
                  <c:v>1</c:v>
                </c:pt>
                <c:pt idx="1214">
                  <c:v>0</c:v>
                </c:pt>
                <c:pt idx="1215">
                  <c:v>0</c:v>
                </c:pt>
                <c:pt idx="1216">
                  <c:v>0</c:v>
                </c:pt>
                <c:pt idx="1217">
                  <c:v>0</c:v>
                </c:pt>
                <c:pt idx="1218">
                  <c:v>0</c:v>
                </c:pt>
                <c:pt idx="1219">
                  <c:v>0</c:v>
                </c:pt>
                <c:pt idx="1220">
                  <c:v>0</c:v>
                </c:pt>
                <c:pt idx="1221">
                  <c:v>0</c:v>
                </c:pt>
                <c:pt idx="1222">
                  <c:v>1</c:v>
                </c:pt>
                <c:pt idx="1223">
                  <c:v>1</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1</c:v>
                </c:pt>
                <c:pt idx="1237">
                  <c:v>1</c:v>
                </c:pt>
                <c:pt idx="1238">
                  <c:v>0</c:v>
                </c:pt>
                <c:pt idx="1239">
                  <c:v>0</c:v>
                </c:pt>
                <c:pt idx="1240">
                  <c:v>0</c:v>
                </c:pt>
                <c:pt idx="1241">
                  <c:v>0</c:v>
                </c:pt>
                <c:pt idx="1242">
                  <c:v>0</c:v>
                </c:pt>
                <c:pt idx="1243">
                  <c:v>0</c:v>
                </c:pt>
                <c:pt idx="1244">
                  <c:v>0</c:v>
                </c:pt>
                <c:pt idx="1245">
                  <c:v>0</c:v>
                </c:pt>
                <c:pt idx="1246">
                  <c:v>1</c:v>
                </c:pt>
                <c:pt idx="1247">
                  <c:v>0</c:v>
                </c:pt>
                <c:pt idx="1248">
                  <c:v>0</c:v>
                </c:pt>
                <c:pt idx="1249">
                  <c:v>1</c:v>
                </c:pt>
                <c:pt idx="1250">
                  <c:v>0</c:v>
                </c:pt>
                <c:pt idx="1251">
                  <c:v>0</c:v>
                </c:pt>
                <c:pt idx="1252">
                  <c:v>0</c:v>
                </c:pt>
                <c:pt idx="1253">
                  <c:v>0</c:v>
                </c:pt>
                <c:pt idx="1254">
                  <c:v>0</c:v>
                </c:pt>
                <c:pt idx="1255">
                  <c:v>1</c:v>
                </c:pt>
                <c:pt idx="1256">
                  <c:v>0</c:v>
                </c:pt>
                <c:pt idx="1257">
                  <c:v>1</c:v>
                </c:pt>
                <c:pt idx="1258">
                  <c:v>0</c:v>
                </c:pt>
                <c:pt idx="1259">
                  <c:v>0</c:v>
                </c:pt>
                <c:pt idx="1260">
                  <c:v>0</c:v>
                </c:pt>
                <c:pt idx="1261">
                  <c:v>0</c:v>
                </c:pt>
                <c:pt idx="1262">
                  <c:v>1</c:v>
                </c:pt>
                <c:pt idx="1263">
                  <c:v>0</c:v>
                </c:pt>
                <c:pt idx="1264">
                  <c:v>0</c:v>
                </c:pt>
                <c:pt idx="1265">
                  <c:v>0</c:v>
                </c:pt>
                <c:pt idx="1266">
                  <c:v>0</c:v>
                </c:pt>
                <c:pt idx="1267">
                  <c:v>0</c:v>
                </c:pt>
                <c:pt idx="1268">
                  <c:v>0</c:v>
                </c:pt>
                <c:pt idx="1269">
                  <c:v>0</c:v>
                </c:pt>
                <c:pt idx="1270">
                  <c:v>0</c:v>
                </c:pt>
                <c:pt idx="1271">
                  <c:v>1</c:v>
                </c:pt>
                <c:pt idx="1272">
                  <c:v>0</c:v>
                </c:pt>
                <c:pt idx="1273">
                  <c:v>1</c:v>
                </c:pt>
                <c:pt idx="1274">
                  <c:v>0</c:v>
                </c:pt>
                <c:pt idx="1275">
                  <c:v>0</c:v>
                </c:pt>
                <c:pt idx="1276">
                  <c:v>0</c:v>
                </c:pt>
                <c:pt idx="1277">
                  <c:v>0</c:v>
                </c:pt>
                <c:pt idx="1278">
                  <c:v>0</c:v>
                </c:pt>
                <c:pt idx="1279">
                  <c:v>1</c:v>
                </c:pt>
                <c:pt idx="1280">
                  <c:v>0</c:v>
                </c:pt>
                <c:pt idx="1281">
                  <c:v>1</c:v>
                </c:pt>
                <c:pt idx="1282">
                  <c:v>0</c:v>
                </c:pt>
                <c:pt idx="1283">
                  <c:v>0</c:v>
                </c:pt>
                <c:pt idx="1284">
                  <c:v>0</c:v>
                </c:pt>
                <c:pt idx="1285">
                  <c:v>0</c:v>
                </c:pt>
                <c:pt idx="1286">
                  <c:v>0</c:v>
                </c:pt>
                <c:pt idx="1287">
                  <c:v>0</c:v>
                </c:pt>
                <c:pt idx="1288">
                  <c:v>0</c:v>
                </c:pt>
                <c:pt idx="1289">
                  <c:v>0</c:v>
                </c:pt>
                <c:pt idx="1290">
                  <c:v>1</c:v>
                </c:pt>
                <c:pt idx="1291">
                  <c:v>1</c:v>
                </c:pt>
                <c:pt idx="1292">
                  <c:v>0</c:v>
                </c:pt>
                <c:pt idx="1293">
                  <c:v>0</c:v>
                </c:pt>
                <c:pt idx="1294">
                  <c:v>0</c:v>
                </c:pt>
                <c:pt idx="1295">
                  <c:v>0</c:v>
                </c:pt>
                <c:pt idx="1296">
                  <c:v>0</c:v>
                </c:pt>
                <c:pt idx="1297">
                  <c:v>1</c:v>
                </c:pt>
                <c:pt idx="1298">
                  <c:v>1</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1</c:v>
                </c:pt>
                <c:pt idx="1313">
                  <c:v>1</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1</c:v>
                </c:pt>
                <c:pt idx="1327">
                  <c:v>0</c:v>
                </c:pt>
                <c:pt idx="1328">
                  <c:v>0</c:v>
                </c:pt>
                <c:pt idx="1329">
                  <c:v>0</c:v>
                </c:pt>
                <c:pt idx="1330">
                  <c:v>0</c:v>
                </c:pt>
                <c:pt idx="1331">
                  <c:v>0</c:v>
                </c:pt>
                <c:pt idx="1332">
                  <c:v>1</c:v>
                </c:pt>
                <c:pt idx="1333">
                  <c:v>1</c:v>
                </c:pt>
                <c:pt idx="1334">
                  <c:v>0</c:v>
                </c:pt>
                <c:pt idx="1335">
                  <c:v>0</c:v>
                </c:pt>
                <c:pt idx="1336">
                  <c:v>0</c:v>
                </c:pt>
                <c:pt idx="1337">
                  <c:v>0</c:v>
                </c:pt>
                <c:pt idx="1338">
                  <c:v>1</c:v>
                </c:pt>
                <c:pt idx="1339">
                  <c:v>1</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1</c:v>
                </c:pt>
                <c:pt idx="1354">
                  <c:v>1</c:v>
                </c:pt>
                <c:pt idx="1355">
                  <c:v>0</c:v>
                </c:pt>
                <c:pt idx="1356">
                  <c:v>0</c:v>
                </c:pt>
                <c:pt idx="1357">
                  <c:v>0</c:v>
                </c:pt>
                <c:pt idx="1358">
                  <c:v>0</c:v>
                </c:pt>
                <c:pt idx="1359">
                  <c:v>0</c:v>
                </c:pt>
                <c:pt idx="1360">
                  <c:v>0</c:v>
                </c:pt>
                <c:pt idx="1361">
                  <c:v>0</c:v>
                </c:pt>
                <c:pt idx="1362">
                  <c:v>0</c:v>
                </c:pt>
                <c:pt idx="1363">
                  <c:v>0</c:v>
                </c:pt>
                <c:pt idx="1364">
                  <c:v>0</c:v>
                </c:pt>
                <c:pt idx="1365">
                  <c:v>1</c:v>
                </c:pt>
                <c:pt idx="1366">
                  <c:v>0</c:v>
                </c:pt>
                <c:pt idx="1367">
                  <c:v>0</c:v>
                </c:pt>
                <c:pt idx="1368">
                  <c:v>0</c:v>
                </c:pt>
                <c:pt idx="1369">
                  <c:v>1</c:v>
                </c:pt>
                <c:pt idx="1370">
                  <c:v>0</c:v>
                </c:pt>
                <c:pt idx="1371">
                  <c:v>0</c:v>
                </c:pt>
                <c:pt idx="1372">
                  <c:v>0</c:v>
                </c:pt>
                <c:pt idx="1373">
                  <c:v>0</c:v>
                </c:pt>
                <c:pt idx="1374">
                  <c:v>0</c:v>
                </c:pt>
                <c:pt idx="1375">
                  <c:v>1</c:v>
                </c:pt>
                <c:pt idx="1376">
                  <c:v>0</c:v>
                </c:pt>
                <c:pt idx="1377">
                  <c:v>0</c:v>
                </c:pt>
                <c:pt idx="1378">
                  <c:v>0</c:v>
                </c:pt>
                <c:pt idx="1379">
                  <c:v>1</c:v>
                </c:pt>
                <c:pt idx="1380">
                  <c:v>0</c:v>
                </c:pt>
                <c:pt idx="1381">
                  <c:v>0</c:v>
                </c:pt>
                <c:pt idx="1382">
                  <c:v>0</c:v>
                </c:pt>
                <c:pt idx="1383">
                  <c:v>0</c:v>
                </c:pt>
                <c:pt idx="1384">
                  <c:v>0</c:v>
                </c:pt>
                <c:pt idx="1385">
                  <c:v>0</c:v>
                </c:pt>
                <c:pt idx="1386">
                  <c:v>0</c:v>
                </c:pt>
                <c:pt idx="1387">
                  <c:v>0</c:v>
                </c:pt>
                <c:pt idx="1388">
                  <c:v>0</c:v>
                </c:pt>
                <c:pt idx="1389">
                  <c:v>0</c:v>
                </c:pt>
                <c:pt idx="1390">
                  <c:v>1</c:v>
                </c:pt>
                <c:pt idx="1391">
                  <c:v>0</c:v>
                </c:pt>
                <c:pt idx="1392">
                  <c:v>0</c:v>
                </c:pt>
                <c:pt idx="1393">
                  <c:v>0</c:v>
                </c:pt>
                <c:pt idx="1394">
                  <c:v>0</c:v>
                </c:pt>
                <c:pt idx="1395">
                  <c:v>1</c:v>
                </c:pt>
                <c:pt idx="1396">
                  <c:v>1</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1</c:v>
                </c:pt>
                <c:pt idx="1439">
                  <c:v>0</c:v>
                </c:pt>
                <c:pt idx="1440">
                  <c:v>0</c:v>
                </c:pt>
                <c:pt idx="1441">
                  <c:v>0</c:v>
                </c:pt>
                <c:pt idx="1442">
                  <c:v>1</c:v>
                </c:pt>
                <c:pt idx="1443">
                  <c:v>0</c:v>
                </c:pt>
                <c:pt idx="1444">
                  <c:v>1</c:v>
                </c:pt>
                <c:pt idx="1445">
                  <c:v>0</c:v>
                </c:pt>
                <c:pt idx="1446">
                  <c:v>0</c:v>
                </c:pt>
                <c:pt idx="1447">
                  <c:v>0</c:v>
                </c:pt>
                <c:pt idx="1448">
                  <c:v>0</c:v>
                </c:pt>
                <c:pt idx="1449">
                  <c:v>0</c:v>
                </c:pt>
                <c:pt idx="1450">
                  <c:v>0</c:v>
                </c:pt>
                <c:pt idx="1451">
                  <c:v>0</c:v>
                </c:pt>
                <c:pt idx="1452">
                  <c:v>1</c:v>
                </c:pt>
                <c:pt idx="1453">
                  <c:v>0</c:v>
                </c:pt>
                <c:pt idx="1454">
                  <c:v>0</c:v>
                </c:pt>
                <c:pt idx="1455">
                  <c:v>0</c:v>
                </c:pt>
                <c:pt idx="1456">
                  <c:v>0</c:v>
                </c:pt>
                <c:pt idx="1457">
                  <c:v>0</c:v>
                </c:pt>
                <c:pt idx="1458">
                  <c:v>0</c:v>
                </c:pt>
                <c:pt idx="1459">
                  <c:v>0</c:v>
                </c:pt>
                <c:pt idx="1460">
                  <c:v>0</c:v>
                </c:pt>
                <c:pt idx="1461">
                  <c:v>1</c:v>
                </c:pt>
                <c:pt idx="1462">
                  <c:v>0</c:v>
                </c:pt>
                <c:pt idx="1463">
                  <c:v>0</c:v>
                </c:pt>
                <c:pt idx="1464">
                  <c:v>0</c:v>
                </c:pt>
                <c:pt idx="1465">
                  <c:v>0</c:v>
                </c:pt>
                <c:pt idx="1466">
                  <c:v>0</c:v>
                </c:pt>
                <c:pt idx="1467">
                  <c:v>0</c:v>
                </c:pt>
                <c:pt idx="1468">
                  <c:v>0</c:v>
                </c:pt>
                <c:pt idx="1469">
                  <c:v>0</c:v>
                </c:pt>
              </c:numCache>
            </c:numRef>
          </c:yVal>
          <c:smooth val="0"/>
          <c:extLst>
            <c:ext xmlns:c16="http://schemas.microsoft.com/office/drawing/2014/chart" uri="{C3380CC4-5D6E-409C-BE32-E72D297353CC}">
              <c16:uniqueId val="{00000000-5807-4908-B023-9DE8AA892623}"/>
            </c:ext>
          </c:extLst>
        </c:ser>
        <c:dLbls>
          <c:showLegendKey val="0"/>
          <c:showVal val="0"/>
          <c:showCatName val="0"/>
          <c:showSerName val="0"/>
          <c:showPercent val="0"/>
          <c:showBubbleSize val="0"/>
        </c:dLbls>
        <c:axId val="1387448335"/>
        <c:axId val="1387448815"/>
      </c:scatterChart>
      <c:valAx>
        <c:axId val="1387448335"/>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a:solidFill>
                      <a:schemeClr val="tx1"/>
                    </a:solidFill>
                  </a:rPr>
                  <a:t>DISTANCE</a:t>
                </a:r>
                <a:r>
                  <a:rPr lang="en-IN" baseline="0">
                    <a:solidFill>
                      <a:schemeClr val="tx1"/>
                    </a:solidFill>
                  </a:rPr>
                  <a:t> FROM HOME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87448815"/>
        <c:crosses val="autoZero"/>
        <c:crossBetween val="midCat"/>
      </c:valAx>
      <c:valAx>
        <c:axId val="138744881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a:solidFill>
                      <a:schemeClr val="tx1"/>
                    </a:solidFill>
                  </a:rPr>
                  <a:t>ATTRITION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3874483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India.xlsx]pivot table!PivotTable1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E6-452B-A760-83D7DA9591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E6-452B-A760-83D7DA9591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E6-452B-A760-83D7DA959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Research &amp; Development</c:v>
                </c:pt>
                <c:pt idx="1">
                  <c:v>Sales</c:v>
                </c:pt>
                <c:pt idx="2">
                  <c:v>Human Resources</c:v>
                </c:pt>
              </c:strCache>
            </c:strRef>
          </c:cat>
          <c:val>
            <c:numRef>
              <c:f>'pivot table'!$B$4:$B$7</c:f>
              <c:numCache>
                <c:formatCode>0.00%</c:formatCode>
                <c:ptCount val="3"/>
                <c:pt idx="0">
                  <c:v>0.65374149659863945</c:v>
                </c:pt>
                <c:pt idx="1">
                  <c:v>0.30340136054421768</c:v>
                </c:pt>
                <c:pt idx="2">
                  <c:v>4.2857142857142858E-2</c:v>
                </c:pt>
              </c:numCache>
            </c:numRef>
          </c:val>
          <c:extLst>
            <c:ext xmlns:c16="http://schemas.microsoft.com/office/drawing/2014/chart" uri="{C3380CC4-5D6E-409C-BE32-E72D297353CC}">
              <c16:uniqueId val="{00000006-B4E6-452B-A760-83D7DA9591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India.xlsx]pivot 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table'!$F$3:$F$12</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C3EF-42D1-8E93-21938AACD7F2}"/>
            </c:ext>
          </c:extLst>
        </c:ser>
        <c:dLbls>
          <c:dLblPos val="outEnd"/>
          <c:showLegendKey val="0"/>
          <c:showVal val="1"/>
          <c:showCatName val="0"/>
          <c:showSerName val="0"/>
          <c:showPercent val="0"/>
          <c:showBubbleSize val="0"/>
        </c:dLbls>
        <c:gapWidth val="182"/>
        <c:axId val="791250543"/>
        <c:axId val="1371570127"/>
      </c:barChart>
      <c:catAx>
        <c:axId val="791250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570127"/>
        <c:crosses val="autoZero"/>
        <c:auto val="1"/>
        <c:lblAlgn val="ctr"/>
        <c:lblOffset val="100"/>
        <c:noMultiLvlLbl val="0"/>
      </c:catAx>
      <c:valAx>
        <c:axId val="13715701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25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India.xlsx]pivot 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table'!$R$2</c:f>
              <c:strCache>
                <c:ptCount val="1"/>
                <c:pt idx="0">
                  <c:v>Total</c:v>
                </c:pt>
              </c:strCache>
            </c:strRef>
          </c:tx>
          <c:spPr>
            <a:solidFill>
              <a:schemeClr val="accent1"/>
            </a:solidFill>
            <a:ln>
              <a:noFill/>
            </a:ln>
            <a:effectLst/>
          </c:spPr>
          <c:invertIfNegative val="0"/>
          <c:cat>
            <c:strRef>
              <c:f>'pivot table'!$Q$3:$Q$6</c:f>
              <c:strCache>
                <c:ptCount val="3"/>
                <c:pt idx="0">
                  <c:v>Non-Travel</c:v>
                </c:pt>
                <c:pt idx="1">
                  <c:v>Travel_Frequently</c:v>
                </c:pt>
                <c:pt idx="2">
                  <c:v>Travel_Rarely</c:v>
                </c:pt>
              </c:strCache>
            </c:strRef>
          </c:cat>
          <c:val>
            <c:numRef>
              <c:f>'pivot table'!$R$3:$R$6</c:f>
              <c:numCache>
                <c:formatCode>0.000</c:formatCode>
                <c:ptCount val="3"/>
                <c:pt idx="0">
                  <c:v>2.7933333333333334</c:v>
                </c:pt>
                <c:pt idx="1">
                  <c:v>2.7906137184115525</c:v>
                </c:pt>
                <c:pt idx="2">
                  <c:v>2.7027804410354745</c:v>
                </c:pt>
              </c:numCache>
            </c:numRef>
          </c:val>
          <c:extLst>
            <c:ext xmlns:c16="http://schemas.microsoft.com/office/drawing/2014/chart" uri="{C3380CC4-5D6E-409C-BE32-E72D297353CC}">
              <c16:uniqueId val="{00000000-5DB1-4384-BB97-B8E57AF111CA}"/>
            </c:ext>
          </c:extLst>
        </c:ser>
        <c:dLbls>
          <c:showLegendKey val="0"/>
          <c:showVal val="0"/>
          <c:showCatName val="0"/>
          <c:showSerName val="0"/>
          <c:showPercent val="0"/>
          <c:showBubbleSize val="0"/>
        </c:dLbls>
        <c:gapWidth val="219"/>
        <c:overlap val="-27"/>
        <c:axId val="1453933663"/>
        <c:axId val="1453934143"/>
      </c:barChart>
      <c:catAx>
        <c:axId val="14539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34143"/>
        <c:crosses val="autoZero"/>
        <c:auto val="1"/>
        <c:lblAlgn val="ctr"/>
        <c:lblOffset val="100"/>
        <c:noMultiLvlLbl val="0"/>
      </c:catAx>
      <c:valAx>
        <c:axId val="145393414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93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India.xlsx]pivot table!PivotTable3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2336275161684193E-2"/>
              <c:y val="-5.1520614146373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5132731017975868E-3"/>
              <c:y val="6.55716907317477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0725642730559"/>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table'!$J$18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B-443C-8BA9-6FFF58CB2B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B-443C-8BA9-6FFF58CB2B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BB-443C-8BA9-6FFF58CB2B38}"/>
              </c:ext>
            </c:extLst>
          </c:dPt>
          <c:dLbls>
            <c:dLbl>
              <c:idx val="0"/>
              <c:layout>
                <c:manualLayout>
                  <c:x val="4.2336275161684193E-2"/>
                  <c:y val="-5.152061414637317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0BB-443C-8BA9-6FFF58CB2B38}"/>
                </c:ext>
              </c:extLst>
            </c:dLbl>
            <c:dLbl>
              <c:idx val="1"/>
              <c:layout>
                <c:manualLayout>
                  <c:x val="6.5132731017975868E-3"/>
                  <c:y val="6.5571690731747706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BB-443C-8BA9-6FFF58CB2B38}"/>
                </c:ext>
              </c:extLst>
            </c:dLbl>
            <c:dLbl>
              <c:idx val="2"/>
              <c:layout>
                <c:manualLayout>
                  <c:x val="-0.110725642730559"/>
                  <c:y val="0"/>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BB-443C-8BA9-6FFF58CB2B3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table'!$I$19:$I$22</c:f>
              <c:strCache>
                <c:ptCount val="3"/>
                <c:pt idx="0">
                  <c:v>Divorced</c:v>
                </c:pt>
                <c:pt idx="1">
                  <c:v>Married</c:v>
                </c:pt>
                <c:pt idx="2">
                  <c:v>Single</c:v>
                </c:pt>
              </c:strCache>
            </c:strRef>
          </c:cat>
          <c:val>
            <c:numRef>
              <c:f>'pivot table'!$J$19:$J$22</c:f>
              <c:numCache>
                <c:formatCode>0.00%</c:formatCode>
                <c:ptCount val="3"/>
                <c:pt idx="0">
                  <c:v>0.22244897959183674</c:v>
                </c:pt>
                <c:pt idx="1">
                  <c:v>0.45782312925170066</c:v>
                </c:pt>
                <c:pt idx="2">
                  <c:v>0.31972789115646261</c:v>
                </c:pt>
              </c:numCache>
            </c:numRef>
          </c:val>
          <c:extLst>
            <c:ext xmlns:c16="http://schemas.microsoft.com/office/drawing/2014/chart" uri="{C3380CC4-5D6E-409C-BE32-E72D297353CC}">
              <c16:uniqueId val="{00000006-A0BB-443C-8BA9-6FFF58CB2B3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India.xlsx]pivot table!PivotTable8</c:name>
    <c:fmtId val="2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Total</a:t>
            </a:r>
            <a:r>
              <a:rPr lang="en-IN" b="1" baseline="0">
                <a:solidFill>
                  <a:schemeClr val="tx1"/>
                </a:solidFill>
              </a:rPr>
              <a:t> number of Employees by Education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table'!$R$18</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'pivot table'!$Q$19:$Q$25</c:f>
              <c:strCache>
                <c:ptCount val="6"/>
                <c:pt idx="0">
                  <c:v>Human Resources</c:v>
                </c:pt>
                <c:pt idx="1">
                  <c:v>Life Sciences</c:v>
                </c:pt>
                <c:pt idx="2">
                  <c:v>Marketing</c:v>
                </c:pt>
                <c:pt idx="3">
                  <c:v>Medical</c:v>
                </c:pt>
                <c:pt idx="4">
                  <c:v>Other</c:v>
                </c:pt>
                <c:pt idx="5">
                  <c:v>Technical Degree</c:v>
                </c:pt>
              </c:strCache>
            </c:strRef>
          </c:cat>
          <c:val>
            <c:numRef>
              <c:f>'pivot table'!$R$19:$R$25</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1-6F57-41B3-8E9E-45E443740321}"/>
            </c:ext>
          </c:extLst>
        </c:ser>
        <c:dLbls>
          <c:showLegendKey val="0"/>
          <c:showVal val="0"/>
          <c:showCatName val="0"/>
          <c:showSerName val="0"/>
          <c:showPercent val="0"/>
          <c:showBubbleSize val="0"/>
        </c:dLbls>
        <c:gapWidth val="219"/>
        <c:overlap val="-27"/>
        <c:axId val="1265406463"/>
        <c:axId val="1265409823"/>
      </c:barChart>
      <c:catAx>
        <c:axId val="126540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409823"/>
        <c:crosses val="autoZero"/>
        <c:auto val="1"/>
        <c:lblAlgn val="ctr"/>
        <c:lblOffset val="100"/>
        <c:noMultiLvlLbl val="0"/>
      </c:catAx>
      <c:valAx>
        <c:axId val="126540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40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India.xlsx]pivot table!PivotTable8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table'!$Q$19:$Q$25</c:f>
              <c:strCache>
                <c:ptCount val="6"/>
                <c:pt idx="0">
                  <c:v>Human Resources</c:v>
                </c:pt>
                <c:pt idx="1">
                  <c:v>Life Sciences</c:v>
                </c:pt>
                <c:pt idx="2">
                  <c:v>Marketing</c:v>
                </c:pt>
                <c:pt idx="3">
                  <c:v>Medical</c:v>
                </c:pt>
                <c:pt idx="4">
                  <c:v>Other</c:v>
                </c:pt>
                <c:pt idx="5">
                  <c:v>Technical Degree</c:v>
                </c:pt>
              </c:strCache>
            </c:strRef>
          </c:cat>
          <c:val>
            <c:numRef>
              <c:f>'pivot table'!$R$19:$R$25</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0435-4ABD-9D39-C1682CC1A8A7}"/>
            </c:ext>
          </c:extLst>
        </c:ser>
        <c:dLbls>
          <c:dLblPos val="outEnd"/>
          <c:showLegendKey val="0"/>
          <c:showVal val="1"/>
          <c:showCatName val="0"/>
          <c:showSerName val="0"/>
          <c:showPercent val="0"/>
          <c:showBubbleSize val="0"/>
        </c:dLbls>
        <c:gapWidth val="182"/>
        <c:axId val="366819759"/>
        <c:axId val="366818319"/>
      </c:barChart>
      <c:catAx>
        <c:axId val="36681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18319"/>
        <c:crosses val="autoZero"/>
        <c:auto val="1"/>
        <c:lblAlgn val="ctr"/>
        <c:lblOffset val="100"/>
        <c:noMultiLvlLbl val="0"/>
      </c:catAx>
      <c:valAx>
        <c:axId val="366818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81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Distribution Of Performance rating among Employees</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cap="none" spc="20" baseline="0">
              <a:solidFill>
                <a:schemeClr val="tx1"/>
              </a:solidFill>
              <a:latin typeface="Calibri" panose="020F0502020204030204"/>
            </a:rPr>
            <a:t>Distribution Of Performance rating among Employees</a:t>
          </a:r>
        </a:p>
      </cx:txPr>
    </cx:title>
    <cx:plotArea>
      <cx:plotAreaRegion>
        <cx:series layoutId="clusteredColumn" uniqueId="{2B8DB7AD-2894-48BB-89EB-9AC3B926D7E9}" formatIdx="0">
          <cx:tx>
            <cx:txData>
              <cx:f>_xlchart.v1.0</cx:f>
              <cx:v>PerformanceRating</cx:v>
            </cx:txData>
          </cx:tx>
          <cx:dataLabels pos="inEnd">
            <cx:visibility seriesName="0" categoryName="0" value="1"/>
          </cx:dataLabels>
          <cx:dataId val="0"/>
          <cx:layoutPr>
            <cx:binning intervalClosed="r"/>
          </cx:layoutPr>
        </cx:series>
        <cx:series layoutId="clusteredColumn" hidden="1" uniqueId="{9932A34F-2198-4E40-996C-BA2A3E34784E}" formatIdx="1">
          <cx:tx>
            <cx:txData>
              <cx:f>_xlchart.v1.2</cx:f>
              <cx:v>EmployeeCount</cx:v>
            </cx:txData>
          </cx:tx>
          <cx:dataLabels pos="inEnd">
            <cx:visibility seriesName="0" categoryName="0" value="1"/>
          </cx:dataLabels>
          <cx:dataId val="1"/>
          <cx:layoutPr>
            <cx:binning intervalClosed="r"/>
          </cx:layoutPr>
        </cx:series>
      </cx:plotAreaRegion>
      <cx:axis id="0">
        <cx:catScaling gapWidth="0"/>
        <cx:title>
          <cx:tx>
            <cx:txData>
              <cx:v>Performance Rating</cx:v>
            </cx:txData>
          </cx:tx>
          <cx:txPr>
            <a:bodyPr spcFirstLastPara="1" vertOverflow="ellipsis" horzOverflow="overflow" wrap="square" lIns="0" tIns="0" rIns="0" bIns="0" anchor="ctr" anchorCtr="1"/>
            <a:lstStyle/>
            <a:p>
              <a:pPr algn="ctr" rtl="0">
                <a:defRPr b="1">
                  <a:solidFill>
                    <a:schemeClr val="tx1"/>
                  </a:solidFill>
                </a:defRPr>
              </a:pPr>
              <a:r>
                <a:rPr lang="en-US" sz="900" b="1" i="0" u="none" strike="noStrike" baseline="0">
                  <a:solidFill>
                    <a:schemeClr val="tx1"/>
                  </a:solidFill>
                  <a:latin typeface="Calibri" panose="020F0502020204030204"/>
                </a:rPr>
                <a:t>Performance Rating</a:t>
              </a:r>
            </a:p>
          </cx:txPr>
        </cx:title>
        <cx:tickLabels/>
      </cx:axis>
      <cx:axis id="1">
        <cx:valScaling/>
        <cx:title>
          <cx:tx>
            <cx:txData>
              <cx:v>Employee Count</cx:v>
            </cx:txData>
          </cx:tx>
          <cx:txPr>
            <a:bodyPr spcFirstLastPara="1" vertOverflow="ellipsis" horzOverflow="overflow" wrap="square" lIns="0" tIns="0" rIns="0" bIns="0" anchor="ctr" anchorCtr="1"/>
            <a:lstStyle/>
            <a:p>
              <a:pPr algn="ctr" rtl="0">
                <a:defRPr b="1">
                  <a:solidFill>
                    <a:schemeClr val="tx1"/>
                  </a:solidFill>
                </a:defRPr>
              </a:pPr>
              <a:r>
                <a:rPr lang="en-US" sz="900" b="1" i="0" u="none" strike="noStrike" baseline="0">
                  <a:solidFill>
                    <a:schemeClr val="tx1"/>
                  </a:solidFill>
                  <a:latin typeface="Calibri" panose="020F0502020204030204"/>
                </a:rPr>
                <a:t>Employee Count</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9">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jpe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257175</xdr:colOff>
      <xdr:row>33</xdr:row>
      <xdr:rowOff>19050</xdr:rowOff>
    </xdr:from>
    <xdr:to>
      <xdr:col>7</xdr:col>
      <xdr:colOff>304800</xdr:colOff>
      <xdr:row>47</xdr:row>
      <xdr:rowOff>95250</xdr:rowOff>
    </xdr:to>
    <xdr:graphicFrame macro="">
      <xdr:nvGraphicFramePr>
        <xdr:cNvPr id="2" name="Chart 1">
          <a:extLst>
            <a:ext uri="{FF2B5EF4-FFF2-40B4-BE49-F238E27FC236}">
              <a16:creationId xmlns:a16="http://schemas.microsoft.com/office/drawing/2014/main" id="{DDD77136-F046-45D6-92E7-97D1CEEEE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33</xdr:row>
      <xdr:rowOff>19050</xdr:rowOff>
    </xdr:from>
    <xdr:to>
      <xdr:col>14</xdr:col>
      <xdr:colOff>685800</xdr:colOff>
      <xdr:row>47</xdr:row>
      <xdr:rowOff>95250</xdr:rowOff>
    </xdr:to>
    <xdr:graphicFrame macro="">
      <xdr:nvGraphicFramePr>
        <xdr:cNvPr id="3" name="Chart 2">
          <a:extLst>
            <a:ext uri="{FF2B5EF4-FFF2-40B4-BE49-F238E27FC236}">
              <a16:creationId xmlns:a16="http://schemas.microsoft.com/office/drawing/2014/main" id="{7A6FCFE3-83FA-4A10-BD44-6AF517FCC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242986</xdr:colOff>
      <xdr:row>49</xdr:row>
      <xdr:rowOff>165228</xdr:rowOff>
    </xdr:from>
    <xdr:to>
      <xdr:col>7</xdr:col>
      <xdr:colOff>276033</xdr:colOff>
      <xdr:row>64</xdr:row>
      <xdr:rowOff>186999</xdr:rowOff>
    </xdr:to>
    <xdr:graphicFrame macro="">
      <xdr:nvGraphicFramePr>
        <xdr:cNvPr id="4" name="Chart 3">
          <a:extLst>
            <a:ext uri="{FF2B5EF4-FFF2-40B4-BE49-F238E27FC236}">
              <a16:creationId xmlns:a16="http://schemas.microsoft.com/office/drawing/2014/main" id="{E3441C82-3849-498F-97FF-35BD522A5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29158</xdr:colOff>
      <xdr:row>49</xdr:row>
      <xdr:rowOff>174949</xdr:rowOff>
    </xdr:from>
    <xdr:to>
      <xdr:col>14</xdr:col>
      <xdr:colOff>719235</xdr:colOff>
      <xdr:row>64</xdr:row>
      <xdr:rowOff>155510</xdr:rowOff>
    </xdr:to>
    <xdr:graphicFrame macro="">
      <xdr:nvGraphicFramePr>
        <xdr:cNvPr id="5" name="Chart 4">
          <a:extLst>
            <a:ext uri="{FF2B5EF4-FFF2-40B4-BE49-F238E27FC236}">
              <a16:creationId xmlns:a16="http://schemas.microsoft.com/office/drawing/2014/main" id="{56D1F69B-4BD1-497B-BA3A-70EE81AD1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242985</xdr:colOff>
      <xdr:row>16</xdr:row>
      <xdr:rowOff>48598</xdr:rowOff>
    </xdr:from>
    <xdr:to>
      <xdr:col>7</xdr:col>
      <xdr:colOff>276031</xdr:colOff>
      <xdr:row>30</xdr:row>
      <xdr:rowOff>70369</xdr:rowOff>
    </xdr:to>
    <xdr:graphicFrame macro="">
      <xdr:nvGraphicFramePr>
        <xdr:cNvPr id="6" name="Chart 5">
          <a:extLst>
            <a:ext uri="{FF2B5EF4-FFF2-40B4-BE49-F238E27FC236}">
              <a16:creationId xmlns:a16="http://schemas.microsoft.com/office/drawing/2014/main" id="{A406AB50-ECCC-45B0-9524-AAD52EA55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29158</xdr:colOff>
      <xdr:row>16</xdr:row>
      <xdr:rowOff>19438</xdr:rowOff>
    </xdr:from>
    <xdr:to>
      <xdr:col>14</xdr:col>
      <xdr:colOff>684245</xdr:colOff>
      <xdr:row>30</xdr:row>
      <xdr:rowOff>41209</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9D6F676D-3A9C-41F5-9455-23F8A031D5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65102" y="323655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86590</xdr:colOff>
      <xdr:row>0</xdr:row>
      <xdr:rowOff>122903</xdr:rowOff>
    </xdr:from>
    <xdr:to>
      <xdr:col>22</xdr:col>
      <xdr:colOff>51026</xdr:colOff>
      <xdr:row>50</xdr:row>
      <xdr:rowOff>0</xdr:rowOff>
    </xdr:to>
    <xdr:sp macro="" textlink="">
      <xdr:nvSpPr>
        <xdr:cNvPr id="46" name="Rectangle 45">
          <a:extLst>
            <a:ext uri="{FF2B5EF4-FFF2-40B4-BE49-F238E27FC236}">
              <a16:creationId xmlns:a16="http://schemas.microsoft.com/office/drawing/2014/main" id="{7E4C60EE-10CF-0270-4948-70DC761F7534}"/>
            </a:ext>
          </a:extLst>
        </xdr:cNvPr>
        <xdr:cNvSpPr/>
      </xdr:nvSpPr>
      <xdr:spPr>
        <a:xfrm>
          <a:off x="86590" y="122903"/>
          <a:ext cx="13435507" cy="9232008"/>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389173</xdr:colOff>
      <xdr:row>17</xdr:row>
      <xdr:rowOff>94380</xdr:rowOff>
    </xdr:from>
    <xdr:to>
      <xdr:col>10</xdr:col>
      <xdr:colOff>307259</xdr:colOff>
      <xdr:row>31</xdr:row>
      <xdr:rowOff>183451</xdr:rowOff>
    </xdr:to>
    <xdr:graphicFrame macro="">
      <xdr:nvGraphicFramePr>
        <xdr:cNvPr id="2" name="Chart 1">
          <a:extLst>
            <a:ext uri="{FF2B5EF4-FFF2-40B4-BE49-F238E27FC236}">
              <a16:creationId xmlns:a16="http://schemas.microsoft.com/office/drawing/2014/main" id="{BC3AE722-CF89-4E79-9920-CC88528D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170457</xdr:colOff>
      <xdr:row>32</xdr:row>
      <xdr:rowOff>142300</xdr:rowOff>
    </xdr:from>
    <xdr:to>
      <xdr:col>21</xdr:col>
      <xdr:colOff>544286</xdr:colOff>
      <xdr:row>48</xdr:row>
      <xdr:rowOff>155275</xdr:rowOff>
    </xdr:to>
    <xdr:graphicFrame macro="">
      <xdr:nvGraphicFramePr>
        <xdr:cNvPr id="3" name="Chart 2">
          <a:extLst>
            <a:ext uri="{FF2B5EF4-FFF2-40B4-BE49-F238E27FC236}">
              <a16:creationId xmlns:a16="http://schemas.microsoft.com/office/drawing/2014/main" id="{7BAED960-539B-4B3F-ADC0-53FCD7A80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102054</xdr:colOff>
      <xdr:row>17</xdr:row>
      <xdr:rowOff>105851</xdr:rowOff>
    </xdr:from>
    <xdr:to>
      <xdr:col>5</xdr:col>
      <xdr:colOff>364772</xdr:colOff>
      <xdr:row>32</xdr:row>
      <xdr:rowOff>7826</xdr:rowOff>
    </xdr:to>
    <xdr:graphicFrame macro="">
      <xdr:nvGraphicFramePr>
        <xdr:cNvPr id="4" name="Chart 3">
          <a:extLst>
            <a:ext uri="{FF2B5EF4-FFF2-40B4-BE49-F238E27FC236}">
              <a16:creationId xmlns:a16="http://schemas.microsoft.com/office/drawing/2014/main" id="{66E83916-8B0C-411F-B155-700EAE0E9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338484</xdr:colOff>
      <xdr:row>17</xdr:row>
      <xdr:rowOff>82887</xdr:rowOff>
    </xdr:from>
    <xdr:to>
      <xdr:col>15</xdr:col>
      <xdr:colOff>46088</xdr:colOff>
      <xdr:row>32</xdr:row>
      <xdr:rowOff>0</xdr:rowOff>
    </xdr:to>
    <xdr:graphicFrame macro="">
      <xdr:nvGraphicFramePr>
        <xdr:cNvPr id="5" name="Chart 4">
          <a:extLst>
            <a:ext uri="{FF2B5EF4-FFF2-40B4-BE49-F238E27FC236}">
              <a16:creationId xmlns:a16="http://schemas.microsoft.com/office/drawing/2014/main" id="{2B764D50-D069-4306-9B8B-D0F6F2B6C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176893</xdr:colOff>
      <xdr:row>1</xdr:row>
      <xdr:rowOff>149679</xdr:rowOff>
    </xdr:from>
    <xdr:to>
      <xdr:col>21</xdr:col>
      <xdr:colOff>340179</xdr:colOff>
      <xdr:row>6</xdr:row>
      <xdr:rowOff>27213</xdr:rowOff>
    </xdr:to>
    <xdr:sp macro="" textlink="">
      <xdr:nvSpPr>
        <xdr:cNvPr id="10" name="Rectangle: Rounded Corners 9">
          <a:extLst>
            <a:ext uri="{FF2B5EF4-FFF2-40B4-BE49-F238E27FC236}">
              <a16:creationId xmlns:a16="http://schemas.microsoft.com/office/drawing/2014/main" id="{29585618-DA41-3888-5874-70E2C386CA95}"/>
            </a:ext>
          </a:extLst>
        </xdr:cNvPr>
        <xdr:cNvSpPr/>
      </xdr:nvSpPr>
      <xdr:spPr>
        <a:xfrm>
          <a:off x="176893" y="336777"/>
          <a:ext cx="13022036" cy="813025"/>
        </a:xfrm>
        <a:prstGeom prst="roundRect">
          <a:avLst/>
        </a:prstGeom>
        <a:ln>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476249</xdr:colOff>
      <xdr:row>2</xdr:row>
      <xdr:rowOff>176893</xdr:rowOff>
    </xdr:from>
    <xdr:to>
      <xdr:col>18</xdr:col>
      <xdr:colOff>326570</xdr:colOff>
      <xdr:row>5</xdr:row>
      <xdr:rowOff>54428</xdr:rowOff>
    </xdr:to>
    <xdr:sp macro="" textlink="">
      <xdr:nvSpPr>
        <xdr:cNvPr id="11" name="TextBox 10">
          <a:extLst>
            <a:ext uri="{FF2B5EF4-FFF2-40B4-BE49-F238E27FC236}">
              <a16:creationId xmlns:a16="http://schemas.microsoft.com/office/drawing/2014/main" id="{3BCAE74B-5E5C-21E5-12D7-CE9A25ABB644}"/>
            </a:ext>
          </a:extLst>
        </xdr:cNvPr>
        <xdr:cNvSpPr txBox="1"/>
      </xdr:nvSpPr>
      <xdr:spPr>
        <a:xfrm>
          <a:off x="2313213" y="557893"/>
          <a:ext cx="9035143" cy="4490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HR</a:t>
          </a:r>
          <a:r>
            <a:rPr lang="en-IN" sz="2000" b="1" baseline="0"/>
            <a:t> ANALYTICS --- BOOSTING RETENTION WITH DATA INSIGHTS AT ADECCO INDIA</a:t>
          </a:r>
          <a:endParaRPr lang="en-IN" sz="2000" b="1"/>
        </a:p>
      </xdr:txBody>
    </xdr:sp>
    <xdr:clientData/>
  </xdr:twoCellAnchor>
  <xdr:twoCellAnchor editAs="oneCell">
    <xdr:from>
      <xdr:col>0</xdr:col>
      <xdr:colOff>204108</xdr:colOff>
      <xdr:row>2</xdr:row>
      <xdr:rowOff>27214</xdr:rowOff>
    </xdr:from>
    <xdr:to>
      <xdr:col>3</xdr:col>
      <xdr:colOff>535782</xdr:colOff>
      <xdr:row>5</xdr:row>
      <xdr:rowOff>163285</xdr:rowOff>
    </xdr:to>
    <xdr:pic>
      <xdr:nvPicPr>
        <xdr:cNvPr id="9" name="Picture 8">
          <a:extLst>
            <a:ext uri="{FF2B5EF4-FFF2-40B4-BE49-F238E27FC236}">
              <a16:creationId xmlns:a16="http://schemas.microsoft.com/office/drawing/2014/main" id="{B94BD719-C4CE-8897-5DCD-91C51989405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4108" y="408214"/>
          <a:ext cx="2153330" cy="707571"/>
        </a:xfrm>
        <a:prstGeom prst="rect">
          <a:avLst/>
        </a:prstGeom>
      </xdr:spPr>
    </xdr:pic>
    <xdr:clientData/>
  </xdr:twoCellAnchor>
  <xdr:twoCellAnchor editAs="oneCell">
    <xdr:from>
      <xdr:col>18</xdr:col>
      <xdr:colOff>258538</xdr:colOff>
      <xdr:row>2</xdr:row>
      <xdr:rowOff>27216</xdr:rowOff>
    </xdr:from>
    <xdr:to>
      <xdr:col>21</xdr:col>
      <xdr:colOff>323170</xdr:colOff>
      <xdr:row>5</xdr:row>
      <xdr:rowOff>163286</xdr:rowOff>
    </xdr:to>
    <xdr:pic>
      <xdr:nvPicPr>
        <xdr:cNvPr id="13" name="Picture 12">
          <a:extLst>
            <a:ext uri="{FF2B5EF4-FFF2-40B4-BE49-F238E27FC236}">
              <a16:creationId xmlns:a16="http://schemas.microsoft.com/office/drawing/2014/main" id="{D5AE6F78-31A8-AED5-BFC8-0713D086E37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280324" y="401412"/>
          <a:ext cx="1901596" cy="697365"/>
        </a:xfrm>
        <a:prstGeom prst="rect">
          <a:avLst/>
        </a:prstGeom>
      </xdr:spPr>
    </xdr:pic>
    <xdr:clientData/>
  </xdr:twoCellAnchor>
  <xdr:twoCellAnchor>
    <xdr:from>
      <xdr:col>0</xdr:col>
      <xdr:colOff>544286</xdr:colOff>
      <xdr:row>7</xdr:row>
      <xdr:rowOff>54428</xdr:rowOff>
    </xdr:from>
    <xdr:to>
      <xdr:col>4</xdr:col>
      <xdr:colOff>108857</xdr:colOff>
      <xdr:row>13</xdr:row>
      <xdr:rowOff>108857</xdr:rowOff>
    </xdr:to>
    <xdr:sp macro="" textlink="">
      <xdr:nvSpPr>
        <xdr:cNvPr id="14" name="Rectangle 13">
          <a:extLst>
            <a:ext uri="{FF2B5EF4-FFF2-40B4-BE49-F238E27FC236}">
              <a16:creationId xmlns:a16="http://schemas.microsoft.com/office/drawing/2014/main" id="{BA4486DE-F422-8AF6-F0A6-C6314CE308A1}"/>
            </a:ext>
          </a:extLst>
        </xdr:cNvPr>
        <xdr:cNvSpPr/>
      </xdr:nvSpPr>
      <xdr:spPr>
        <a:xfrm>
          <a:off x="544286" y="1387928"/>
          <a:ext cx="2013857" cy="1197429"/>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2">
                  <a:lumMod val="10000"/>
                </a:schemeClr>
              </a:solidFill>
            </a:rPr>
            <a:t>OVERALL</a:t>
          </a:r>
          <a:r>
            <a:rPr lang="en-IN" sz="1800" b="1" baseline="0">
              <a:solidFill>
                <a:schemeClr val="bg2">
                  <a:lumMod val="10000"/>
                </a:schemeClr>
              </a:solidFill>
            </a:rPr>
            <a:t> ATTRITION RATE</a:t>
          </a:r>
        </a:p>
      </xdr:txBody>
    </xdr:sp>
    <xdr:clientData/>
  </xdr:twoCellAnchor>
  <xdr:twoCellAnchor>
    <xdr:from>
      <xdr:col>4</xdr:col>
      <xdr:colOff>166050</xdr:colOff>
      <xdr:row>32</xdr:row>
      <xdr:rowOff>149753</xdr:rowOff>
    </xdr:from>
    <xdr:to>
      <xdr:col>12</xdr:col>
      <xdr:colOff>85686</xdr:colOff>
      <xdr:row>49</xdr:row>
      <xdr:rowOff>2192</xdr:rowOff>
    </xdr:to>
    <xdr:graphicFrame macro="">
      <xdr:nvGraphicFramePr>
        <xdr:cNvPr id="18" name="Chart 17">
          <a:extLst>
            <a:ext uri="{FF2B5EF4-FFF2-40B4-BE49-F238E27FC236}">
              <a16:creationId xmlns:a16="http://schemas.microsoft.com/office/drawing/2014/main" id="{9B1E99DC-32C4-4B0D-94AB-132F5E0B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492579</xdr:colOff>
      <xdr:row>7</xdr:row>
      <xdr:rowOff>43541</xdr:rowOff>
    </xdr:from>
    <xdr:to>
      <xdr:col>8</xdr:col>
      <xdr:colOff>57151</xdr:colOff>
      <xdr:row>13</xdr:row>
      <xdr:rowOff>111577</xdr:rowOff>
    </xdr:to>
    <xdr:sp macro="" textlink="">
      <xdr:nvSpPr>
        <xdr:cNvPr id="20" name="Rectangle 19">
          <a:extLst>
            <a:ext uri="{FF2B5EF4-FFF2-40B4-BE49-F238E27FC236}">
              <a16:creationId xmlns:a16="http://schemas.microsoft.com/office/drawing/2014/main" id="{58091A78-A4EA-4A2E-93AE-6F79E807C3EF}"/>
            </a:ext>
          </a:extLst>
        </xdr:cNvPr>
        <xdr:cNvSpPr/>
      </xdr:nvSpPr>
      <xdr:spPr>
        <a:xfrm>
          <a:off x="2941865" y="1377041"/>
          <a:ext cx="2013857" cy="1211036"/>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2">
                  <a:lumMod val="10000"/>
                </a:schemeClr>
              </a:solidFill>
            </a:rPr>
            <a:t>AVERAGE</a:t>
          </a:r>
          <a:r>
            <a:rPr lang="en-IN" sz="1800" b="1" baseline="0">
              <a:solidFill>
                <a:schemeClr val="bg2">
                  <a:lumMod val="10000"/>
                </a:schemeClr>
              </a:solidFill>
            </a:rPr>
            <a:t>  TENURE</a:t>
          </a:r>
          <a:endParaRPr lang="en-IN" sz="1800" b="1">
            <a:solidFill>
              <a:schemeClr val="bg2">
                <a:lumMod val="10000"/>
              </a:schemeClr>
            </a:solidFill>
          </a:endParaRPr>
        </a:p>
      </xdr:txBody>
    </xdr:sp>
    <xdr:clientData/>
  </xdr:twoCellAnchor>
  <xdr:twoCellAnchor>
    <xdr:from>
      <xdr:col>16</xdr:col>
      <xdr:colOff>547008</xdr:colOff>
      <xdr:row>7</xdr:row>
      <xdr:rowOff>16327</xdr:rowOff>
    </xdr:from>
    <xdr:to>
      <xdr:col>20</xdr:col>
      <xdr:colOff>111579</xdr:colOff>
      <xdr:row>13</xdr:row>
      <xdr:rowOff>84363</xdr:rowOff>
    </xdr:to>
    <xdr:sp macro="" textlink="">
      <xdr:nvSpPr>
        <xdr:cNvPr id="22" name="Rectangle 21">
          <a:extLst>
            <a:ext uri="{FF2B5EF4-FFF2-40B4-BE49-F238E27FC236}">
              <a16:creationId xmlns:a16="http://schemas.microsoft.com/office/drawing/2014/main" id="{6C03B771-C836-4027-99E1-CDE2D4D4C108}"/>
            </a:ext>
          </a:extLst>
        </xdr:cNvPr>
        <xdr:cNvSpPr/>
      </xdr:nvSpPr>
      <xdr:spPr>
        <a:xfrm>
          <a:off x="10344151" y="1349827"/>
          <a:ext cx="2013857" cy="1211036"/>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2">
                  <a:lumMod val="10000"/>
                </a:schemeClr>
              </a:solidFill>
            </a:rPr>
            <a:t>TOTAL NUMBER</a:t>
          </a:r>
          <a:r>
            <a:rPr lang="en-IN" sz="1800" b="1" baseline="0">
              <a:solidFill>
                <a:schemeClr val="bg2">
                  <a:lumMod val="10000"/>
                </a:schemeClr>
              </a:solidFill>
            </a:rPr>
            <a:t> OF EMPLOYEES</a:t>
          </a:r>
          <a:endParaRPr lang="en-IN" sz="1800" b="1">
            <a:solidFill>
              <a:schemeClr val="bg2">
                <a:lumMod val="10000"/>
              </a:schemeClr>
            </a:solidFill>
          </a:endParaRPr>
        </a:p>
      </xdr:txBody>
    </xdr:sp>
    <xdr:clientData/>
  </xdr:twoCellAnchor>
  <xdr:twoCellAnchor>
    <xdr:from>
      <xdr:col>12</xdr:col>
      <xdr:colOff>440872</xdr:colOff>
      <xdr:row>7</xdr:row>
      <xdr:rowOff>46265</xdr:rowOff>
    </xdr:from>
    <xdr:to>
      <xdr:col>16</xdr:col>
      <xdr:colOff>5443</xdr:colOff>
      <xdr:row>13</xdr:row>
      <xdr:rowOff>114301</xdr:rowOff>
    </xdr:to>
    <xdr:sp macro="" textlink="">
      <xdr:nvSpPr>
        <xdr:cNvPr id="23" name="Rectangle 22">
          <a:extLst>
            <a:ext uri="{FF2B5EF4-FFF2-40B4-BE49-F238E27FC236}">
              <a16:creationId xmlns:a16="http://schemas.microsoft.com/office/drawing/2014/main" id="{B46F633D-5AC8-4B22-BBA5-5E27C3E60F65}"/>
            </a:ext>
          </a:extLst>
        </xdr:cNvPr>
        <xdr:cNvSpPr/>
      </xdr:nvSpPr>
      <xdr:spPr>
        <a:xfrm>
          <a:off x="7788729" y="1379765"/>
          <a:ext cx="2013857" cy="1211036"/>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2">
                  <a:lumMod val="10000"/>
                </a:schemeClr>
              </a:solidFill>
            </a:rPr>
            <a:t>OVERTIME WORKING EMPLOYEE</a:t>
          </a:r>
        </a:p>
      </xdr:txBody>
    </xdr:sp>
    <xdr:clientData/>
  </xdr:twoCellAnchor>
  <xdr:twoCellAnchor>
    <xdr:from>
      <xdr:col>8</xdr:col>
      <xdr:colOff>470807</xdr:colOff>
      <xdr:row>7</xdr:row>
      <xdr:rowOff>35379</xdr:rowOff>
    </xdr:from>
    <xdr:to>
      <xdr:col>12</xdr:col>
      <xdr:colOff>35378</xdr:colOff>
      <xdr:row>13</xdr:row>
      <xdr:rowOff>103415</xdr:rowOff>
    </xdr:to>
    <xdr:sp macro="" textlink="">
      <xdr:nvSpPr>
        <xdr:cNvPr id="24" name="Rectangle 23">
          <a:extLst>
            <a:ext uri="{FF2B5EF4-FFF2-40B4-BE49-F238E27FC236}">
              <a16:creationId xmlns:a16="http://schemas.microsoft.com/office/drawing/2014/main" id="{7C591E2E-22B9-4FFC-8A9F-A8D727F10B23}"/>
            </a:ext>
          </a:extLst>
        </xdr:cNvPr>
        <xdr:cNvSpPr/>
      </xdr:nvSpPr>
      <xdr:spPr>
        <a:xfrm>
          <a:off x="5369378" y="1368879"/>
          <a:ext cx="2013857" cy="1211036"/>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2">
                  <a:lumMod val="10000"/>
                </a:schemeClr>
              </a:solidFill>
            </a:rPr>
            <a:t>AVERAGE AGE OF EMPLOYEE WHO LEFT COMPANY</a:t>
          </a:r>
        </a:p>
      </xdr:txBody>
    </xdr:sp>
    <xdr:clientData/>
  </xdr:twoCellAnchor>
  <xdr:twoCellAnchor>
    <xdr:from>
      <xdr:col>17</xdr:col>
      <xdr:colOff>152401</xdr:colOff>
      <xdr:row>11</xdr:row>
      <xdr:rowOff>125186</xdr:rowOff>
    </xdr:from>
    <xdr:to>
      <xdr:col>20</xdr:col>
      <xdr:colOff>476250</xdr:colOff>
      <xdr:row>16</xdr:row>
      <xdr:rowOff>29936</xdr:rowOff>
    </xdr:to>
    <xdr:sp macro="" textlink="">
      <xdr:nvSpPr>
        <xdr:cNvPr id="28" name="Rectangle 27">
          <a:extLst>
            <a:ext uri="{FF2B5EF4-FFF2-40B4-BE49-F238E27FC236}">
              <a16:creationId xmlns:a16="http://schemas.microsoft.com/office/drawing/2014/main" id="{7D9F843F-3651-4DCC-8287-832E97725948}"/>
            </a:ext>
          </a:extLst>
        </xdr:cNvPr>
        <xdr:cNvSpPr/>
      </xdr:nvSpPr>
      <xdr:spPr>
        <a:xfrm>
          <a:off x="10561865" y="2220686"/>
          <a:ext cx="2160814" cy="85725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73478</xdr:colOff>
      <xdr:row>11</xdr:row>
      <xdr:rowOff>168729</xdr:rowOff>
    </xdr:from>
    <xdr:to>
      <xdr:col>16</xdr:col>
      <xdr:colOff>217713</xdr:colOff>
      <xdr:row>16</xdr:row>
      <xdr:rowOff>73479</xdr:rowOff>
    </xdr:to>
    <xdr:sp macro="" textlink="">
      <xdr:nvSpPr>
        <xdr:cNvPr id="29" name="Rectangle 28">
          <a:extLst>
            <a:ext uri="{FF2B5EF4-FFF2-40B4-BE49-F238E27FC236}">
              <a16:creationId xmlns:a16="http://schemas.microsoft.com/office/drawing/2014/main" id="{CE9F2064-775E-4186-974A-8275C52315CF}"/>
            </a:ext>
          </a:extLst>
        </xdr:cNvPr>
        <xdr:cNvSpPr/>
      </xdr:nvSpPr>
      <xdr:spPr>
        <a:xfrm>
          <a:off x="8033657" y="2264229"/>
          <a:ext cx="1981199" cy="85725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89806</xdr:colOff>
      <xdr:row>11</xdr:row>
      <xdr:rowOff>157843</xdr:rowOff>
    </xdr:from>
    <xdr:to>
      <xdr:col>12</xdr:col>
      <xdr:colOff>258536</xdr:colOff>
      <xdr:row>16</xdr:row>
      <xdr:rowOff>62593</xdr:rowOff>
    </xdr:to>
    <xdr:sp macro="" textlink="">
      <xdr:nvSpPr>
        <xdr:cNvPr id="30" name="Rectangle 29">
          <a:extLst>
            <a:ext uri="{FF2B5EF4-FFF2-40B4-BE49-F238E27FC236}">
              <a16:creationId xmlns:a16="http://schemas.microsoft.com/office/drawing/2014/main" id="{78B8F1BA-5FCC-412B-9E82-8D5185DDB0FC}"/>
            </a:ext>
          </a:extLst>
        </xdr:cNvPr>
        <xdr:cNvSpPr/>
      </xdr:nvSpPr>
      <xdr:spPr>
        <a:xfrm>
          <a:off x="5600699" y="2253343"/>
          <a:ext cx="2005694" cy="85725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133348</xdr:colOff>
      <xdr:row>11</xdr:row>
      <xdr:rowOff>174171</xdr:rowOff>
    </xdr:from>
    <xdr:to>
      <xdr:col>8</xdr:col>
      <xdr:colOff>258535</xdr:colOff>
      <xdr:row>16</xdr:row>
      <xdr:rowOff>78921</xdr:rowOff>
    </xdr:to>
    <xdr:sp macro="" textlink="">
      <xdr:nvSpPr>
        <xdr:cNvPr id="31" name="Rectangle 30">
          <a:extLst>
            <a:ext uri="{FF2B5EF4-FFF2-40B4-BE49-F238E27FC236}">
              <a16:creationId xmlns:a16="http://schemas.microsoft.com/office/drawing/2014/main" id="{4B1ABD47-AA2F-425C-9B1A-2C2E93D3426B}"/>
            </a:ext>
          </a:extLst>
        </xdr:cNvPr>
        <xdr:cNvSpPr/>
      </xdr:nvSpPr>
      <xdr:spPr>
        <a:xfrm>
          <a:off x="3194955" y="2269671"/>
          <a:ext cx="1962151" cy="85725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231322</xdr:colOff>
      <xdr:row>12</xdr:row>
      <xdr:rowOff>13606</xdr:rowOff>
    </xdr:from>
    <xdr:to>
      <xdr:col>4</xdr:col>
      <xdr:colOff>356508</xdr:colOff>
      <xdr:row>16</xdr:row>
      <xdr:rowOff>108856</xdr:rowOff>
    </xdr:to>
    <xdr:sp macro="" textlink="">
      <xdr:nvSpPr>
        <xdr:cNvPr id="32" name="Rectangle 31">
          <a:extLst>
            <a:ext uri="{FF2B5EF4-FFF2-40B4-BE49-F238E27FC236}">
              <a16:creationId xmlns:a16="http://schemas.microsoft.com/office/drawing/2014/main" id="{0BF291A2-FF96-4389-B739-3D5F4BD4B080}"/>
            </a:ext>
          </a:extLst>
        </xdr:cNvPr>
        <xdr:cNvSpPr/>
      </xdr:nvSpPr>
      <xdr:spPr>
        <a:xfrm>
          <a:off x="843643" y="2299606"/>
          <a:ext cx="1962151" cy="85725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353786</xdr:colOff>
      <xdr:row>12</xdr:row>
      <xdr:rowOff>122464</xdr:rowOff>
    </xdr:from>
    <xdr:to>
      <xdr:col>4</xdr:col>
      <xdr:colOff>190500</xdr:colOff>
      <xdr:row>16</xdr:row>
      <xdr:rowOff>0</xdr:rowOff>
    </xdr:to>
    <xdr:sp macro="" textlink="Calculations!E5">
      <xdr:nvSpPr>
        <xdr:cNvPr id="38" name="TextBox 37">
          <a:extLst>
            <a:ext uri="{FF2B5EF4-FFF2-40B4-BE49-F238E27FC236}">
              <a16:creationId xmlns:a16="http://schemas.microsoft.com/office/drawing/2014/main" id="{CD11175C-21E9-7015-D8B6-1714B94EC423}"/>
            </a:ext>
          </a:extLst>
        </xdr:cNvPr>
        <xdr:cNvSpPr txBox="1"/>
      </xdr:nvSpPr>
      <xdr:spPr>
        <a:xfrm>
          <a:off x="966107" y="2408464"/>
          <a:ext cx="1673679" cy="6395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8D5C63-1B8B-438B-ACD7-1B41059A6610}" type="TxLink">
            <a:rPr lang="en-US" sz="2000" b="1" i="0" u="none" strike="noStrike">
              <a:solidFill>
                <a:srgbClr val="000000"/>
              </a:solidFill>
              <a:latin typeface="Calibri"/>
              <a:ea typeface="Calibri"/>
              <a:cs typeface="Calibri"/>
            </a:rPr>
            <a:pPr algn="ctr"/>
            <a:t>16%</a:t>
          </a:fld>
          <a:endParaRPr lang="en-IN" sz="2000" b="1"/>
        </a:p>
      </xdr:txBody>
    </xdr:sp>
    <xdr:clientData/>
  </xdr:twoCellAnchor>
  <xdr:twoCellAnchor>
    <xdr:from>
      <xdr:col>5</xdr:col>
      <xdr:colOff>326572</xdr:colOff>
      <xdr:row>12</xdr:row>
      <xdr:rowOff>149679</xdr:rowOff>
    </xdr:from>
    <xdr:to>
      <xdr:col>8</xdr:col>
      <xdr:colOff>54429</xdr:colOff>
      <xdr:row>15</xdr:row>
      <xdr:rowOff>122464</xdr:rowOff>
    </xdr:to>
    <xdr:sp macro="" textlink="Calculations!L8">
      <xdr:nvSpPr>
        <xdr:cNvPr id="39" name="TextBox 38">
          <a:extLst>
            <a:ext uri="{FF2B5EF4-FFF2-40B4-BE49-F238E27FC236}">
              <a16:creationId xmlns:a16="http://schemas.microsoft.com/office/drawing/2014/main" id="{1FFC5434-A600-04B4-C7D3-37FEABF8472C}"/>
            </a:ext>
          </a:extLst>
        </xdr:cNvPr>
        <xdr:cNvSpPr txBox="1"/>
      </xdr:nvSpPr>
      <xdr:spPr>
        <a:xfrm>
          <a:off x="3388179" y="2435679"/>
          <a:ext cx="1564821" cy="544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C8B478-16E4-4372-8FDA-3F0F1E5BAD2A}" type="TxLink">
            <a:rPr lang="en-US" sz="2000" b="1" i="0" u="none" strike="noStrike">
              <a:solidFill>
                <a:srgbClr val="000000"/>
              </a:solidFill>
              <a:latin typeface="Calibri"/>
              <a:ea typeface="Calibri"/>
              <a:cs typeface="Calibri"/>
            </a:rPr>
            <a:pPr algn="ctr"/>
            <a:t>7.01</a:t>
          </a:fld>
          <a:endParaRPr lang="en-IN" sz="2000"/>
        </a:p>
      </xdr:txBody>
    </xdr:sp>
    <xdr:clientData/>
  </xdr:twoCellAnchor>
  <xdr:twoCellAnchor>
    <xdr:from>
      <xdr:col>9</xdr:col>
      <xdr:colOff>340178</xdr:colOff>
      <xdr:row>12</xdr:row>
      <xdr:rowOff>136071</xdr:rowOff>
    </xdr:from>
    <xdr:to>
      <xdr:col>11</xdr:col>
      <xdr:colOff>585107</xdr:colOff>
      <xdr:row>15</xdr:row>
      <xdr:rowOff>95250</xdr:rowOff>
    </xdr:to>
    <xdr:sp macro="" textlink="Calculations!L2">
      <xdr:nvSpPr>
        <xdr:cNvPr id="40" name="TextBox 39">
          <a:extLst>
            <a:ext uri="{FF2B5EF4-FFF2-40B4-BE49-F238E27FC236}">
              <a16:creationId xmlns:a16="http://schemas.microsoft.com/office/drawing/2014/main" id="{04DE60CE-3E3C-38C6-DCEF-69E0B89D587A}"/>
            </a:ext>
          </a:extLst>
        </xdr:cNvPr>
        <xdr:cNvSpPr txBox="1"/>
      </xdr:nvSpPr>
      <xdr:spPr>
        <a:xfrm>
          <a:off x="5851071" y="2422071"/>
          <a:ext cx="1469572" cy="5306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745BC4-31F7-435F-B03B-ED17F1938308}" type="TxLink">
            <a:rPr lang="en-US" sz="2000" b="1" i="0" u="none" strike="noStrike">
              <a:solidFill>
                <a:srgbClr val="000000"/>
              </a:solidFill>
              <a:latin typeface="Calibri"/>
              <a:ea typeface="Calibri"/>
              <a:cs typeface="Calibri"/>
            </a:rPr>
            <a:pPr algn="ctr"/>
            <a:t>37</a:t>
          </a:fld>
          <a:endParaRPr lang="en-IN" sz="2000"/>
        </a:p>
      </xdr:txBody>
    </xdr:sp>
    <xdr:clientData/>
  </xdr:twoCellAnchor>
  <xdr:twoCellAnchor>
    <xdr:from>
      <xdr:col>13</xdr:col>
      <xdr:colOff>217714</xdr:colOff>
      <xdr:row>12</xdr:row>
      <xdr:rowOff>136071</xdr:rowOff>
    </xdr:from>
    <xdr:to>
      <xdr:col>16</xdr:col>
      <xdr:colOff>13607</xdr:colOff>
      <xdr:row>15</xdr:row>
      <xdr:rowOff>108857</xdr:rowOff>
    </xdr:to>
    <xdr:sp macro="" textlink="Calculations!L6">
      <xdr:nvSpPr>
        <xdr:cNvPr id="41" name="TextBox 40">
          <a:extLst>
            <a:ext uri="{FF2B5EF4-FFF2-40B4-BE49-F238E27FC236}">
              <a16:creationId xmlns:a16="http://schemas.microsoft.com/office/drawing/2014/main" id="{EF580A6C-BED4-338D-D107-79085A9EC1A5}"/>
            </a:ext>
          </a:extLst>
        </xdr:cNvPr>
        <xdr:cNvSpPr txBox="1"/>
      </xdr:nvSpPr>
      <xdr:spPr>
        <a:xfrm>
          <a:off x="8177893" y="2422071"/>
          <a:ext cx="1632857" cy="544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B24B2E-2F27-4377-8440-07162602AFE9}" type="TxLink">
            <a:rPr lang="en-US" sz="2000" b="1" i="0" u="none" strike="noStrike">
              <a:solidFill>
                <a:srgbClr val="000000"/>
              </a:solidFill>
              <a:latin typeface="Calibri"/>
              <a:ea typeface="Calibri"/>
              <a:cs typeface="Calibri"/>
            </a:rPr>
            <a:pPr algn="ctr"/>
            <a:t>416</a:t>
          </a:fld>
          <a:endParaRPr lang="en-IN" sz="2000"/>
        </a:p>
      </xdr:txBody>
    </xdr:sp>
    <xdr:clientData/>
  </xdr:twoCellAnchor>
  <xdr:twoCellAnchor>
    <xdr:from>
      <xdr:col>17</xdr:col>
      <xdr:colOff>312965</xdr:colOff>
      <xdr:row>12</xdr:row>
      <xdr:rowOff>122464</xdr:rowOff>
    </xdr:from>
    <xdr:to>
      <xdr:col>20</xdr:col>
      <xdr:colOff>299357</xdr:colOff>
      <xdr:row>15</xdr:row>
      <xdr:rowOff>40821</xdr:rowOff>
    </xdr:to>
    <xdr:sp macro="" textlink="Calculations!E4">
      <xdr:nvSpPr>
        <xdr:cNvPr id="42" name="TextBox 41">
          <a:extLst>
            <a:ext uri="{FF2B5EF4-FFF2-40B4-BE49-F238E27FC236}">
              <a16:creationId xmlns:a16="http://schemas.microsoft.com/office/drawing/2014/main" id="{32AAF035-52F5-1C40-EA78-E0D1C91F63FC}"/>
            </a:ext>
          </a:extLst>
        </xdr:cNvPr>
        <xdr:cNvSpPr txBox="1"/>
      </xdr:nvSpPr>
      <xdr:spPr>
        <a:xfrm>
          <a:off x="10722429" y="2408464"/>
          <a:ext cx="1823357" cy="489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47CBA2-A47C-475F-9863-D4E10E20EEB0}" type="TxLink">
            <a:rPr lang="en-US" sz="2000" b="1" i="0" u="none" strike="noStrike">
              <a:solidFill>
                <a:srgbClr val="000000"/>
              </a:solidFill>
              <a:latin typeface="Calibri"/>
              <a:ea typeface="Calibri"/>
              <a:cs typeface="Calibri"/>
            </a:rPr>
            <a:pPr algn="ctr"/>
            <a:t>1470</a:t>
          </a:fld>
          <a:endParaRPr lang="en-IN" sz="2000" b="1"/>
        </a:p>
      </xdr:txBody>
    </xdr:sp>
    <xdr:clientData/>
  </xdr:twoCellAnchor>
  <xdr:twoCellAnchor editAs="oneCell">
    <xdr:from>
      <xdr:col>0</xdr:col>
      <xdr:colOff>327025</xdr:colOff>
      <xdr:row>42</xdr:row>
      <xdr:rowOff>78530</xdr:rowOff>
    </xdr:from>
    <xdr:to>
      <xdr:col>4</xdr:col>
      <xdr:colOff>102053</xdr:colOff>
      <xdr:row>49</xdr:row>
      <xdr:rowOff>0</xdr:rowOff>
    </xdr:to>
    <mc:AlternateContent xmlns:mc="http://schemas.openxmlformats.org/markup-compatibility/2006">
      <mc:Choice xmlns:a14="http://schemas.microsoft.com/office/drawing/2010/main" Requires="a14">
        <xdr:graphicFrame macro="">
          <xdr:nvGraphicFramePr>
            <xdr:cNvPr id="43" name="Department">
              <a:extLst>
                <a:ext uri="{FF2B5EF4-FFF2-40B4-BE49-F238E27FC236}">
                  <a16:creationId xmlns:a16="http://schemas.microsoft.com/office/drawing/2014/main" id="{DFFC116F-699F-8257-A70C-A87F78AD521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27025" y="7647044"/>
              <a:ext cx="2246379" cy="1182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334961</xdr:colOff>
      <xdr:row>37</xdr:row>
      <xdr:rowOff>108744</xdr:rowOff>
    </xdr:from>
    <xdr:to>
      <xdr:col>4</xdr:col>
      <xdr:colOff>102052</xdr:colOff>
      <xdr:row>42</xdr:row>
      <xdr:rowOff>46089</xdr:rowOff>
    </xdr:to>
    <mc:AlternateContent xmlns:mc="http://schemas.openxmlformats.org/markup-compatibility/2006">
      <mc:Choice xmlns:a14="http://schemas.microsoft.com/office/drawing/2010/main" Requires="a14">
        <xdr:graphicFrame macro="">
          <xdr:nvGraphicFramePr>
            <xdr:cNvPr id="44" name="Gender">
              <a:extLst>
                <a:ext uri="{FF2B5EF4-FFF2-40B4-BE49-F238E27FC236}">
                  <a16:creationId xmlns:a16="http://schemas.microsoft.com/office/drawing/2014/main" id="{B89E90C7-FD1F-0633-FC26-C59F3F837C0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34961" y="6776244"/>
              <a:ext cx="2238442" cy="838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319088</xdr:colOff>
      <xdr:row>32</xdr:row>
      <xdr:rowOff>107539</xdr:rowOff>
    </xdr:from>
    <xdr:to>
      <xdr:col>4</xdr:col>
      <xdr:colOff>85044</xdr:colOff>
      <xdr:row>37</xdr:row>
      <xdr:rowOff>92177</xdr:rowOff>
    </xdr:to>
    <mc:AlternateContent xmlns:mc="http://schemas.openxmlformats.org/markup-compatibility/2006">
      <mc:Choice xmlns:a14="http://schemas.microsoft.com/office/drawing/2010/main" Requires="a14">
        <xdr:graphicFrame macro="">
          <xdr:nvGraphicFramePr>
            <xdr:cNvPr id="45" name="PerformanceRating">
              <a:extLst>
                <a:ext uri="{FF2B5EF4-FFF2-40B4-BE49-F238E27FC236}">
                  <a16:creationId xmlns:a16="http://schemas.microsoft.com/office/drawing/2014/main" id="{62E992A7-2073-D6E7-56EC-E4A6DB23E12C}"/>
                </a:ext>
              </a:extLst>
            </xdr:cNvPr>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dr:sp macro="" textlink="">
          <xdr:nvSpPr>
            <xdr:cNvPr id="0" name=""/>
            <xdr:cNvSpPr>
              <a:spLocks noTextEdit="1"/>
            </xdr:cNvSpPr>
          </xdr:nvSpPr>
          <xdr:spPr>
            <a:xfrm>
              <a:off x="319088" y="5874025"/>
              <a:ext cx="2237307" cy="885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107541</xdr:colOff>
      <xdr:row>17</xdr:row>
      <xdr:rowOff>107541</xdr:rowOff>
    </xdr:from>
    <xdr:to>
      <xdr:col>21</xdr:col>
      <xdr:colOff>544286</xdr:colOff>
      <xdr:row>32</xdr:row>
      <xdr:rowOff>0</xdr:rowOff>
    </xdr:to>
    <xdr:graphicFrame macro="">
      <xdr:nvGraphicFramePr>
        <xdr:cNvPr id="47" name="Chart 46">
          <a:extLst>
            <a:ext uri="{FF2B5EF4-FFF2-40B4-BE49-F238E27FC236}">
              <a16:creationId xmlns:a16="http://schemas.microsoft.com/office/drawing/2014/main" id="{AD7D92EF-BEE2-4F4C-BA34-04CA1CDA6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60.83693287037" createdVersion="8" refreshedVersion="8" minRefreshableVersion="3" recordCount="1470" xr:uid="{F44DFB0E-5671-4322-8240-EF8F8B73B98E}">
  <cacheSource type="worksheet">
    <worksheetSource name="Adecco_Indi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769842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61.947696875002" createdVersion="8" refreshedVersion="8" minRefreshableVersion="3" recordCount="1470" xr:uid="{EDE63A81-588F-453C-829C-4678B0D56D38}">
  <cacheSource type="worksheet">
    <worksheetSource ref="U1:V1471" sheet="practice work"/>
  </cacheSource>
  <cacheFields count="2">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1"/>
    <n v="2"/>
    <x v="0"/>
    <n v="94"/>
    <x v="0"/>
    <n v="2"/>
    <x v="0"/>
    <n v="4"/>
    <x v="0"/>
    <n v="5993"/>
    <n v="19479"/>
    <n v="8"/>
    <s v="Y"/>
    <s v="Yes"/>
    <n v="11"/>
    <x v="0"/>
    <n v="1"/>
    <n v="80"/>
    <n v="0"/>
    <n v="8"/>
    <n v="0"/>
    <n v="1"/>
    <n v="6"/>
    <n v="4"/>
    <n v="0"/>
    <n v="5"/>
  </r>
  <r>
    <n v="49"/>
    <x v="1"/>
    <x v="1"/>
    <n v="279"/>
    <x v="1"/>
    <n v="8"/>
    <n v="1"/>
    <s v="Life Sciences"/>
    <n v="1"/>
    <n v="2"/>
    <n v="3"/>
    <x v="1"/>
    <n v="61"/>
    <x v="1"/>
    <n v="2"/>
    <x v="1"/>
    <n v="2"/>
    <x v="1"/>
    <n v="5130"/>
    <n v="24907"/>
    <n v="1"/>
    <s v="Y"/>
    <s v="No"/>
    <n v="23"/>
    <x v="1"/>
    <n v="4"/>
    <n v="80"/>
    <n v="1"/>
    <n v="10"/>
    <n v="3"/>
    <n v="3"/>
    <n v="10"/>
    <n v="7"/>
    <n v="1"/>
    <n v="7"/>
  </r>
  <r>
    <n v="37"/>
    <x v="0"/>
    <x v="0"/>
    <n v="1373"/>
    <x v="1"/>
    <n v="2"/>
    <n v="2"/>
    <s v="Other"/>
    <n v="1"/>
    <n v="4"/>
    <n v="4"/>
    <x v="1"/>
    <n v="92"/>
    <x v="1"/>
    <n v="1"/>
    <x v="2"/>
    <n v="3"/>
    <x v="0"/>
    <n v="2090"/>
    <n v="2396"/>
    <n v="6"/>
    <s v="Y"/>
    <s v="Yes"/>
    <n v="15"/>
    <x v="0"/>
    <n v="2"/>
    <n v="80"/>
    <n v="0"/>
    <n v="7"/>
    <n v="3"/>
    <n v="3"/>
    <n v="0"/>
    <n v="0"/>
    <n v="0"/>
    <n v="0"/>
  </r>
  <r>
    <n v="33"/>
    <x v="1"/>
    <x v="1"/>
    <n v="1392"/>
    <x v="1"/>
    <n v="3"/>
    <n v="4"/>
    <s v="Life Sciences"/>
    <n v="1"/>
    <n v="5"/>
    <n v="4"/>
    <x v="0"/>
    <n v="56"/>
    <x v="0"/>
    <n v="1"/>
    <x v="1"/>
    <n v="3"/>
    <x v="1"/>
    <n v="2909"/>
    <n v="23159"/>
    <n v="1"/>
    <s v="Y"/>
    <s v="Yes"/>
    <n v="11"/>
    <x v="0"/>
    <n v="3"/>
    <n v="80"/>
    <n v="0"/>
    <n v="8"/>
    <n v="3"/>
    <n v="3"/>
    <n v="8"/>
    <n v="7"/>
    <n v="3"/>
    <n v="0"/>
  </r>
  <r>
    <n v="27"/>
    <x v="1"/>
    <x v="0"/>
    <n v="591"/>
    <x v="1"/>
    <n v="2"/>
    <n v="1"/>
    <s v="Medical"/>
    <n v="1"/>
    <n v="7"/>
    <n v="1"/>
    <x v="1"/>
    <n v="40"/>
    <x v="0"/>
    <n v="1"/>
    <x v="2"/>
    <n v="2"/>
    <x v="1"/>
    <n v="3468"/>
    <n v="16632"/>
    <n v="9"/>
    <s v="Y"/>
    <s v="No"/>
    <n v="12"/>
    <x v="0"/>
    <n v="4"/>
    <n v="80"/>
    <n v="1"/>
    <n v="6"/>
    <n v="3"/>
    <n v="3"/>
    <n v="2"/>
    <n v="2"/>
    <n v="2"/>
    <n v="2"/>
  </r>
  <r>
    <n v="32"/>
    <x v="1"/>
    <x v="1"/>
    <n v="1005"/>
    <x v="1"/>
    <n v="2"/>
    <n v="2"/>
    <s v="Life Sciences"/>
    <n v="1"/>
    <n v="8"/>
    <n v="4"/>
    <x v="1"/>
    <n v="79"/>
    <x v="0"/>
    <n v="1"/>
    <x v="2"/>
    <n v="4"/>
    <x v="0"/>
    <n v="3068"/>
    <n v="11864"/>
    <n v="0"/>
    <s v="Y"/>
    <s v="No"/>
    <n v="13"/>
    <x v="0"/>
    <n v="3"/>
    <n v="80"/>
    <n v="0"/>
    <n v="8"/>
    <n v="2"/>
    <n v="2"/>
    <n v="7"/>
    <n v="7"/>
    <n v="3"/>
    <n v="6"/>
  </r>
  <r>
    <n v="59"/>
    <x v="1"/>
    <x v="0"/>
    <n v="1324"/>
    <x v="1"/>
    <n v="3"/>
    <n v="3"/>
    <s v="Medical"/>
    <n v="1"/>
    <n v="10"/>
    <n v="3"/>
    <x v="0"/>
    <n v="81"/>
    <x v="2"/>
    <n v="1"/>
    <x v="2"/>
    <n v="1"/>
    <x v="1"/>
    <n v="2670"/>
    <n v="9964"/>
    <n v="4"/>
    <s v="Y"/>
    <s v="Yes"/>
    <n v="20"/>
    <x v="1"/>
    <n v="1"/>
    <n v="80"/>
    <n v="3"/>
    <n v="12"/>
    <n v="3"/>
    <n v="2"/>
    <n v="1"/>
    <n v="0"/>
    <n v="0"/>
    <n v="0"/>
  </r>
  <r>
    <n v="30"/>
    <x v="1"/>
    <x v="0"/>
    <n v="1358"/>
    <x v="1"/>
    <n v="24"/>
    <n v="1"/>
    <s v="Life Sciences"/>
    <n v="1"/>
    <n v="11"/>
    <n v="4"/>
    <x v="1"/>
    <n v="67"/>
    <x v="0"/>
    <n v="1"/>
    <x v="2"/>
    <n v="3"/>
    <x v="2"/>
    <n v="2693"/>
    <n v="13335"/>
    <n v="1"/>
    <s v="Y"/>
    <s v="No"/>
    <n v="22"/>
    <x v="1"/>
    <n v="2"/>
    <n v="80"/>
    <n v="1"/>
    <n v="1"/>
    <n v="2"/>
    <n v="3"/>
    <n v="1"/>
    <n v="0"/>
    <n v="0"/>
    <n v="0"/>
  </r>
  <r>
    <n v="38"/>
    <x v="1"/>
    <x v="1"/>
    <n v="216"/>
    <x v="1"/>
    <n v="23"/>
    <n v="3"/>
    <s v="Life Sciences"/>
    <n v="1"/>
    <n v="12"/>
    <n v="4"/>
    <x v="1"/>
    <n v="44"/>
    <x v="1"/>
    <n v="3"/>
    <x v="3"/>
    <n v="3"/>
    <x v="0"/>
    <n v="9526"/>
    <n v="8787"/>
    <n v="0"/>
    <s v="Y"/>
    <s v="No"/>
    <n v="21"/>
    <x v="1"/>
    <n v="2"/>
    <n v="80"/>
    <n v="0"/>
    <n v="10"/>
    <n v="2"/>
    <n v="3"/>
    <n v="9"/>
    <n v="7"/>
    <n v="1"/>
    <n v="8"/>
  </r>
  <r>
    <n v="36"/>
    <x v="1"/>
    <x v="0"/>
    <n v="1299"/>
    <x v="1"/>
    <n v="27"/>
    <n v="3"/>
    <s v="Medical"/>
    <n v="1"/>
    <n v="13"/>
    <n v="3"/>
    <x v="1"/>
    <n v="94"/>
    <x v="0"/>
    <n v="2"/>
    <x v="4"/>
    <n v="3"/>
    <x v="1"/>
    <n v="5237"/>
    <n v="16577"/>
    <n v="6"/>
    <s v="Y"/>
    <s v="No"/>
    <n v="13"/>
    <x v="0"/>
    <n v="2"/>
    <n v="80"/>
    <n v="2"/>
    <n v="17"/>
    <n v="3"/>
    <n v="2"/>
    <n v="7"/>
    <n v="7"/>
    <n v="7"/>
    <n v="7"/>
  </r>
  <r>
    <n v="35"/>
    <x v="1"/>
    <x v="0"/>
    <n v="809"/>
    <x v="1"/>
    <n v="16"/>
    <n v="3"/>
    <s v="Medical"/>
    <n v="1"/>
    <n v="14"/>
    <n v="1"/>
    <x v="1"/>
    <n v="84"/>
    <x v="2"/>
    <n v="1"/>
    <x v="2"/>
    <n v="2"/>
    <x v="1"/>
    <n v="2426"/>
    <n v="16479"/>
    <n v="0"/>
    <s v="Y"/>
    <s v="No"/>
    <n v="13"/>
    <x v="0"/>
    <n v="3"/>
    <n v="80"/>
    <n v="1"/>
    <n v="6"/>
    <n v="5"/>
    <n v="3"/>
    <n v="5"/>
    <n v="4"/>
    <n v="0"/>
    <n v="3"/>
  </r>
  <r>
    <n v="29"/>
    <x v="1"/>
    <x v="0"/>
    <n v="153"/>
    <x v="1"/>
    <n v="15"/>
    <n v="2"/>
    <s v="Life Sciences"/>
    <n v="1"/>
    <n v="15"/>
    <n v="4"/>
    <x v="0"/>
    <n v="49"/>
    <x v="1"/>
    <n v="2"/>
    <x v="2"/>
    <n v="3"/>
    <x v="0"/>
    <n v="4193"/>
    <n v="12682"/>
    <n v="0"/>
    <s v="Y"/>
    <s v="Yes"/>
    <n v="12"/>
    <x v="0"/>
    <n v="4"/>
    <n v="80"/>
    <n v="0"/>
    <n v="10"/>
    <n v="3"/>
    <n v="3"/>
    <n v="9"/>
    <n v="5"/>
    <n v="0"/>
    <n v="8"/>
  </r>
  <r>
    <n v="31"/>
    <x v="1"/>
    <x v="0"/>
    <n v="670"/>
    <x v="1"/>
    <n v="26"/>
    <n v="1"/>
    <s v="Life Sciences"/>
    <n v="1"/>
    <n v="16"/>
    <n v="1"/>
    <x v="1"/>
    <n v="31"/>
    <x v="0"/>
    <n v="1"/>
    <x v="1"/>
    <n v="3"/>
    <x v="2"/>
    <n v="2911"/>
    <n v="15170"/>
    <n v="1"/>
    <s v="Y"/>
    <s v="No"/>
    <n v="17"/>
    <x v="0"/>
    <n v="4"/>
    <n v="80"/>
    <n v="1"/>
    <n v="5"/>
    <n v="1"/>
    <n v="2"/>
    <n v="5"/>
    <n v="2"/>
    <n v="4"/>
    <n v="3"/>
  </r>
  <r>
    <n v="34"/>
    <x v="1"/>
    <x v="0"/>
    <n v="1346"/>
    <x v="1"/>
    <n v="19"/>
    <n v="2"/>
    <s v="Medical"/>
    <n v="1"/>
    <n v="18"/>
    <n v="2"/>
    <x v="1"/>
    <n v="93"/>
    <x v="0"/>
    <n v="1"/>
    <x v="2"/>
    <n v="4"/>
    <x v="2"/>
    <n v="2661"/>
    <n v="8758"/>
    <n v="0"/>
    <s v="Y"/>
    <s v="No"/>
    <n v="11"/>
    <x v="0"/>
    <n v="3"/>
    <n v="80"/>
    <n v="1"/>
    <n v="3"/>
    <n v="2"/>
    <n v="3"/>
    <n v="2"/>
    <n v="2"/>
    <n v="1"/>
    <n v="2"/>
  </r>
  <r>
    <n v="28"/>
    <x v="0"/>
    <x v="0"/>
    <n v="103"/>
    <x v="1"/>
    <n v="24"/>
    <n v="3"/>
    <s v="Life Sciences"/>
    <n v="1"/>
    <n v="19"/>
    <n v="3"/>
    <x v="1"/>
    <n v="50"/>
    <x v="1"/>
    <n v="1"/>
    <x v="2"/>
    <n v="3"/>
    <x v="0"/>
    <n v="2028"/>
    <n v="12947"/>
    <n v="5"/>
    <s v="Y"/>
    <s v="Yes"/>
    <n v="14"/>
    <x v="0"/>
    <n v="2"/>
    <n v="80"/>
    <n v="0"/>
    <n v="6"/>
    <n v="4"/>
    <n v="3"/>
    <n v="4"/>
    <n v="2"/>
    <n v="0"/>
    <n v="3"/>
  </r>
  <r>
    <n v="29"/>
    <x v="1"/>
    <x v="0"/>
    <n v="1389"/>
    <x v="1"/>
    <n v="21"/>
    <n v="4"/>
    <s v="Life Sciences"/>
    <n v="1"/>
    <n v="20"/>
    <n v="2"/>
    <x v="0"/>
    <n v="51"/>
    <x v="2"/>
    <n v="3"/>
    <x v="3"/>
    <n v="1"/>
    <x v="2"/>
    <n v="9980"/>
    <n v="10195"/>
    <n v="1"/>
    <s v="Y"/>
    <s v="No"/>
    <n v="11"/>
    <x v="0"/>
    <n v="3"/>
    <n v="80"/>
    <n v="1"/>
    <n v="10"/>
    <n v="1"/>
    <n v="3"/>
    <n v="10"/>
    <n v="9"/>
    <n v="8"/>
    <n v="8"/>
  </r>
  <r>
    <n v="32"/>
    <x v="1"/>
    <x v="0"/>
    <n v="334"/>
    <x v="1"/>
    <n v="5"/>
    <n v="2"/>
    <s v="Life Sciences"/>
    <n v="1"/>
    <n v="21"/>
    <n v="1"/>
    <x v="1"/>
    <n v="80"/>
    <x v="2"/>
    <n v="1"/>
    <x v="1"/>
    <n v="2"/>
    <x v="2"/>
    <n v="3298"/>
    <n v="15053"/>
    <n v="0"/>
    <s v="Y"/>
    <s v="Yes"/>
    <n v="12"/>
    <x v="0"/>
    <n v="4"/>
    <n v="80"/>
    <n v="2"/>
    <n v="7"/>
    <n v="5"/>
    <n v="2"/>
    <n v="6"/>
    <n v="2"/>
    <n v="0"/>
    <n v="5"/>
  </r>
  <r>
    <n v="22"/>
    <x v="1"/>
    <x v="2"/>
    <n v="1123"/>
    <x v="1"/>
    <n v="16"/>
    <n v="2"/>
    <s v="Medical"/>
    <n v="1"/>
    <n v="22"/>
    <n v="4"/>
    <x v="1"/>
    <n v="96"/>
    <x v="2"/>
    <n v="1"/>
    <x v="2"/>
    <n v="4"/>
    <x v="2"/>
    <n v="2935"/>
    <n v="7324"/>
    <n v="1"/>
    <s v="Y"/>
    <s v="Yes"/>
    <n v="13"/>
    <x v="0"/>
    <n v="2"/>
    <n v="80"/>
    <n v="2"/>
    <n v="1"/>
    <n v="2"/>
    <n v="2"/>
    <n v="1"/>
    <n v="0"/>
    <n v="0"/>
    <n v="0"/>
  </r>
  <r>
    <n v="53"/>
    <x v="1"/>
    <x v="0"/>
    <n v="1219"/>
    <x v="0"/>
    <n v="2"/>
    <n v="4"/>
    <s v="Life Sciences"/>
    <n v="1"/>
    <n v="23"/>
    <n v="1"/>
    <x v="0"/>
    <n v="78"/>
    <x v="1"/>
    <n v="4"/>
    <x v="5"/>
    <n v="4"/>
    <x v="1"/>
    <n v="15427"/>
    <n v="22021"/>
    <n v="2"/>
    <s v="Y"/>
    <s v="No"/>
    <n v="16"/>
    <x v="0"/>
    <n v="3"/>
    <n v="80"/>
    <n v="0"/>
    <n v="31"/>
    <n v="3"/>
    <n v="3"/>
    <n v="25"/>
    <n v="8"/>
    <n v="3"/>
    <n v="7"/>
  </r>
  <r>
    <n v="38"/>
    <x v="1"/>
    <x v="0"/>
    <n v="371"/>
    <x v="1"/>
    <n v="2"/>
    <n v="3"/>
    <s v="Life Sciences"/>
    <n v="1"/>
    <n v="24"/>
    <n v="4"/>
    <x v="1"/>
    <n v="45"/>
    <x v="0"/>
    <n v="1"/>
    <x v="1"/>
    <n v="4"/>
    <x v="0"/>
    <n v="3944"/>
    <n v="4306"/>
    <n v="5"/>
    <s v="Y"/>
    <s v="Yes"/>
    <n v="11"/>
    <x v="0"/>
    <n v="3"/>
    <n v="80"/>
    <n v="0"/>
    <n v="6"/>
    <n v="3"/>
    <n v="3"/>
    <n v="3"/>
    <n v="2"/>
    <n v="1"/>
    <n v="2"/>
  </r>
  <r>
    <n v="24"/>
    <x v="1"/>
    <x v="2"/>
    <n v="673"/>
    <x v="1"/>
    <n v="11"/>
    <n v="2"/>
    <s v="Other"/>
    <n v="1"/>
    <n v="26"/>
    <n v="1"/>
    <x v="0"/>
    <n v="96"/>
    <x v="2"/>
    <n v="2"/>
    <x v="3"/>
    <n v="3"/>
    <x v="2"/>
    <n v="4011"/>
    <n v="8232"/>
    <n v="0"/>
    <s v="Y"/>
    <s v="No"/>
    <n v="18"/>
    <x v="0"/>
    <n v="4"/>
    <n v="80"/>
    <n v="1"/>
    <n v="5"/>
    <n v="5"/>
    <n v="2"/>
    <n v="4"/>
    <n v="2"/>
    <n v="1"/>
    <n v="3"/>
  </r>
  <r>
    <n v="36"/>
    <x v="0"/>
    <x v="0"/>
    <n v="1218"/>
    <x v="0"/>
    <n v="9"/>
    <n v="4"/>
    <s v="Life Sciences"/>
    <n v="1"/>
    <n v="27"/>
    <n v="3"/>
    <x v="1"/>
    <n v="82"/>
    <x v="1"/>
    <n v="1"/>
    <x v="6"/>
    <n v="1"/>
    <x v="0"/>
    <n v="3407"/>
    <n v="6986"/>
    <n v="7"/>
    <s v="Y"/>
    <s v="No"/>
    <n v="23"/>
    <x v="1"/>
    <n v="2"/>
    <n v="80"/>
    <n v="0"/>
    <n v="10"/>
    <n v="4"/>
    <n v="3"/>
    <n v="5"/>
    <n v="3"/>
    <n v="0"/>
    <n v="3"/>
  </r>
  <r>
    <n v="34"/>
    <x v="1"/>
    <x v="0"/>
    <n v="419"/>
    <x v="1"/>
    <n v="7"/>
    <n v="4"/>
    <s v="Life Sciences"/>
    <n v="1"/>
    <n v="28"/>
    <n v="1"/>
    <x v="0"/>
    <n v="53"/>
    <x v="0"/>
    <n v="3"/>
    <x v="7"/>
    <n v="2"/>
    <x v="0"/>
    <n v="11994"/>
    <n v="21293"/>
    <n v="0"/>
    <s v="Y"/>
    <s v="No"/>
    <n v="11"/>
    <x v="0"/>
    <n v="3"/>
    <n v="80"/>
    <n v="0"/>
    <n v="13"/>
    <n v="4"/>
    <n v="3"/>
    <n v="12"/>
    <n v="6"/>
    <n v="2"/>
    <n v="11"/>
  </r>
  <r>
    <n v="21"/>
    <x v="1"/>
    <x v="0"/>
    <n v="391"/>
    <x v="1"/>
    <n v="15"/>
    <n v="2"/>
    <s v="Life Sciences"/>
    <n v="1"/>
    <n v="30"/>
    <n v="3"/>
    <x v="1"/>
    <n v="96"/>
    <x v="0"/>
    <n v="1"/>
    <x v="1"/>
    <n v="4"/>
    <x v="0"/>
    <n v="1232"/>
    <n v="19281"/>
    <n v="1"/>
    <s v="Y"/>
    <s v="No"/>
    <n v="14"/>
    <x v="0"/>
    <n v="4"/>
    <n v="80"/>
    <n v="0"/>
    <n v="0"/>
    <n v="6"/>
    <n v="3"/>
    <n v="0"/>
    <n v="0"/>
    <n v="0"/>
    <n v="0"/>
  </r>
  <r>
    <n v="34"/>
    <x v="0"/>
    <x v="0"/>
    <n v="699"/>
    <x v="1"/>
    <n v="6"/>
    <n v="1"/>
    <s v="Medical"/>
    <n v="1"/>
    <n v="31"/>
    <n v="2"/>
    <x v="1"/>
    <n v="83"/>
    <x v="0"/>
    <n v="1"/>
    <x v="1"/>
    <n v="1"/>
    <x v="0"/>
    <n v="2960"/>
    <n v="17102"/>
    <n v="2"/>
    <s v="Y"/>
    <s v="No"/>
    <n v="11"/>
    <x v="0"/>
    <n v="3"/>
    <n v="80"/>
    <n v="0"/>
    <n v="8"/>
    <n v="2"/>
    <n v="3"/>
    <n v="4"/>
    <n v="2"/>
    <n v="1"/>
    <n v="3"/>
  </r>
  <r>
    <n v="53"/>
    <x v="1"/>
    <x v="0"/>
    <n v="1282"/>
    <x v="1"/>
    <n v="5"/>
    <n v="3"/>
    <s v="Other"/>
    <n v="1"/>
    <n v="32"/>
    <n v="3"/>
    <x v="0"/>
    <n v="58"/>
    <x v="0"/>
    <n v="5"/>
    <x v="5"/>
    <n v="3"/>
    <x v="2"/>
    <n v="19094"/>
    <n v="10735"/>
    <n v="4"/>
    <s v="Y"/>
    <s v="No"/>
    <n v="11"/>
    <x v="0"/>
    <n v="4"/>
    <n v="80"/>
    <n v="1"/>
    <n v="26"/>
    <n v="3"/>
    <n v="2"/>
    <n v="14"/>
    <n v="13"/>
    <n v="4"/>
    <n v="8"/>
  </r>
  <r>
    <n v="32"/>
    <x v="0"/>
    <x v="1"/>
    <n v="1125"/>
    <x v="1"/>
    <n v="16"/>
    <n v="1"/>
    <s v="Life Sciences"/>
    <n v="1"/>
    <n v="33"/>
    <n v="2"/>
    <x v="0"/>
    <n v="72"/>
    <x v="3"/>
    <n v="1"/>
    <x v="1"/>
    <n v="1"/>
    <x v="0"/>
    <n v="3919"/>
    <n v="4681"/>
    <n v="1"/>
    <s v="Y"/>
    <s v="Yes"/>
    <n v="22"/>
    <x v="1"/>
    <n v="2"/>
    <n v="80"/>
    <n v="0"/>
    <n v="10"/>
    <n v="5"/>
    <n v="3"/>
    <n v="10"/>
    <n v="2"/>
    <n v="6"/>
    <n v="7"/>
  </r>
  <r>
    <n v="42"/>
    <x v="1"/>
    <x v="0"/>
    <n v="691"/>
    <x v="0"/>
    <n v="8"/>
    <n v="4"/>
    <s v="Marketing"/>
    <n v="1"/>
    <n v="35"/>
    <n v="3"/>
    <x v="1"/>
    <n v="48"/>
    <x v="0"/>
    <n v="2"/>
    <x v="0"/>
    <n v="2"/>
    <x v="1"/>
    <n v="6825"/>
    <n v="21173"/>
    <n v="0"/>
    <s v="Y"/>
    <s v="No"/>
    <n v="11"/>
    <x v="0"/>
    <n v="4"/>
    <n v="80"/>
    <n v="1"/>
    <n v="10"/>
    <n v="2"/>
    <n v="3"/>
    <n v="9"/>
    <n v="7"/>
    <n v="4"/>
    <n v="2"/>
  </r>
  <r>
    <n v="44"/>
    <x v="1"/>
    <x v="0"/>
    <n v="477"/>
    <x v="1"/>
    <n v="7"/>
    <n v="4"/>
    <s v="Medical"/>
    <n v="1"/>
    <n v="36"/>
    <n v="1"/>
    <x v="0"/>
    <n v="42"/>
    <x v="1"/>
    <n v="3"/>
    <x v="4"/>
    <n v="4"/>
    <x v="1"/>
    <n v="10248"/>
    <n v="2094"/>
    <n v="3"/>
    <s v="Y"/>
    <s v="No"/>
    <n v="14"/>
    <x v="0"/>
    <n v="4"/>
    <n v="80"/>
    <n v="1"/>
    <n v="24"/>
    <n v="4"/>
    <n v="3"/>
    <n v="22"/>
    <n v="6"/>
    <n v="5"/>
    <n v="17"/>
  </r>
  <r>
    <n v="46"/>
    <x v="1"/>
    <x v="0"/>
    <n v="705"/>
    <x v="0"/>
    <n v="2"/>
    <n v="4"/>
    <s v="Marketing"/>
    <n v="1"/>
    <n v="38"/>
    <n v="2"/>
    <x v="0"/>
    <n v="83"/>
    <x v="0"/>
    <n v="5"/>
    <x v="5"/>
    <n v="1"/>
    <x v="0"/>
    <n v="18947"/>
    <n v="22822"/>
    <n v="3"/>
    <s v="Y"/>
    <s v="No"/>
    <n v="12"/>
    <x v="0"/>
    <n v="4"/>
    <n v="80"/>
    <n v="0"/>
    <n v="22"/>
    <n v="2"/>
    <n v="2"/>
    <n v="2"/>
    <n v="2"/>
    <n v="2"/>
    <n v="1"/>
  </r>
  <r>
    <n v="33"/>
    <x v="1"/>
    <x v="0"/>
    <n v="924"/>
    <x v="1"/>
    <n v="2"/>
    <n v="3"/>
    <s v="Medical"/>
    <n v="1"/>
    <n v="39"/>
    <n v="3"/>
    <x v="1"/>
    <n v="78"/>
    <x v="0"/>
    <n v="1"/>
    <x v="2"/>
    <n v="4"/>
    <x v="0"/>
    <n v="2496"/>
    <n v="6670"/>
    <n v="4"/>
    <s v="Y"/>
    <s v="No"/>
    <n v="11"/>
    <x v="0"/>
    <n v="4"/>
    <n v="80"/>
    <n v="0"/>
    <n v="7"/>
    <n v="3"/>
    <n v="3"/>
    <n v="1"/>
    <n v="1"/>
    <n v="0"/>
    <n v="0"/>
  </r>
  <r>
    <n v="44"/>
    <x v="1"/>
    <x v="0"/>
    <n v="1459"/>
    <x v="1"/>
    <n v="10"/>
    <n v="4"/>
    <s v="Other"/>
    <n v="1"/>
    <n v="40"/>
    <n v="4"/>
    <x v="1"/>
    <n v="41"/>
    <x v="0"/>
    <n v="2"/>
    <x v="4"/>
    <n v="4"/>
    <x v="1"/>
    <n v="6465"/>
    <n v="19121"/>
    <n v="2"/>
    <s v="Y"/>
    <s v="Yes"/>
    <n v="13"/>
    <x v="0"/>
    <n v="4"/>
    <n v="80"/>
    <n v="0"/>
    <n v="9"/>
    <n v="5"/>
    <n v="4"/>
    <n v="4"/>
    <n v="2"/>
    <n v="1"/>
    <n v="3"/>
  </r>
  <r>
    <n v="30"/>
    <x v="1"/>
    <x v="0"/>
    <n v="125"/>
    <x v="1"/>
    <n v="9"/>
    <n v="2"/>
    <s v="Medical"/>
    <n v="1"/>
    <n v="41"/>
    <n v="4"/>
    <x v="1"/>
    <n v="83"/>
    <x v="1"/>
    <n v="1"/>
    <x v="2"/>
    <n v="3"/>
    <x v="0"/>
    <n v="2206"/>
    <n v="16117"/>
    <n v="1"/>
    <s v="Y"/>
    <s v="No"/>
    <n v="13"/>
    <x v="0"/>
    <n v="1"/>
    <n v="80"/>
    <n v="0"/>
    <n v="10"/>
    <n v="5"/>
    <n v="3"/>
    <n v="10"/>
    <n v="0"/>
    <n v="1"/>
    <n v="8"/>
  </r>
  <r>
    <n v="39"/>
    <x v="0"/>
    <x v="0"/>
    <n v="895"/>
    <x v="0"/>
    <n v="5"/>
    <n v="3"/>
    <s v="Technical Degree"/>
    <n v="1"/>
    <n v="42"/>
    <n v="4"/>
    <x v="1"/>
    <n v="56"/>
    <x v="0"/>
    <n v="2"/>
    <x v="6"/>
    <n v="4"/>
    <x v="1"/>
    <n v="2086"/>
    <n v="3335"/>
    <n v="3"/>
    <s v="Y"/>
    <s v="No"/>
    <n v="14"/>
    <x v="0"/>
    <n v="3"/>
    <n v="80"/>
    <n v="1"/>
    <n v="19"/>
    <n v="6"/>
    <n v="4"/>
    <n v="1"/>
    <n v="0"/>
    <n v="0"/>
    <n v="0"/>
  </r>
  <r>
    <n v="24"/>
    <x v="0"/>
    <x v="0"/>
    <n v="813"/>
    <x v="1"/>
    <n v="1"/>
    <n v="3"/>
    <s v="Medical"/>
    <n v="1"/>
    <n v="45"/>
    <n v="2"/>
    <x v="1"/>
    <n v="61"/>
    <x v="0"/>
    <n v="1"/>
    <x v="1"/>
    <n v="4"/>
    <x v="1"/>
    <n v="2293"/>
    <n v="3020"/>
    <n v="2"/>
    <s v="Y"/>
    <s v="Yes"/>
    <n v="16"/>
    <x v="0"/>
    <n v="1"/>
    <n v="80"/>
    <n v="1"/>
    <n v="6"/>
    <n v="2"/>
    <n v="2"/>
    <n v="2"/>
    <n v="0"/>
    <n v="2"/>
    <n v="0"/>
  </r>
  <r>
    <n v="43"/>
    <x v="1"/>
    <x v="0"/>
    <n v="1273"/>
    <x v="1"/>
    <n v="2"/>
    <n v="2"/>
    <s v="Medical"/>
    <n v="1"/>
    <n v="46"/>
    <n v="4"/>
    <x v="0"/>
    <n v="72"/>
    <x v="2"/>
    <n v="1"/>
    <x v="1"/>
    <n v="3"/>
    <x v="2"/>
    <n v="2645"/>
    <n v="21923"/>
    <n v="1"/>
    <s v="Y"/>
    <s v="No"/>
    <n v="12"/>
    <x v="0"/>
    <n v="4"/>
    <n v="80"/>
    <n v="2"/>
    <n v="6"/>
    <n v="3"/>
    <n v="2"/>
    <n v="5"/>
    <n v="3"/>
    <n v="1"/>
    <n v="4"/>
  </r>
  <r>
    <n v="50"/>
    <x v="0"/>
    <x v="0"/>
    <n v="869"/>
    <x v="0"/>
    <n v="3"/>
    <n v="2"/>
    <s v="Marketing"/>
    <n v="1"/>
    <n v="47"/>
    <n v="1"/>
    <x v="1"/>
    <n v="86"/>
    <x v="1"/>
    <n v="1"/>
    <x v="6"/>
    <n v="3"/>
    <x v="1"/>
    <n v="2683"/>
    <n v="3810"/>
    <n v="1"/>
    <s v="Y"/>
    <s v="Yes"/>
    <n v="14"/>
    <x v="0"/>
    <n v="3"/>
    <n v="80"/>
    <n v="0"/>
    <n v="3"/>
    <n v="2"/>
    <n v="3"/>
    <n v="3"/>
    <n v="2"/>
    <n v="0"/>
    <n v="2"/>
  </r>
  <r>
    <n v="35"/>
    <x v="1"/>
    <x v="0"/>
    <n v="890"/>
    <x v="0"/>
    <n v="2"/>
    <n v="3"/>
    <s v="Marketing"/>
    <n v="1"/>
    <n v="49"/>
    <n v="4"/>
    <x v="0"/>
    <n v="97"/>
    <x v="0"/>
    <n v="1"/>
    <x v="6"/>
    <n v="4"/>
    <x v="1"/>
    <n v="2014"/>
    <n v="9687"/>
    <n v="1"/>
    <s v="Y"/>
    <s v="No"/>
    <n v="13"/>
    <x v="0"/>
    <n v="1"/>
    <n v="80"/>
    <n v="0"/>
    <n v="2"/>
    <n v="3"/>
    <n v="3"/>
    <n v="2"/>
    <n v="2"/>
    <n v="2"/>
    <n v="2"/>
  </r>
  <r>
    <n v="36"/>
    <x v="1"/>
    <x v="0"/>
    <n v="852"/>
    <x v="1"/>
    <n v="5"/>
    <n v="4"/>
    <s v="Life Sciences"/>
    <n v="1"/>
    <n v="51"/>
    <n v="2"/>
    <x v="0"/>
    <n v="82"/>
    <x v="1"/>
    <n v="1"/>
    <x v="1"/>
    <n v="1"/>
    <x v="1"/>
    <n v="3419"/>
    <n v="13072"/>
    <n v="9"/>
    <s v="Y"/>
    <s v="Yes"/>
    <n v="14"/>
    <x v="0"/>
    <n v="4"/>
    <n v="80"/>
    <n v="1"/>
    <n v="6"/>
    <n v="3"/>
    <n v="4"/>
    <n v="1"/>
    <n v="1"/>
    <n v="0"/>
    <n v="0"/>
  </r>
  <r>
    <n v="33"/>
    <x v="1"/>
    <x v="1"/>
    <n v="1141"/>
    <x v="0"/>
    <n v="1"/>
    <n v="3"/>
    <s v="Life Sciences"/>
    <n v="1"/>
    <n v="52"/>
    <n v="3"/>
    <x v="0"/>
    <n v="42"/>
    <x v="2"/>
    <n v="2"/>
    <x v="0"/>
    <n v="1"/>
    <x v="1"/>
    <n v="5376"/>
    <n v="3193"/>
    <n v="2"/>
    <s v="Y"/>
    <s v="No"/>
    <n v="19"/>
    <x v="0"/>
    <n v="1"/>
    <n v="80"/>
    <n v="2"/>
    <n v="10"/>
    <n v="3"/>
    <n v="3"/>
    <n v="5"/>
    <n v="3"/>
    <n v="1"/>
    <n v="3"/>
  </r>
  <r>
    <n v="35"/>
    <x v="1"/>
    <x v="0"/>
    <n v="464"/>
    <x v="1"/>
    <n v="4"/>
    <n v="2"/>
    <s v="Other"/>
    <n v="1"/>
    <n v="53"/>
    <n v="3"/>
    <x v="1"/>
    <n v="75"/>
    <x v="0"/>
    <n v="1"/>
    <x v="2"/>
    <n v="4"/>
    <x v="2"/>
    <n v="1951"/>
    <n v="10910"/>
    <n v="1"/>
    <s v="Y"/>
    <s v="No"/>
    <n v="12"/>
    <x v="0"/>
    <n v="3"/>
    <n v="80"/>
    <n v="1"/>
    <n v="1"/>
    <n v="3"/>
    <n v="3"/>
    <n v="1"/>
    <n v="0"/>
    <n v="0"/>
    <n v="0"/>
  </r>
  <r>
    <n v="27"/>
    <x v="1"/>
    <x v="0"/>
    <n v="1240"/>
    <x v="1"/>
    <n v="2"/>
    <n v="4"/>
    <s v="Life Sciences"/>
    <n v="1"/>
    <n v="54"/>
    <n v="4"/>
    <x v="0"/>
    <n v="33"/>
    <x v="0"/>
    <n v="1"/>
    <x v="2"/>
    <n v="1"/>
    <x v="2"/>
    <n v="2341"/>
    <n v="19715"/>
    <n v="1"/>
    <s v="Y"/>
    <s v="No"/>
    <n v="13"/>
    <x v="0"/>
    <n v="4"/>
    <n v="80"/>
    <n v="1"/>
    <n v="1"/>
    <n v="6"/>
    <n v="3"/>
    <n v="1"/>
    <n v="0"/>
    <n v="0"/>
    <n v="0"/>
  </r>
  <r>
    <n v="26"/>
    <x v="0"/>
    <x v="0"/>
    <n v="1357"/>
    <x v="1"/>
    <n v="25"/>
    <n v="3"/>
    <s v="Life Sciences"/>
    <n v="1"/>
    <n v="55"/>
    <n v="1"/>
    <x v="1"/>
    <n v="48"/>
    <x v="3"/>
    <n v="1"/>
    <x v="2"/>
    <n v="3"/>
    <x v="0"/>
    <n v="2293"/>
    <n v="10558"/>
    <n v="1"/>
    <s v="Y"/>
    <s v="No"/>
    <n v="12"/>
    <x v="0"/>
    <n v="3"/>
    <n v="80"/>
    <n v="0"/>
    <n v="1"/>
    <n v="2"/>
    <n v="2"/>
    <n v="1"/>
    <n v="0"/>
    <n v="0"/>
    <n v="1"/>
  </r>
  <r>
    <n v="27"/>
    <x v="1"/>
    <x v="1"/>
    <n v="994"/>
    <x v="0"/>
    <n v="8"/>
    <n v="3"/>
    <s v="Life Sciences"/>
    <n v="1"/>
    <n v="56"/>
    <n v="4"/>
    <x v="1"/>
    <n v="37"/>
    <x v="0"/>
    <n v="3"/>
    <x v="0"/>
    <n v="3"/>
    <x v="0"/>
    <n v="8726"/>
    <n v="2975"/>
    <n v="1"/>
    <s v="Y"/>
    <s v="No"/>
    <n v="15"/>
    <x v="0"/>
    <n v="4"/>
    <n v="80"/>
    <n v="0"/>
    <n v="9"/>
    <n v="0"/>
    <n v="3"/>
    <n v="9"/>
    <n v="8"/>
    <n v="1"/>
    <n v="7"/>
  </r>
  <r>
    <n v="30"/>
    <x v="1"/>
    <x v="1"/>
    <n v="721"/>
    <x v="1"/>
    <n v="1"/>
    <n v="2"/>
    <s v="Medical"/>
    <n v="1"/>
    <n v="57"/>
    <n v="3"/>
    <x v="0"/>
    <n v="58"/>
    <x v="0"/>
    <n v="2"/>
    <x v="2"/>
    <n v="4"/>
    <x v="0"/>
    <n v="4011"/>
    <n v="10781"/>
    <n v="1"/>
    <s v="Y"/>
    <s v="No"/>
    <n v="23"/>
    <x v="1"/>
    <n v="4"/>
    <n v="80"/>
    <n v="0"/>
    <n v="12"/>
    <n v="2"/>
    <n v="3"/>
    <n v="12"/>
    <n v="8"/>
    <n v="3"/>
    <n v="7"/>
  </r>
  <r>
    <n v="41"/>
    <x v="0"/>
    <x v="0"/>
    <n v="1360"/>
    <x v="1"/>
    <n v="12"/>
    <n v="3"/>
    <s v="Technical Degree"/>
    <n v="1"/>
    <n v="58"/>
    <n v="2"/>
    <x v="0"/>
    <n v="49"/>
    <x v="0"/>
    <n v="5"/>
    <x v="7"/>
    <n v="3"/>
    <x v="1"/>
    <n v="19545"/>
    <n v="16280"/>
    <n v="1"/>
    <s v="Y"/>
    <s v="No"/>
    <n v="12"/>
    <x v="0"/>
    <n v="4"/>
    <n v="80"/>
    <n v="0"/>
    <n v="23"/>
    <n v="0"/>
    <n v="3"/>
    <n v="22"/>
    <n v="15"/>
    <n v="15"/>
    <n v="8"/>
  </r>
  <r>
    <n v="34"/>
    <x v="1"/>
    <x v="2"/>
    <n v="1065"/>
    <x v="0"/>
    <n v="23"/>
    <n v="4"/>
    <s v="Marketing"/>
    <n v="1"/>
    <n v="60"/>
    <n v="2"/>
    <x v="1"/>
    <n v="72"/>
    <x v="0"/>
    <n v="2"/>
    <x v="0"/>
    <n v="3"/>
    <x v="0"/>
    <n v="4568"/>
    <n v="10034"/>
    <n v="0"/>
    <s v="Y"/>
    <s v="No"/>
    <n v="20"/>
    <x v="1"/>
    <n v="3"/>
    <n v="80"/>
    <n v="0"/>
    <n v="10"/>
    <n v="2"/>
    <n v="3"/>
    <n v="9"/>
    <n v="5"/>
    <n v="8"/>
    <n v="7"/>
  </r>
  <r>
    <n v="37"/>
    <x v="1"/>
    <x v="0"/>
    <n v="408"/>
    <x v="1"/>
    <n v="19"/>
    <n v="2"/>
    <s v="Life Sciences"/>
    <n v="1"/>
    <n v="61"/>
    <n v="2"/>
    <x v="1"/>
    <n v="73"/>
    <x v="0"/>
    <n v="1"/>
    <x v="1"/>
    <n v="2"/>
    <x v="1"/>
    <n v="3022"/>
    <n v="10227"/>
    <n v="4"/>
    <s v="Y"/>
    <s v="No"/>
    <n v="21"/>
    <x v="1"/>
    <n v="1"/>
    <n v="80"/>
    <n v="0"/>
    <n v="8"/>
    <n v="1"/>
    <n v="3"/>
    <n v="1"/>
    <n v="0"/>
    <n v="0"/>
    <n v="0"/>
  </r>
  <r>
    <n v="46"/>
    <x v="1"/>
    <x v="1"/>
    <n v="1211"/>
    <x v="0"/>
    <n v="5"/>
    <n v="4"/>
    <s v="Marketing"/>
    <n v="1"/>
    <n v="62"/>
    <n v="1"/>
    <x v="1"/>
    <n v="98"/>
    <x v="0"/>
    <n v="2"/>
    <x v="0"/>
    <n v="4"/>
    <x v="0"/>
    <n v="5772"/>
    <n v="20445"/>
    <n v="4"/>
    <s v="Y"/>
    <s v="Yes"/>
    <n v="21"/>
    <x v="1"/>
    <n v="3"/>
    <n v="80"/>
    <n v="0"/>
    <n v="14"/>
    <n v="4"/>
    <n v="3"/>
    <n v="9"/>
    <n v="6"/>
    <n v="0"/>
    <n v="8"/>
  </r>
  <r>
    <n v="35"/>
    <x v="1"/>
    <x v="0"/>
    <n v="1229"/>
    <x v="1"/>
    <n v="8"/>
    <n v="1"/>
    <s v="Life Sciences"/>
    <n v="1"/>
    <n v="63"/>
    <n v="4"/>
    <x v="1"/>
    <n v="36"/>
    <x v="2"/>
    <n v="1"/>
    <x v="2"/>
    <n v="4"/>
    <x v="1"/>
    <n v="2269"/>
    <n v="4892"/>
    <n v="1"/>
    <s v="Y"/>
    <s v="No"/>
    <n v="19"/>
    <x v="0"/>
    <n v="4"/>
    <n v="80"/>
    <n v="0"/>
    <n v="1"/>
    <n v="2"/>
    <n v="3"/>
    <n v="1"/>
    <n v="0"/>
    <n v="0"/>
    <n v="1"/>
  </r>
  <r>
    <n v="48"/>
    <x v="0"/>
    <x v="0"/>
    <n v="626"/>
    <x v="1"/>
    <n v="1"/>
    <n v="2"/>
    <s v="Life Sciences"/>
    <n v="1"/>
    <n v="64"/>
    <n v="1"/>
    <x v="1"/>
    <n v="98"/>
    <x v="1"/>
    <n v="3"/>
    <x v="2"/>
    <n v="3"/>
    <x v="0"/>
    <n v="5381"/>
    <n v="19294"/>
    <n v="9"/>
    <s v="Y"/>
    <s v="Yes"/>
    <n v="13"/>
    <x v="0"/>
    <n v="4"/>
    <n v="80"/>
    <n v="0"/>
    <n v="23"/>
    <n v="2"/>
    <n v="3"/>
    <n v="1"/>
    <n v="0"/>
    <n v="0"/>
    <n v="0"/>
  </r>
  <r>
    <n v="28"/>
    <x v="0"/>
    <x v="0"/>
    <n v="1434"/>
    <x v="1"/>
    <n v="5"/>
    <n v="4"/>
    <s v="Technical Degree"/>
    <n v="1"/>
    <n v="65"/>
    <n v="3"/>
    <x v="1"/>
    <n v="50"/>
    <x v="0"/>
    <n v="1"/>
    <x v="2"/>
    <n v="3"/>
    <x v="0"/>
    <n v="3441"/>
    <n v="11179"/>
    <n v="1"/>
    <s v="Y"/>
    <s v="Yes"/>
    <n v="13"/>
    <x v="0"/>
    <n v="3"/>
    <n v="80"/>
    <n v="0"/>
    <n v="2"/>
    <n v="3"/>
    <n v="2"/>
    <n v="2"/>
    <n v="2"/>
    <n v="2"/>
    <n v="2"/>
  </r>
  <r>
    <n v="44"/>
    <x v="1"/>
    <x v="0"/>
    <n v="1488"/>
    <x v="0"/>
    <n v="1"/>
    <n v="5"/>
    <s v="Marketing"/>
    <n v="1"/>
    <n v="68"/>
    <n v="2"/>
    <x v="0"/>
    <n v="75"/>
    <x v="0"/>
    <n v="2"/>
    <x v="0"/>
    <n v="1"/>
    <x v="2"/>
    <n v="5454"/>
    <n v="4009"/>
    <n v="5"/>
    <s v="Y"/>
    <s v="Yes"/>
    <n v="21"/>
    <x v="1"/>
    <n v="3"/>
    <n v="80"/>
    <n v="1"/>
    <n v="9"/>
    <n v="2"/>
    <n v="2"/>
    <n v="4"/>
    <n v="3"/>
    <n v="1"/>
    <n v="3"/>
  </r>
  <r>
    <n v="35"/>
    <x v="1"/>
    <x v="2"/>
    <n v="1097"/>
    <x v="1"/>
    <n v="11"/>
    <n v="2"/>
    <s v="Medical"/>
    <n v="1"/>
    <n v="70"/>
    <n v="3"/>
    <x v="1"/>
    <n v="79"/>
    <x v="1"/>
    <n v="3"/>
    <x v="4"/>
    <n v="1"/>
    <x v="1"/>
    <n v="9884"/>
    <n v="8302"/>
    <n v="2"/>
    <s v="Y"/>
    <s v="Yes"/>
    <n v="13"/>
    <x v="0"/>
    <n v="3"/>
    <n v="80"/>
    <n v="1"/>
    <n v="10"/>
    <n v="3"/>
    <n v="3"/>
    <n v="4"/>
    <n v="0"/>
    <n v="2"/>
    <n v="3"/>
  </r>
  <r>
    <n v="26"/>
    <x v="1"/>
    <x v="0"/>
    <n v="1443"/>
    <x v="0"/>
    <n v="23"/>
    <n v="3"/>
    <s v="Marketing"/>
    <n v="1"/>
    <n v="72"/>
    <n v="3"/>
    <x v="0"/>
    <n v="47"/>
    <x v="1"/>
    <n v="2"/>
    <x v="0"/>
    <n v="4"/>
    <x v="1"/>
    <n v="4157"/>
    <n v="21436"/>
    <n v="7"/>
    <s v="Y"/>
    <s v="Yes"/>
    <n v="19"/>
    <x v="0"/>
    <n v="3"/>
    <n v="80"/>
    <n v="1"/>
    <n v="5"/>
    <n v="2"/>
    <n v="2"/>
    <n v="2"/>
    <n v="2"/>
    <n v="0"/>
    <n v="0"/>
  </r>
  <r>
    <n v="33"/>
    <x v="1"/>
    <x v="1"/>
    <n v="515"/>
    <x v="1"/>
    <n v="1"/>
    <n v="2"/>
    <s v="Life Sciences"/>
    <n v="1"/>
    <n v="73"/>
    <n v="1"/>
    <x v="0"/>
    <n v="98"/>
    <x v="0"/>
    <n v="3"/>
    <x v="7"/>
    <n v="4"/>
    <x v="0"/>
    <n v="13458"/>
    <n v="15146"/>
    <n v="1"/>
    <s v="Y"/>
    <s v="Yes"/>
    <n v="12"/>
    <x v="0"/>
    <n v="3"/>
    <n v="80"/>
    <n v="0"/>
    <n v="15"/>
    <n v="1"/>
    <n v="3"/>
    <n v="15"/>
    <n v="14"/>
    <n v="8"/>
    <n v="12"/>
  </r>
  <r>
    <n v="35"/>
    <x v="1"/>
    <x v="1"/>
    <n v="853"/>
    <x v="0"/>
    <n v="18"/>
    <n v="5"/>
    <s v="Life Sciences"/>
    <n v="1"/>
    <n v="74"/>
    <n v="2"/>
    <x v="1"/>
    <n v="71"/>
    <x v="0"/>
    <n v="3"/>
    <x v="0"/>
    <n v="1"/>
    <x v="1"/>
    <n v="9069"/>
    <n v="11031"/>
    <n v="1"/>
    <s v="Y"/>
    <s v="No"/>
    <n v="22"/>
    <x v="1"/>
    <n v="4"/>
    <n v="80"/>
    <n v="1"/>
    <n v="9"/>
    <n v="3"/>
    <n v="2"/>
    <n v="9"/>
    <n v="8"/>
    <n v="1"/>
    <n v="8"/>
  </r>
  <r>
    <n v="35"/>
    <x v="1"/>
    <x v="0"/>
    <n v="1142"/>
    <x v="1"/>
    <n v="23"/>
    <n v="4"/>
    <s v="Medical"/>
    <n v="1"/>
    <n v="75"/>
    <n v="3"/>
    <x v="0"/>
    <n v="30"/>
    <x v="0"/>
    <n v="1"/>
    <x v="2"/>
    <n v="1"/>
    <x v="1"/>
    <n v="4014"/>
    <n v="16002"/>
    <n v="3"/>
    <s v="Y"/>
    <s v="Yes"/>
    <n v="15"/>
    <x v="0"/>
    <n v="3"/>
    <n v="80"/>
    <n v="1"/>
    <n v="4"/>
    <n v="3"/>
    <n v="3"/>
    <n v="2"/>
    <n v="2"/>
    <n v="2"/>
    <n v="2"/>
  </r>
  <r>
    <n v="31"/>
    <x v="1"/>
    <x v="0"/>
    <n v="655"/>
    <x v="1"/>
    <n v="7"/>
    <n v="4"/>
    <s v="Life Sciences"/>
    <n v="1"/>
    <n v="76"/>
    <n v="4"/>
    <x v="1"/>
    <n v="48"/>
    <x v="0"/>
    <n v="2"/>
    <x v="2"/>
    <n v="4"/>
    <x v="2"/>
    <n v="5915"/>
    <n v="9528"/>
    <n v="3"/>
    <s v="Y"/>
    <s v="No"/>
    <n v="22"/>
    <x v="1"/>
    <n v="4"/>
    <n v="80"/>
    <n v="1"/>
    <n v="10"/>
    <n v="3"/>
    <n v="2"/>
    <n v="7"/>
    <n v="7"/>
    <n v="1"/>
    <n v="7"/>
  </r>
  <r>
    <n v="37"/>
    <x v="1"/>
    <x v="0"/>
    <n v="1115"/>
    <x v="1"/>
    <n v="1"/>
    <n v="4"/>
    <s v="Life Sciences"/>
    <n v="1"/>
    <n v="77"/>
    <n v="1"/>
    <x v="1"/>
    <n v="51"/>
    <x v="1"/>
    <n v="2"/>
    <x v="3"/>
    <n v="3"/>
    <x v="2"/>
    <n v="5993"/>
    <n v="2689"/>
    <n v="1"/>
    <s v="Y"/>
    <s v="No"/>
    <n v="18"/>
    <x v="0"/>
    <n v="3"/>
    <n v="80"/>
    <n v="1"/>
    <n v="7"/>
    <n v="2"/>
    <n v="4"/>
    <n v="7"/>
    <n v="5"/>
    <n v="0"/>
    <n v="7"/>
  </r>
  <r>
    <n v="32"/>
    <x v="1"/>
    <x v="0"/>
    <n v="427"/>
    <x v="1"/>
    <n v="1"/>
    <n v="3"/>
    <s v="Medical"/>
    <n v="1"/>
    <n v="78"/>
    <n v="1"/>
    <x v="1"/>
    <n v="33"/>
    <x v="0"/>
    <n v="2"/>
    <x v="3"/>
    <n v="4"/>
    <x v="1"/>
    <n v="6162"/>
    <n v="10877"/>
    <n v="1"/>
    <s v="Y"/>
    <s v="Yes"/>
    <n v="22"/>
    <x v="1"/>
    <n v="2"/>
    <n v="80"/>
    <n v="1"/>
    <n v="9"/>
    <n v="3"/>
    <n v="3"/>
    <n v="9"/>
    <n v="8"/>
    <n v="7"/>
    <n v="8"/>
  </r>
  <r>
    <n v="38"/>
    <x v="1"/>
    <x v="1"/>
    <n v="653"/>
    <x v="1"/>
    <n v="29"/>
    <n v="5"/>
    <s v="Life Sciences"/>
    <n v="1"/>
    <n v="79"/>
    <n v="4"/>
    <x v="0"/>
    <n v="50"/>
    <x v="0"/>
    <n v="2"/>
    <x v="2"/>
    <n v="4"/>
    <x v="0"/>
    <n v="2406"/>
    <n v="5456"/>
    <n v="1"/>
    <s v="Y"/>
    <s v="No"/>
    <n v="11"/>
    <x v="0"/>
    <n v="4"/>
    <n v="80"/>
    <n v="0"/>
    <n v="10"/>
    <n v="2"/>
    <n v="3"/>
    <n v="10"/>
    <n v="3"/>
    <n v="9"/>
    <n v="9"/>
  </r>
  <r>
    <n v="50"/>
    <x v="1"/>
    <x v="0"/>
    <n v="989"/>
    <x v="1"/>
    <n v="7"/>
    <n v="2"/>
    <s v="Medical"/>
    <n v="1"/>
    <n v="80"/>
    <n v="2"/>
    <x v="0"/>
    <n v="43"/>
    <x v="1"/>
    <n v="5"/>
    <x v="7"/>
    <n v="3"/>
    <x v="2"/>
    <n v="18740"/>
    <n v="16701"/>
    <n v="5"/>
    <s v="Y"/>
    <s v="Yes"/>
    <n v="12"/>
    <x v="0"/>
    <n v="4"/>
    <n v="80"/>
    <n v="1"/>
    <n v="29"/>
    <n v="2"/>
    <n v="2"/>
    <n v="27"/>
    <n v="3"/>
    <n v="13"/>
    <n v="8"/>
  </r>
  <r>
    <n v="59"/>
    <x v="1"/>
    <x v="0"/>
    <n v="1435"/>
    <x v="0"/>
    <n v="25"/>
    <n v="3"/>
    <s v="Life Sciences"/>
    <n v="1"/>
    <n v="81"/>
    <n v="1"/>
    <x v="0"/>
    <n v="99"/>
    <x v="0"/>
    <n v="3"/>
    <x v="0"/>
    <n v="1"/>
    <x v="0"/>
    <n v="7637"/>
    <n v="2354"/>
    <n v="7"/>
    <s v="Y"/>
    <s v="No"/>
    <n v="11"/>
    <x v="0"/>
    <n v="4"/>
    <n v="80"/>
    <n v="0"/>
    <n v="28"/>
    <n v="3"/>
    <n v="2"/>
    <n v="21"/>
    <n v="16"/>
    <n v="7"/>
    <n v="9"/>
  </r>
  <r>
    <n v="36"/>
    <x v="1"/>
    <x v="0"/>
    <n v="1223"/>
    <x v="1"/>
    <n v="8"/>
    <n v="3"/>
    <s v="Technical Degree"/>
    <n v="1"/>
    <n v="83"/>
    <n v="3"/>
    <x v="0"/>
    <n v="59"/>
    <x v="0"/>
    <n v="3"/>
    <x v="4"/>
    <n v="3"/>
    <x v="2"/>
    <n v="10096"/>
    <n v="8202"/>
    <n v="1"/>
    <s v="Y"/>
    <s v="No"/>
    <n v="13"/>
    <x v="0"/>
    <n v="2"/>
    <n v="80"/>
    <n v="3"/>
    <n v="17"/>
    <n v="2"/>
    <n v="3"/>
    <n v="17"/>
    <n v="14"/>
    <n v="12"/>
    <n v="8"/>
  </r>
  <r>
    <n v="55"/>
    <x v="1"/>
    <x v="0"/>
    <n v="836"/>
    <x v="1"/>
    <n v="8"/>
    <n v="3"/>
    <s v="Medical"/>
    <n v="1"/>
    <n v="84"/>
    <n v="4"/>
    <x v="0"/>
    <n v="33"/>
    <x v="0"/>
    <n v="4"/>
    <x v="5"/>
    <n v="3"/>
    <x v="2"/>
    <n v="14756"/>
    <n v="19730"/>
    <n v="2"/>
    <s v="Y"/>
    <s v="Yes"/>
    <n v="14"/>
    <x v="0"/>
    <n v="3"/>
    <n v="80"/>
    <n v="3"/>
    <n v="21"/>
    <n v="2"/>
    <n v="3"/>
    <n v="5"/>
    <n v="0"/>
    <n v="0"/>
    <n v="2"/>
  </r>
  <r>
    <n v="36"/>
    <x v="1"/>
    <x v="1"/>
    <n v="1195"/>
    <x v="1"/>
    <n v="11"/>
    <n v="3"/>
    <s v="Life Sciences"/>
    <n v="1"/>
    <n v="85"/>
    <n v="2"/>
    <x v="1"/>
    <n v="95"/>
    <x v="1"/>
    <n v="2"/>
    <x v="3"/>
    <n v="2"/>
    <x v="0"/>
    <n v="6499"/>
    <n v="22656"/>
    <n v="1"/>
    <s v="Y"/>
    <s v="No"/>
    <n v="13"/>
    <x v="0"/>
    <n v="3"/>
    <n v="80"/>
    <n v="0"/>
    <n v="6"/>
    <n v="3"/>
    <n v="3"/>
    <n v="6"/>
    <n v="5"/>
    <n v="0"/>
    <n v="3"/>
  </r>
  <r>
    <n v="45"/>
    <x v="1"/>
    <x v="0"/>
    <n v="1339"/>
    <x v="1"/>
    <n v="7"/>
    <n v="3"/>
    <s v="Life Sciences"/>
    <n v="1"/>
    <n v="86"/>
    <n v="2"/>
    <x v="1"/>
    <n v="59"/>
    <x v="0"/>
    <n v="3"/>
    <x v="1"/>
    <n v="1"/>
    <x v="2"/>
    <n v="9724"/>
    <n v="18787"/>
    <n v="2"/>
    <s v="Y"/>
    <s v="No"/>
    <n v="17"/>
    <x v="0"/>
    <n v="3"/>
    <n v="80"/>
    <n v="1"/>
    <n v="25"/>
    <n v="2"/>
    <n v="3"/>
    <n v="1"/>
    <n v="0"/>
    <n v="0"/>
    <n v="0"/>
  </r>
  <r>
    <n v="35"/>
    <x v="1"/>
    <x v="1"/>
    <n v="664"/>
    <x v="1"/>
    <n v="1"/>
    <n v="3"/>
    <s v="Medical"/>
    <n v="1"/>
    <n v="88"/>
    <n v="2"/>
    <x v="1"/>
    <n v="79"/>
    <x v="0"/>
    <n v="1"/>
    <x v="1"/>
    <n v="1"/>
    <x v="1"/>
    <n v="2194"/>
    <n v="5868"/>
    <n v="4"/>
    <s v="Y"/>
    <s v="No"/>
    <n v="13"/>
    <x v="0"/>
    <n v="4"/>
    <n v="80"/>
    <n v="1"/>
    <n v="5"/>
    <n v="2"/>
    <n v="2"/>
    <n v="3"/>
    <n v="2"/>
    <n v="1"/>
    <n v="2"/>
  </r>
  <r>
    <n v="36"/>
    <x v="0"/>
    <x v="0"/>
    <n v="318"/>
    <x v="1"/>
    <n v="9"/>
    <n v="3"/>
    <s v="Medical"/>
    <n v="1"/>
    <n v="90"/>
    <n v="4"/>
    <x v="1"/>
    <n v="79"/>
    <x v="1"/>
    <n v="1"/>
    <x v="1"/>
    <n v="3"/>
    <x v="1"/>
    <n v="3388"/>
    <n v="21777"/>
    <n v="0"/>
    <s v="Y"/>
    <s v="Yes"/>
    <n v="17"/>
    <x v="0"/>
    <n v="1"/>
    <n v="80"/>
    <n v="1"/>
    <n v="2"/>
    <n v="0"/>
    <n v="2"/>
    <n v="1"/>
    <n v="0"/>
    <n v="0"/>
    <n v="0"/>
  </r>
  <r>
    <n v="59"/>
    <x v="1"/>
    <x v="1"/>
    <n v="1225"/>
    <x v="0"/>
    <n v="1"/>
    <n v="1"/>
    <s v="Life Sciences"/>
    <n v="1"/>
    <n v="91"/>
    <n v="1"/>
    <x v="0"/>
    <n v="57"/>
    <x v="1"/>
    <n v="2"/>
    <x v="0"/>
    <n v="3"/>
    <x v="0"/>
    <n v="5473"/>
    <n v="24668"/>
    <n v="7"/>
    <s v="Y"/>
    <s v="No"/>
    <n v="11"/>
    <x v="0"/>
    <n v="4"/>
    <n v="80"/>
    <n v="0"/>
    <n v="20"/>
    <n v="2"/>
    <n v="2"/>
    <n v="4"/>
    <n v="3"/>
    <n v="1"/>
    <n v="3"/>
  </r>
  <r>
    <n v="29"/>
    <x v="1"/>
    <x v="0"/>
    <n v="1328"/>
    <x v="1"/>
    <n v="2"/>
    <n v="3"/>
    <s v="Life Sciences"/>
    <n v="1"/>
    <n v="94"/>
    <n v="3"/>
    <x v="1"/>
    <n v="76"/>
    <x v="0"/>
    <n v="1"/>
    <x v="1"/>
    <n v="2"/>
    <x v="1"/>
    <n v="2703"/>
    <n v="4956"/>
    <n v="0"/>
    <s v="Y"/>
    <s v="No"/>
    <n v="23"/>
    <x v="1"/>
    <n v="4"/>
    <n v="80"/>
    <n v="1"/>
    <n v="6"/>
    <n v="3"/>
    <n v="3"/>
    <n v="5"/>
    <n v="4"/>
    <n v="0"/>
    <n v="4"/>
  </r>
  <r>
    <n v="31"/>
    <x v="1"/>
    <x v="0"/>
    <n v="1082"/>
    <x v="1"/>
    <n v="1"/>
    <n v="4"/>
    <s v="Medical"/>
    <n v="1"/>
    <n v="95"/>
    <n v="3"/>
    <x v="1"/>
    <n v="87"/>
    <x v="0"/>
    <n v="1"/>
    <x v="1"/>
    <n v="2"/>
    <x v="0"/>
    <n v="2501"/>
    <n v="18775"/>
    <n v="1"/>
    <s v="Y"/>
    <s v="No"/>
    <n v="17"/>
    <x v="0"/>
    <n v="2"/>
    <n v="80"/>
    <n v="0"/>
    <n v="1"/>
    <n v="4"/>
    <n v="3"/>
    <n v="1"/>
    <n v="1"/>
    <n v="1"/>
    <n v="0"/>
  </r>
  <r>
    <n v="32"/>
    <x v="1"/>
    <x v="0"/>
    <n v="548"/>
    <x v="1"/>
    <n v="1"/>
    <n v="3"/>
    <s v="Life Sciences"/>
    <n v="1"/>
    <n v="96"/>
    <n v="2"/>
    <x v="1"/>
    <n v="66"/>
    <x v="0"/>
    <n v="2"/>
    <x v="1"/>
    <n v="2"/>
    <x v="1"/>
    <n v="6220"/>
    <n v="7346"/>
    <n v="1"/>
    <s v="Y"/>
    <s v="No"/>
    <n v="17"/>
    <x v="0"/>
    <n v="2"/>
    <n v="80"/>
    <n v="2"/>
    <n v="10"/>
    <n v="3"/>
    <n v="3"/>
    <n v="10"/>
    <n v="4"/>
    <n v="0"/>
    <n v="9"/>
  </r>
  <r>
    <n v="36"/>
    <x v="1"/>
    <x v="0"/>
    <n v="132"/>
    <x v="1"/>
    <n v="6"/>
    <n v="3"/>
    <s v="Life Sciences"/>
    <n v="1"/>
    <n v="97"/>
    <n v="2"/>
    <x v="0"/>
    <n v="55"/>
    <x v="2"/>
    <n v="1"/>
    <x v="2"/>
    <n v="4"/>
    <x v="1"/>
    <n v="3038"/>
    <n v="22002"/>
    <n v="3"/>
    <s v="Y"/>
    <s v="No"/>
    <n v="12"/>
    <x v="0"/>
    <n v="2"/>
    <n v="80"/>
    <n v="0"/>
    <n v="5"/>
    <n v="3"/>
    <n v="3"/>
    <n v="1"/>
    <n v="0"/>
    <n v="0"/>
    <n v="0"/>
  </r>
  <r>
    <n v="31"/>
    <x v="1"/>
    <x v="0"/>
    <n v="746"/>
    <x v="1"/>
    <n v="8"/>
    <n v="4"/>
    <s v="Life Sciences"/>
    <n v="1"/>
    <n v="98"/>
    <n v="3"/>
    <x v="0"/>
    <n v="61"/>
    <x v="0"/>
    <n v="2"/>
    <x v="3"/>
    <n v="4"/>
    <x v="0"/>
    <n v="4424"/>
    <n v="20682"/>
    <n v="1"/>
    <s v="Y"/>
    <s v="No"/>
    <n v="23"/>
    <x v="1"/>
    <n v="4"/>
    <n v="80"/>
    <n v="0"/>
    <n v="11"/>
    <n v="2"/>
    <n v="3"/>
    <n v="11"/>
    <n v="7"/>
    <n v="1"/>
    <n v="8"/>
  </r>
  <r>
    <n v="35"/>
    <x v="1"/>
    <x v="0"/>
    <n v="776"/>
    <x v="0"/>
    <n v="1"/>
    <n v="4"/>
    <s v="Marketing"/>
    <n v="1"/>
    <n v="100"/>
    <n v="3"/>
    <x v="1"/>
    <n v="32"/>
    <x v="1"/>
    <n v="2"/>
    <x v="0"/>
    <n v="1"/>
    <x v="0"/>
    <n v="4312"/>
    <n v="23016"/>
    <n v="0"/>
    <s v="Y"/>
    <s v="No"/>
    <n v="14"/>
    <x v="0"/>
    <n v="2"/>
    <n v="80"/>
    <n v="0"/>
    <n v="16"/>
    <n v="2"/>
    <n v="3"/>
    <n v="15"/>
    <n v="13"/>
    <n v="2"/>
    <n v="8"/>
  </r>
  <r>
    <n v="45"/>
    <x v="1"/>
    <x v="0"/>
    <n v="193"/>
    <x v="1"/>
    <n v="6"/>
    <n v="4"/>
    <s v="Other"/>
    <n v="1"/>
    <n v="101"/>
    <n v="4"/>
    <x v="1"/>
    <n v="52"/>
    <x v="0"/>
    <n v="3"/>
    <x v="7"/>
    <n v="1"/>
    <x v="1"/>
    <n v="13245"/>
    <n v="15067"/>
    <n v="4"/>
    <s v="Y"/>
    <s v="Yes"/>
    <n v="14"/>
    <x v="0"/>
    <n v="2"/>
    <n v="80"/>
    <n v="0"/>
    <n v="17"/>
    <n v="3"/>
    <n v="4"/>
    <n v="0"/>
    <n v="0"/>
    <n v="0"/>
    <n v="0"/>
  </r>
  <r>
    <n v="37"/>
    <x v="1"/>
    <x v="0"/>
    <n v="397"/>
    <x v="1"/>
    <n v="7"/>
    <n v="4"/>
    <s v="Medical"/>
    <n v="1"/>
    <n v="102"/>
    <n v="1"/>
    <x v="1"/>
    <n v="30"/>
    <x v="0"/>
    <n v="3"/>
    <x v="7"/>
    <n v="3"/>
    <x v="0"/>
    <n v="13664"/>
    <n v="25258"/>
    <n v="4"/>
    <s v="Y"/>
    <s v="No"/>
    <n v="13"/>
    <x v="0"/>
    <n v="1"/>
    <n v="80"/>
    <n v="0"/>
    <n v="16"/>
    <n v="3"/>
    <n v="4"/>
    <n v="5"/>
    <n v="2"/>
    <n v="0"/>
    <n v="2"/>
  </r>
  <r>
    <n v="46"/>
    <x v="1"/>
    <x v="0"/>
    <n v="945"/>
    <x v="2"/>
    <n v="5"/>
    <n v="2"/>
    <s v="Medical"/>
    <n v="1"/>
    <n v="103"/>
    <n v="2"/>
    <x v="1"/>
    <n v="80"/>
    <x v="0"/>
    <n v="2"/>
    <x v="8"/>
    <n v="2"/>
    <x v="2"/>
    <n v="5021"/>
    <n v="10425"/>
    <n v="8"/>
    <s v="Y"/>
    <s v="Yes"/>
    <n v="22"/>
    <x v="1"/>
    <n v="4"/>
    <n v="80"/>
    <n v="1"/>
    <n v="16"/>
    <n v="2"/>
    <n v="3"/>
    <n v="4"/>
    <n v="2"/>
    <n v="0"/>
    <n v="2"/>
  </r>
  <r>
    <n v="30"/>
    <x v="1"/>
    <x v="0"/>
    <n v="852"/>
    <x v="1"/>
    <n v="1"/>
    <n v="1"/>
    <s v="Life Sciences"/>
    <n v="1"/>
    <n v="104"/>
    <n v="4"/>
    <x v="1"/>
    <n v="55"/>
    <x v="1"/>
    <n v="2"/>
    <x v="2"/>
    <n v="4"/>
    <x v="1"/>
    <n v="5126"/>
    <n v="15998"/>
    <n v="1"/>
    <s v="Y"/>
    <s v="Yes"/>
    <n v="12"/>
    <x v="0"/>
    <n v="3"/>
    <n v="80"/>
    <n v="2"/>
    <n v="10"/>
    <n v="1"/>
    <n v="2"/>
    <n v="10"/>
    <n v="8"/>
    <n v="3"/>
    <n v="0"/>
  </r>
  <r>
    <n v="35"/>
    <x v="1"/>
    <x v="0"/>
    <n v="1214"/>
    <x v="1"/>
    <n v="1"/>
    <n v="3"/>
    <s v="Medical"/>
    <n v="1"/>
    <n v="105"/>
    <n v="2"/>
    <x v="1"/>
    <n v="30"/>
    <x v="1"/>
    <n v="1"/>
    <x v="1"/>
    <n v="3"/>
    <x v="0"/>
    <n v="2859"/>
    <n v="26278"/>
    <n v="1"/>
    <s v="Y"/>
    <s v="No"/>
    <n v="18"/>
    <x v="0"/>
    <n v="1"/>
    <n v="80"/>
    <n v="0"/>
    <n v="6"/>
    <n v="3"/>
    <n v="3"/>
    <n v="6"/>
    <n v="4"/>
    <n v="0"/>
    <n v="4"/>
  </r>
  <r>
    <n v="55"/>
    <x v="1"/>
    <x v="0"/>
    <n v="111"/>
    <x v="0"/>
    <n v="1"/>
    <n v="2"/>
    <s v="Life Sciences"/>
    <n v="1"/>
    <n v="106"/>
    <n v="1"/>
    <x v="1"/>
    <n v="70"/>
    <x v="0"/>
    <n v="3"/>
    <x v="0"/>
    <n v="4"/>
    <x v="1"/>
    <n v="10239"/>
    <n v="18092"/>
    <n v="3"/>
    <s v="Y"/>
    <s v="No"/>
    <n v="14"/>
    <x v="0"/>
    <n v="4"/>
    <n v="80"/>
    <n v="1"/>
    <n v="24"/>
    <n v="4"/>
    <n v="3"/>
    <n v="1"/>
    <n v="0"/>
    <n v="1"/>
    <n v="0"/>
  </r>
  <r>
    <n v="38"/>
    <x v="1"/>
    <x v="2"/>
    <n v="573"/>
    <x v="1"/>
    <n v="6"/>
    <n v="3"/>
    <s v="Medical"/>
    <n v="1"/>
    <n v="107"/>
    <n v="2"/>
    <x v="0"/>
    <n v="79"/>
    <x v="3"/>
    <n v="2"/>
    <x v="1"/>
    <n v="4"/>
    <x v="2"/>
    <n v="5329"/>
    <n v="15717"/>
    <n v="7"/>
    <s v="Y"/>
    <s v="Yes"/>
    <n v="12"/>
    <x v="0"/>
    <n v="4"/>
    <n v="80"/>
    <n v="3"/>
    <n v="17"/>
    <n v="3"/>
    <n v="3"/>
    <n v="13"/>
    <n v="11"/>
    <n v="1"/>
    <n v="9"/>
  </r>
  <r>
    <n v="34"/>
    <x v="1"/>
    <x v="0"/>
    <n v="1153"/>
    <x v="1"/>
    <n v="1"/>
    <n v="2"/>
    <s v="Medical"/>
    <n v="1"/>
    <n v="110"/>
    <n v="1"/>
    <x v="1"/>
    <n v="94"/>
    <x v="0"/>
    <n v="2"/>
    <x v="3"/>
    <n v="2"/>
    <x v="1"/>
    <n v="4325"/>
    <n v="17736"/>
    <n v="1"/>
    <s v="Y"/>
    <s v="No"/>
    <n v="15"/>
    <x v="0"/>
    <n v="3"/>
    <n v="80"/>
    <n v="0"/>
    <n v="5"/>
    <n v="2"/>
    <n v="3"/>
    <n v="5"/>
    <n v="2"/>
    <n v="1"/>
    <n v="3"/>
  </r>
  <r>
    <n v="56"/>
    <x v="1"/>
    <x v="0"/>
    <n v="1400"/>
    <x v="1"/>
    <n v="7"/>
    <n v="3"/>
    <s v="Life Sciences"/>
    <n v="1"/>
    <n v="112"/>
    <n v="4"/>
    <x v="1"/>
    <n v="49"/>
    <x v="3"/>
    <n v="3"/>
    <x v="3"/>
    <n v="4"/>
    <x v="0"/>
    <n v="7260"/>
    <n v="21698"/>
    <n v="4"/>
    <s v="Y"/>
    <s v="No"/>
    <n v="11"/>
    <x v="0"/>
    <n v="1"/>
    <n v="80"/>
    <n v="0"/>
    <n v="37"/>
    <n v="3"/>
    <n v="2"/>
    <n v="6"/>
    <n v="4"/>
    <n v="0"/>
    <n v="2"/>
  </r>
  <r>
    <n v="23"/>
    <x v="1"/>
    <x v="0"/>
    <n v="541"/>
    <x v="0"/>
    <n v="2"/>
    <n v="1"/>
    <s v="Technical Degree"/>
    <n v="1"/>
    <n v="113"/>
    <n v="3"/>
    <x v="1"/>
    <n v="62"/>
    <x v="0"/>
    <n v="1"/>
    <x v="6"/>
    <n v="1"/>
    <x v="2"/>
    <n v="2322"/>
    <n v="9518"/>
    <n v="3"/>
    <s v="Y"/>
    <s v="No"/>
    <n v="13"/>
    <x v="0"/>
    <n v="3"/>
    <n v="80"/>
    <n v="1"/>
    <n v="3"/>
    <n v="3"/>
    <n v="3"/>
    <n v="0"/>
    <n v="0"/>
    <n v="0"/>
    <n v="0"/>
  </r>
  <r>
    <n v="51"/>
    <x v="1"/>
    <x v="0"/>
    <n v="432"/>
    <x v="1"/>
    <n v="9"/>
    <n v="4"/>
    <s v="Life Sciences"/>
    <n v="1"/>
    <n v="116"/>
    <n v="4"/>
    <x v="1"/>
    <n v="96"/>
    <x v="0"/>
    <n v="1"/>
    <x v="2"/>
    <n v="4"/>
    <x v="1"/>
    <n v="2075"/>
    <n v="18725"/>
    <n v="3"/>
    <s v="Y"/>
    <s v="No"/>
    <n v="23"/>
    <x v="1"/>
    <n v="2"/>
    <n v="80"/>
    <n v="2"/>
    <n v="10"/>
    <n v="4"/>
    <n v="3"/>
    <n v="4"/>
    <n v="2"/>
    <n v="0"/>
    <n v="3"/>
  </r>
  <r>
    <n v="30"/>
    <x v="1"/>
    <x v="0"/>
    <n v="288"/>
    <x v="1"/>
    <n v="2"/>
    <n v="3"/>
    <s v="Life Sciences"/>
    <n v="1"/>
    <n v="117"/>
    <n v="3"/>
    <x v="1"/>
    <n v="99"/>
    <x v="1"/>
    <n v="2"/>
    <x v="4"/>
    <n v="4"/>
    <x v="1"/>
    <n v="4152"/>
    <n v="15830"/>
    <n v="1"/>
    <s v="Y"/>
    <s v="No"/>
    <n v="19"/>
    <x v="0"/>
    <n v="1"/>
    <n v="80"/>
    <n v="3"/>
    <n v="11"/>
    <n v="3"/>
    <n v="3"/>
    <n v="11"/>
    <n v="10"/>
    <n v="10"/>
    <n v="8"/>
  </r>
  <r>
    <n v="46"/>
    <x v="0"/>
    <x v="0"/>
    <n v="669"/>
    <x v="0"/>
    <n v="9"/>
    <n v="2"/>
    <s v="Medical"/>
    <n v="1"/>
    <n v="118"/>
    <n v="3"/>
    <x v="1"/>
    <n v="64"/>
    <x v="1"/>
    <n v="3"/>
    <x v="0"/>
    <n v="4"/>
    <x v="0"/>
    <n v="9619"/>
    <n v="13596"/>
    <n v="1"/>
    <s v="Y"/>
    <s v="No"/>
    <n v="16"/>
    <x v="0"/>
    <n v="4"/>
    <n v="80"/>
    <n v="0"/>
    <n v="9"/>
    <n v="3"/>
    <n v="3"/>
    <n v="9"/>
    <n v="8"/>
    <n v="4"/>
    <n v="7"/>
  </r>
  <r>
    <n v="40"/>
    <x v="1"/>
    <x v="1"/>
    <n v="530"/>
    <x v="1"/>
    <n v="1"/>
    <n v="4"/>
    <s v="Life Sciences"/>
    <n v="1"/>
    <n v="119"/>
    <n v="3"/>
    <x v="1"/>
    <n v="78"/>
    <x v="1"/>
    <n v="4"/>
    <x v="4"/>
    <n v="2"/>
    <x v="1"/>
    <n v="13503"/>
    <n v="14115"/>
    <n v="1"/>
    <s v="Y"/>
    <s v="No"/>
    <n v="22"/>
    <x v="1"/>
    <n v="4"/>
    <n v="80"/>
    <n v="1"/>
    <n v="22"/>
    <n v="3"/>
    <n v="2"/>
    <n v="22"/>
    <n v="3"/>
    <n v="11"/>
    <n v="11"/>
  </r>
  <r>
    <n v="51"/>
    <x v="1"/>
    <x v="0"/>
    <n v="632"/>
    <x v="0"/>
    <n v="21"/>
    <n v="4"/>
    <s v="Marketing"/>
    <n v="1"/>
    <n v="120"/>
    <n v="3"/>
    <x v="1"/>
    <n v="71"/>
    <x v="0"/>
    <n v="2"/>
    <x v="0"/>
    <n v="4"/>
    <x v="0"/>
    <n v="5441"/>
    <n v="8423"/>
    <n v="0"/>
    <s v="Y"/>
    <s v="Yes"/>
    <n v="22"/>
    <x v="1"/>
    <n v="4"/>
    <n v="80"/>
    <n v="0"/>
    <n v="11"/>
    <n v="2"/>
    <n v="1"/>
    <n v="10"/>
    <n v="7"/>
    <n v="1"/>
    <n v="0"/>
  </r>
  <r>
    <n v="30"/>
    <x v="1"/>
    <x v="0"/>
    <n v="1334"/>
    <x v="0"/>
    <n v="4"/>
    <n v="2"/>
    <s v="Medical"/>
    <n v="1"/>
    <n v="121"/>
    <n v="3"/>
    <x v="0"/>
    <n v="63"/>
    <x v="1"/>
    <n v="2"/>
    <x v="0"/>
    <n v="2"/>
    <x v="2"/>
    <n v="5209"/>
    <n v="19760"/>
    <n v="1"/>
    <s v="Y"/>
    <s v="Yes"/>
    <n v="12"/>
    <x v="0"/>
    <n v="2"/>
    <n v="80"/>
    <n v="3"/>
    <n v="11"/>
    <n v="4"/>
    <n v="2"/>
    <n v="11"/>
    <n v="8"/>
    <n v="2"/>
    <n v="7"/>
  </r>
  <r>
    <n v="46"/>
    <x v="1"/>
    <x v="1"/>
    <n v="638"/>
    <x v="1"/>
    <n v="1"/>
    <n v="3"/>
    <s v="Medical"/>
    <n v="1"/>
    <n v="124"/>
    <n v="3"/>
    <x v="1"/>
    <n v="40"/>
    <x v="1"/>
    <n v="3"/>
    <x v="4"/>
    <n v="1"/>
    <x v="1"/>
    <n v="10673"/>
    <n v="3142"/>
    <n v="2"/>
    <s v="Y"/>
    <s v="Yes"/>
    <n v="13"/>
    <x v="0"/>
    <n v="3"/>
    <n v="80"/>
    <n v="1"/>
    <n v="21"/>
    <n v="5"/>
    <n v="2"/>
    <n v="10"/>
    <n v="9"/>
    <n v="9"/>
    <n v="5"/>
  </r>
  <r>
    <n v="32"/>
    <x v="1"/>
    <x v="0"/>
    <n v="1093"/>
    <x v="0"/>
    <n v="6"/>
    <n v="4"/>
    <s v="Medical"/>
    <n v="1"/>
    <n v="125"/>
    <n v="2"/>
    <x v="1"/>
    <n v="87"/>
    <x v="0"/>
    <n v="2"/>
    <x v="0"/>
    <n v="3"/>
    <x v="0"/>
    <n v="5010"/>
    <n v="24301"/>
    <n v="1"/>
    <s v="Y"/>
    <s v="No"/>
    <n v="16"/>
    <x v="0"/>
    <n v="1"/>
    <n v="80"/>
    <n v="0"/>
    <n v="12"/>
    <n v="0"/>
    <n v="3"/>
    <n v="11"/>
    <n v="8"/>
    <n v="5"/>
    <n v="7"/>
  </r>
  <r>
    <n v="54"/>
    <x v="1"/>
    <x v="0"/>
    <n v="1217"/>
    <x v="1"/>
    <n v="2"/>
    <n v="4"/>
    <s v="Technical Degree"/>
    <n v="1"/>
    <n v="126"/>
    <n v="1"/>
    <x v="0"/>
    <n v="60"/>
    <x v="0"/>
    <n v="3"/>
    <x v="7"/>
    <n v="3"/>
    <x v="1"/>
    <n v="13549"/>
    <n v="24001"/>
    <n v="9"/>
    <s v="Y"/>
    <s v="No"/>
    <n v="12"/>
    <x v="0"/>
    <n v="1"/>
    <n v="80"/>
    <n v="1"/>
    <n v="16"/>
    <n v="5"/>
    <n v="1"/>
    <n v="4"/>
    <n v="3"/>
    <n v="0"/>
    <n v="3"/>
  </r>
  <r>
    <n v="24"/>
    <x v="1"/>
    <x v="0"/>
    <n v="1353"/>
    <x v="0"/>
    <n v="3"/>
    <n v="2"/>
    <s v="Other"/>
    <n v="1"/>
    <n v="128"/>
    <n v="1"/>
    <x v="0"/>
    <n v="33"/>
    <x v="0"/>
    <n v="2"/>
    <x v="0"/>
    <n v="3"/>
    <x v="1"/>
    <n v="4999"/>
    <n v="17519"/>
    <n v="0"/>
    <s v="Y"/>
    <s v="No"/>
    <n v="21"/>
    <x v="1"/>
    <n v="1"/>
    <n v="80"/>
    <n v="1"/>
    <n v="4"/>
    <n v="2"/>
    <n v="2"/>
    <n v="3"/>
    <n v="2"/>
    <n v="0"/>
    <n v="2"/>
  </r>
  <r>
    <n v="28"/>
    <x v="1"/>
    <x v="2"/>
    <n v="120"/>
    <x v="0"/>
    <n v="4"/>
    <n v="3"/>
    <s v="Medical"/>
    <n v="1"/>
    <n v="129"/>
    <n v="2"/>
    <x v="1"/>
    <n v="43"/>
    <x v="0"/>
    <n v="2"/>
    <x v="0"/>
    <n v="3"/>
    <x v="1"/>
    <n v="4221"/>
    <n v="8863"/>
    <n v="1"/>
    <s v="Y"/>
    <s v="No"/>
    <n v="15"/>
    <x v="0"/>
    <n v="2"/>
    <n v="80"/>
    <n v="0"/>
    <n v="5"/>
    <n v="3"/>
    <n v="4"/>
    <n v="5"/>
    <n v="4"/>
    <n v="0"/>
    <n v="4"/>
  </r>
  <r>
    <n v="58"/>
    <x v="1"/>
    <x v="0"/>
    <n v="682"/>
    <x v="0"/>
    <n v="10"/>
    <n v="4"/>
    <s v="Medical"/>
    <n v="1"/>
    <n v="131"/>
    <n v="4"/>
    <x v="1"/>
    <n v="37"/>
    <x v="0"/>
    <n v="4"/>
    <x v="0"/>
    <n v="3"/>
    <x v="0"/>
    <n v="13872"/>
    <n v="24409"/>
    <n v="0"/>
    <s v="Y"/>
    <s v="No"/>
    <n v="13"/>
    <x v="0"/>
    <n v="3"/>
    <n v="80"/>
    <n v="0"/>
    <n v="38"/>
    <n v="1"/>
    <n v="2"/>
    <n v="37"/>
    <n v="10"/>
    <n v="1"/>
    <n v="8"/>
  </r>
  <r>
    <n v="44"/>
    <x v="1"/>
    <x v="2"/>
    <n v="489"/>
    <x v="1"/>
    <n v="23"/>
    <n v="3"/>
    <s v="Medical"/>
    <n v="1"/>
    <n v="132"/>
    <n v="2"/>
    <x v="1"/>
    <n v="67"/>
    <x v="0"/>
    <n v="2"/>
    <x v="2"/>
    <n v="2"/>
    <x v="1"/>
    <n v="2042"/>
    <n v="25043"/>
    <n v="4"/>
    <s v="Y"/>
    <s v="No"/>
    <n v="12"/>
    <x v="0"/>
    <n v="3"/>
    <n v="80"/>
    <n v="1"/>
    <n v="17"/>
    <n v="3"/>
    <n v="4"/>
    <n v="3"/>
    <n v="2"/>
    <n v="1"/>
    <n v="2"/>
  </r>
  <r>
    <n v="37"/>
    <x v="0"/>
    <x v="0"/>
    <n v="807"/>
    <x v="2"/>
    <n v="6"/>
    <n v="4"/>
    <s v="Human Resources"/>
    <n v="1"/>
    <n v="133"/>
    <n v="3"/>
    <x v="1"/>
    <n v="63"/>
    <x v="0"/>
    <n v="1"/>
    <x v="8"/>
    <n v="1"/>
    <x v="2"/>
    <n v="2073"/>
    <n v="23648"/>
    <n v="4"/>
    <s v="Y"/>
    <s v="Yes"/>
    <n v="22"/>
    <x v="1"/>
    <n v="4"/>
    <n v="80"/>
    <n v="0"/>
    <n v="7"/>
    <n v="3"/>
    <n v="3"/>
    <n v="3"/>
    <n v="2"/>
    <n v="0"/>
    <n v="2"/>
  </r>
  <r>
    <n v="32"/>
    <x v="1"/>
    <x v="0"/>
    <n v="827"/>
    <x v="1"/>
    <n v="1"/>
    <n v="1"/>
    <s v="Life Sciences"/>
    <n v="1"/>
    <n v="134"/>
    <n v="4"/>
    <x v="1"/>
    <n v="71"/>
    <x v="0"/>
    <n v="1"/>
    <x v="1"/>
    <n v="1"/>
    <x v="0"/>
    <n v="2956"/>
    <n v="15178"/>
    <n v="1"/>
    <s v="Y"/>
    <s v="No"/>
    <n v="13"/>
    <x v="0"/>
    <n v="4"/>
    <n v="80"/>
    <n v="0"/>
    <n v="1"/>
    <n v="2"/>
    <n v="3"/>
    <n v="1"/>
    <n v="0"/>
    <n v="0"/>
    <n v="0"/>
  </r>
  <r>
    <n v="20"/>
    <x v="0"/>
    <x v="1"/>
    <n v="871"/>
    <x v="1"/>
    <n v="6"/>
    <n v="3"/>
    <s v="Life Sciences"/>
    <n v="1"/>
    <n v="137"/>
    <n v="4"/>
    <x v="0"/>
    <n v="66"/>
    <x v="1"/>
    <n v="1"/>
    <x v="2"/>
    <n v="4"/>
    <x v="0"/>
    <n v="2926"/>
    <n v="19783"/>
    <n v="1"/>
    <s v="Y"/>
    <s v="Yes"/>
    <n v="18"/>
    <x v="0"/>
    <n v="2"/>
    <n v="80"/>
    <n v="0"/>
    <n v="1"/>
    <n v="5"/>
    <n v="3"/>
    <n v="1"/>
    <n v="0"/>
    <n v="1"/>
    <n v="0"/>
  </r>
  <r>
    <n v="34"/>
    <x v="1"/>
    <x v="0"/>
    <n v="665"/>
    <x v="1"/>
    <n v="6"/>
    <n v="4"/>
    <s v="Other"/>
    <n v="1"/>
    <n v="138"/>
    <n v="1"/>
    <x v="0"/>
    <n v="41"/>
    <x v="0"/>
    <n v="2"/>
    <x v="1"/>
    <n v="3"/>
    <x v="0"/>
    <n v="4809"/>
    <n v="12482"/>
    <n v="1"/>
    <s v="Y"/>
    <s v="No"/>
    <n v="14"/>
    <x v="0"/>
    <n v="3"/>
    <n v="80"/>
    <n v="0"/>
    <n v="16"/>
    <n v="3"/>
    <n v="3"/>
    <n v="16"/>
    <n v="13"/>
    <n v="2"/>
    <n v="10"/>
  </r>
  <r>
    <n v="37"/>
    <x v="1"/>
    <x v="2"/>
    <n v="1040"/>
    <x v="1"/>
    <n v="2"/>
    <n v="2"/>
    <s v="Life Sciences"/>
    <n v="1"/>
    <n v="139"/>
    <n v="3"/>
    <x v="1"/>
    <n v="100"/>
    <x v="1"/>
    <n v="2"/>
    <x v="4"/>
    <n v="4"/>
    <x v="2"/>
    <n v="5163"/>
    <n v="15850"/>
    <n v="5"/>
    <s v="Y"/>
    <s v="No"/>
    <n v="14"/>
    <x v="0"/>
    <n v="4"/>
    <n v="80"/>
    <n v="1"/>
    <n v="17"/>
    <n v="2"/>
    <n v="4"/>
    <n v="1"/>
    <n v="0"/>
    <n v="0"/>
    <n v="0"/>
  </r>
  <r>
    <n v="59"/>
    <x v="1"/>
    <x v="2"/>
    <n v="1420"/>
    <x v="2"/>
    <n v="2"/>
    <n v="4"/>
    <s v="Human Resources"/>
    <n v="1"/>
    <n v="140"/>
    <n v="3"/>
    <x v="0"/>
    <n v="32"/>
    <x v="1"/>
    <n v="5"/>
    <x v="5"/>
    <n v="4"/>
    <x v="1"/>
    <n v="18844"/>
    <n v="21922"/>
    <n v="9"/>
    <s v="Y"/>
    <s v="No"/>
    <n v="21"/>
    <x v="1"/>
    <n v="4"/>
    <n v="80"/>
    <n v="1"/>
    <n v="30"/>
    <n v="3"/>
    <n v="3"/>
    <n v="3"/>
    <n v="2"/>
    <n v="2"/>
    <n v="2"/>
  </r>
  <r>
    <n v="50"/>
    <x v="1"/>
    <x v="1"/>
    <n v="1115"/>
    <x v="1"/>
    <n v="1"/>
    <n v="3"/>
    <s v="Life Sciences"/>
    <n v="1"/>
    <n v="141"/>
    <n v="1"/>
    <x v="0"/>
    <n v="73"/>
    <x v="0"/>
    <n v="5"/>
    <x v="7"/>
    <n v="2"/>
    <x v="1"/>
    <n v="18172"/>
    <n v="9755"/>
    <n v="3"/>
    <s v="Y"/>
    <s v="Yes"/>
    <n v="19"/>
    <x v="0"/>
    <n v="1"/>
    <n v="80"/>
    <n v="0"/>
    <n v="28"/>
    <n v="1"/>
    <n v="2"/>
    <n v="8"/>
    <n v="3"/>
    <n v="0"/>
    <n v="7"/>
  </r>
  <r>
    <n v="25"/>
    <x v="0"/>
    <x v="0"/>
    <n v="240"/>
    <x v="0"/>
    <n v="5"/>
    <n v="3"/>
    <s v="Marketing"/>
    <n v="1"/>
    <n v="142"/>
    <n v="3"/>
    <x v="1"/>
    <n v="46"/>
    <x v="1"/>
    <n v="2"/>
    <x v="0"/>
    <n v="3"/>
    <x v="0"/>
    <n v="5744"/>
    <n v="26959"/>
    <n v="1"/>
    <s v="Y"/>
    <s v="Yes"/>
    <n v="11"/>
    <x v="0"/>
    <n v="4"/>
    <n v="80"/>
    <n v="0"/>
    <n v="6"/>
    <n v="1"/>
    <n v="3"/>
    <n v="6"/>
    <n v="4"/>
    <n v="0"/>
    <n v="3"/>
  </r>
  <r>
    <n v="25"/>
    <x v="1"/>
    <x v="0"/>
    <n v="1280"/>
    <x v="1"/>
    <n v="7"/>
    <n v="1"/>
    <s v="Medical"/>
    <n v="1"/>
    <n v="143"/>
    <n v="4"/>
    <x v="1"/>
    <n v="64"/>
    <x v="1"/>
    <n v="1"/>
    <x v="1"/>
    <n v="4"/>
    <x v="1"/>
    <n v="2889"/>
    <n v="26897"/>
    <n v="1"/>
    <s v="Y"/>
    <s v="No"/>
    <n v="11"/>
    <x v="0"/>
    <n v="3"/>
    <n v="80"/>
    <n v="2"/>
    <n v="2"/>
    <n v="2"/>
    <n v="3"/>
    <n v="2"/>
    <n v="2"/>
    <n v="2"/>
    <n v="1"/>
  </r>
  <r>
    <n v="22"/>
    <x v="1"/>
    <x v="0"/>
    <n v="534"/>
    <x v="1"/>
    <n v="15"/>
    <n v="3"/>
    <s v="Medical"/>
    <n v="1"/>
    <n v="144"/>
    <n v="2"/>
    <x v="0"/>
    <n v="59"/>
    <x v="0"/>
    <n v="1"/>
    <x v="2"/>
    <n v="4"/>
    <x v="0"/>
    <n v="2871"/>
    <n v="23785"/>
    <n v="1"/>
    <s v="Y"/>
    <s v="No"/>
    <n v="15"/>
    <x v="0"/>
    <n v="3"/>
    <n v="80"/>
    <n v="0"/>
    <n v="1"/>
    <n v="5"/>
    <n v="3"/>
    <n v="0"/>
    <n v="0"/>
    <n v="0"/>
    <n v="0"/>
  </r>
  <r>
    <n v="51"/>
    <x v="1"/>
    <x v="1"/>
    <n v="1456"/>
    <x v="1"/>
    <n v="1"/>
    <n v="4"/>
    <s v="Medical"/>
    <n v="1"/>
    <n v="145"/>
    <n v="1"/>
    <x v="0"/>
    <n v="30"/>
    <x v="1"/>
    <n v="3"/>
    <x v="4"/>
    <n v="1"/>
    <x v="0"/>
    <n v="7484"/>
    <n v="25796"/>
    <n v="3"/>
    <s v="Y"/>
    <s v="No"/>
    <n v="20"/>
    <x v="1"/>
    <n v="3"/>
    <n v="80"/>
    <n v="0"/>
    <n v="23"/>
    <n v="1"/>
    <n v="2"/>
    <n v="13"/>
    <n v="12"/>
    <n v="12"/>
    <n v="8"/>
  </r>
  <r>
    <n v="34"/>
    <x v="0"/>
    <x v="1"/>
    <n v="658"/>
    <x v="1"/>
    <n v="7"/>
    <n v="3"/>
    <s v="Life Sciences"/>
    <n v="1"/>
    <n v="147"/>
    <n v="1"/>
    <x v="1"/>
    <n v="66"/>
    <x v="3"/>
    <n v="2"/>
    <x v="2"/>
    <n v="3"/>
    <x v="0"/>
    <n v="6074"/>
    <n v="22887"/>
    <n v="1"/>
    <s v="Y"/>
    <s v="Yes"/>
    <n v="24"/>
    <x v="1"/>
    <n v="4"/>
    <n v="80"/>
    <n v="0"/>
    <n v="9"/>
    <n v="3"/>
    <n v="3"/>
    <n v="9"/>
    <n v="7"/>
    <n v="0"/>
    <n v="6"/>
  </r>
  <r>
    <n v="54"/>
    <x v="1"/>
    <x v="2"/>
    <n v="142"/>
    <x v="2"/>
    <n v="26"/>
    <n v="3"/>
    <s v="Human Resources"/>
    <n v="1"/>
    <n v="148"/>
    <n v="4"/>
    <x v="0"/>
    <n v="30"/>
    <x v="2"/>
    <n v="4"/>
    <x v="5"/>
    <n v="4"/>
    <x v="0"/>
    <n v="17328"/>
    <n v="13871"/>
    <n v="2"/>
    <s v="Y"/>
    <s v="Yes"/>
    <n v="12"/>
    <x v="0"/>
    <n v="3"/>
    <n v="80"/>
    <n v="0"/>
    <n v="23"/>
    <n v="3"/>
    <n v="3"/>
    <n v="5"/>
    <n v="3"/>
    <n v="4"/>
    <n v="4"/>
  </r>
  <r>
    <n v="24"/>
    <x v="1"/>
    <x v="0"/>
    <n v="1127"/>
    <x v="1"/>
    <n v="18"/>
    <n v="1"/>
    <s v="Life Sciences"/>
    <n v="1"/>
    <n v="150"/>
    <n v="2"/>
    <x v="1"/>
    <n v="52"/>
    <x v="0"/>
    <n v="1"/>
    <x v="2"/>
    <n v="3"/>
    <x v="1"/>
    <n v="2774"/>
    <n v="13257"/>
    <n v="0"/>
    <s v="Y"/>
    <s v="No"/>
    <n v="12"/>
    <x v="0"/>
    <n v="3"/>
    <n v="80"/>
    <n v="1"/>
    <n v="6"/>
    <n v="2"/>
    <n v="3"/>
    <n v="5"/>
    <n v="3"/>
    <n v="1"/>
    <n v="2"/>
  </r>
  <r>
    <n v="34"/>
    <x v="1"/>
    <x v="0"/>
    <n v="1031"/>
    <x v="1"/>
    <n v="6"/>
    <n v="4"/>
    <s v="Life Sciences"/>
    <n v="1"/>
    <n v="151"/>
    <n v="3"/>
    <x v="0"/>
    <n v="45"/>
    <x v="1"/>
    <n v="2"/>
    <x v="1"/>
    <n v="2"/>
    <x v="2"/>
    <n v="4505"/>
    <n v="15000"/>
    <n v="6"/>
    <s v="Y"/>
    <s v="No"/>
    <n v="15"/>
    <x v="0"/>
    <n v="3"/>
    <n v="80"/>
    <n v="1"/>
    <n v="12"/>
    <n v="3"/>
    <n v="3"/>
    <n v="1"/>
    <n v="0"/>
    <n v="0"/>
    <n v="0"/>
  </r>
  <r>
    <n v="37"/>
    <x v="1"/>
    <x v="0"/>
    <n v="1189"/>
    <x v="0"/>
    <n v="3"/>
    <n v="3"/>
    <s v="Life Sciences"/>
    <n v="1"/>
    <n v="152"/>
    <n v="3"/>
    <x v="1"/>
    <n v="87"/>
    <x v="0"/>
    <n v="3"/>
    <x v="0"/>
    <n v="4"/>
    <x v="0"/>
    <n v="7428"/>
    <n v="14506"/>
    <n v="2"/>
    <s v="Y"/>
    <s v="No"/>
    <n v="12"/>
    <x v="0"/>
    <n v="1"/>
    <n v="80"/>
    <n v="0"/>
    <n v="12"/>
    <n v="3"/>
    <n v="3"/>
    <n v="5"/>
    <n v="3"/>
    <n v="1"/>
    <n v="3"/>
  </r>
  <r>
    <n v="34"/>
    <x v="1"/>
    <x v="0"/>
    <n v="1354"/>
    <x v="1"/>
    <n v="5"/>
    <n v="3"/>
    <s v="Medical"/>
    <n v="1"/>
    <n v="153"/>
    <n v="3"/>
    <x v="0"/>
    <n v="45"/>
    <x v="1"/>
    <n v="3"/>
    <x v="5"/>
    <n v="1"/>
    <x v="0"/>
    <n v="11631"/>
    <n v="5615"/>
    <n v="2"/>
    <s v="Y"/>
    <s v="No"/>
    <n v="12"/>
    <x v="0"/>
    <n v="4"/>
    <n v="80"/>
    <n v="0"/>
    <n v="14"/>
    <n v="6"/>
    <n v="3"/>
    <n v="11"/>
    <n v="10"/>
    <n v="5"/>
    <n v="8"/>
  </r>
  <r>
    <n v="36"/>
    <x v="1"/>
    <x v="1"/>
    <n v="1467"/>
    <x v="0"/>
    <n v="11"/>
    <n v="2"/>
    <s v="Technical Degree"/>
    <n v="1"/>
    <n v="154"/>
    <n v="2"/>
    <x v="0"/>
    <n v="92"/>
    <x v="0"/>
    <n v="3"/>
    <x v="0"/>
    <n v="4"/>
    <x v="1"/>
    <n v="9738"/>
    <n v="22952"/>
    <n v="0"/>
    <s v="Y"/>
    <s v="No"/>
    <n v="14"/>
    <x v="0"/>
    <n v="3"/>
    <n v="80"/>
    <n v="1"/>
    <n v="10"/>
    <n v="6"/>
    <n v="3"/>
    <n v="9"/>
    <n v="7"/>
    <n v="2"/>
    <n v="8"/>
  </r>
  <r>
    <n v="36"/>
    <x v="1"/>
    <x v="0"/>
    <n v="922"/>
    <x v="1"/>
    <n v="3"/>
    <n v="2"/>
    <s v="Life Sciences"/>
    <n v="1"/>
    <n v="155"/>
    <n v="1"/>
    <x v="0"/>
    <n v="39"/>
    <x v="0"/>
    <n v="1"/>
    <x v="2"/>
    <n v="4"/>
    <x v="2"/>
    <n v="2835"/>
    <n v="2561"/>
    <n v="5"/>
    <s v="Y"/>
    <s v="No"/>
    <n v="22"/>
    <x v="1"/>
    <n v="1"/>
    <n v="80"/>
    <n v="1"/>
    <n v="7"/>
    <n v="2"/>
    <n v="3"/>
    <n v="1"/>
    <n v="0"/>
    <n v="0"/>
    <n v="0"/>
  </r>
  <r>
    <n v="43"/>
    <x v="1"/>
    <x v="1"/>
    <n v="394"/>
    <x v="0"/>
    <n v="26"/>
    <n v="2"/>
    <s v="Life Sciences"/>
    <n v="1"/>
    <n v="158"/>
    <n v="3"/>
    <x v="1"/>
    <n v="92"/>
    <x v="0"/>
    <n v="4"/>
    <x v="5"/>
    <n v="4"/>
    <x v="1"/>
    <n v="16959"/>
    <n v="19494"/>
    <n v="1"/>
    <s v="Y"/>
    <s v="Yes"/>
    <n v="12"/>
    <x v="0"/>
    <n v="4"/>
    <n v="80"/>
    <n v="2"/>
    <n v="25"/>
    <n v="3"/>
    <n v="4"/>
    <n v="25"/>
    <n v="12"/>
    <n v="4"/>
    <n v="12"/>
  </r>
  <r>
    <n v="30"/>
    <x v="1"/>
    <x v="1"/>
    <n v="1312"/>
    <x v="1"/>
    <n v="23"/>
    <n v="3"/>
    <s v="Life Sciences"/>
    <n v="1"/>
    <n v="159"/>
    <n v="1"/>
    <x v="1"/>
    <n v="96"/>
    <x v="3"/>
    <n v="1"/>
    <x v="1"/>
    <n v="3"/>
    <x v="2"/>
    <n v="2613"/>
    <n v="22310"/>
    <n v="1"/>
    <s v="Y"/>
    <s v="No"/>
    <n v="25"/>
    <x v="1"/>
    <n v="3"/>
    <n v="80"/>
    <n v="3"/>
    <n v="10"/>
    <n v="2"/>
    <n v="2"/>
    <n v="10"/>
    <n v="7"/>
    <n v="0"/>
    <n v="9"/>
  </r>
  <r>
    <n v="33"/>
    <x v="1"/>
    <x v="2"/>
    <n v="750"/>
    <x v="0"/>
    <n v="22"/>
    <n v="2"/>
    <s v="Marketing"/>
    <n v="1"/>
    <n v="160"/>
    <n v="3"/>
    <x v="1"/>
    <n v="95"/>
    <x v="0"/>
    <n v="2"/>
    <x v="0"/>
    <n v="2"/>
    <x v="1"/>
    <n v="6146"/>
    <n v="15480"/>
    <n v="0"/>
    <s v="Y"/>
    <s v="No"/>
    <n v="13"/>
    <x v="0"/>
    <n v="1"/>
    <n v="80"/>
    <n v="1"/>
    <n v="8"/>
    <n v="2"/>
    <n v="4"/>
    <n v="7"/>
    <n v="7"/>
    <n v="0"/>
    <n v="7"/>
  </r>
  <r>
    <n v="56"/>
    <x v="0"/>
    <x v="0"/>
    <n v="441"/>
    <x v="1"/>
    <n v="14"/>
    <n v="4"/>
    <s v="Life Sciences"/>
    <n v="1"/>
    <n v="161"/>
    <n v="2"/>
    <x v="0"/>
    <n v="72"/>
    <x v="0"/>
    <n v="1"/>
    <x v="1"/>
    <n v="2"/>
    <x v="1"/>
    <n v="4963"/>
    <n v="4510"/>
    <n v="9"/>
    <s v="Y"/>
    <s v="Yes"/>
    <n v="18"/>
    <x v="0"/>
    <n v="1"/>
    <n v="80"/>
    <n v="3"/>
    <n v="7"/>
    <n v="2"/>
    <n v="3"/>
    <n v="5"/>
    <n v="4"/>
    <n v="4"/>
    <n v="3"/>
  </r>
  <r>
    <n v="51"/>
    <x v="1"/>
    <x v="0"/>
    <n v="684"/>
    <x v="1"/>
    <n v="6"/>
    <n v="3"/>
    <s v="Life Sciences"/>
    <n v="1"/>
    <n v="162"/>
    <n v="1"/>
    <x v="1"/>
    <n v="51"/>
    <x v="0"/>
    <n v="5"/>
    <x v="7"/>
    <n v="3"/>
    <x v="0"/>
    <n v="19537"/>
    <n v="6462"/>
    <n v="7"/>
    <s v="Y"/>
    <s v="No"/>
    <n v="13"/>
    <x v="0"/>
    <n v="3"/>
    <n v="80"/>
    <n v="0"/>
    <n v="23"/>
    <n v="5"/>
    <n v="3"/>
    <n v="20"/>
    <n v="18"/>
    <n v="15"/>
    <n v="15"/>
  </r>
  <r>
    <n v="31"/>
    <x v="0"/>
    <x v="0"/>
    <n v="249"/>
    <x v="0"/>
    <n v="6"/>
    <n v="4"/>
    <s v="Life Sciences"/>
    <n v="1"/>
    <n v="163"/>
    <n v="2"/>
    <x v="1"/>
    <n v="76"/>
    <x v="3"/>
    <n v="2"/>
    <x v="0"/>
    <n v="3"/>
    <x v="1"/>
    <n v="6172"/>
    <n v="20739"/>
    <n v="4"/>
    <s v="Y"/>
    <s v="Yes"/>
    <n v="18"/>
    <x v="0"/>
    <n v="2"/>
    <n v="80"/>
    <n v="0"/>
    <n v="12"/>
    <n v="3"/>
    <n v="2"/>
    <n v="7"/>
    <n v="7"/>
    <n v="7"/>
    <n v="7"/>
  </r>
  <r>
    <n v="26"/>
    <x v="1"/>
    <x v="0"/>
    <n v="841"/>
    <x v="1"/>
    <n v="6"/>
    <n v="3"/>
    <s v="Other"/>
    <n v="1"/>
    <n v="164"/>
    <n v="3"/>
    <x v="0"/>
    <n v="46"/>
    <x v="1"/>
    <n v="1"/>
    <x v="1"/>
    <n v="2"/>
    <x v="1"/>
    <n v="2368"/>
    <n v="23300"/>
    <n v="1"/>
    <s v="Y"/>
    <s v="No"/>
    <n v="19"/>
    <x v="0"/>
    <n v="3"/>
    <n v="80"/>
    <n v="0"/>
    <n v="5"/>
    <n v="3"/>
    <n v="2"/>
    <n v="5"/>
    <n v="4"/>
    <n v="4"/>
    <n v="3"/>
  </r>
  <r>
    <n v="58"/>
    <x v="0"/>
    <x v="0"/>
    <n v="147"/>
    <x v="1"/>
    <n v="23"/>
    <n v="4"/>
    <s v="Medical"/>
    <n v="1"/>
    <n v="165"/>
    <n v="4"/>
    <x v="0"/>
    <n v="94"/>
    <x v="0"/>
    <n v="3"/>
    <x v="4"/>
    <n v="4"/>
    <x v="1"/>
    <n v="10312"/>
    <n v="3465"/>
    <n v="1"/>
    <s v="Y"/>
    <s v="No"/>
    <n v="12"/>
    <x v="0"/>
    <n v="4"/>
    <n v="80"/>
    <n v="1"/>
    <n v="40"/>
    <n v="3"/>
    <n v="2"/>
    <n v="40"/>
    <n v="10"/>
    <n v="15"/>
    <n v="6"/>
  </r>
  <r>
    <n v="19"/>
    <x v="0"/>
    <x v="0"/>
    <n v="528"/>
    <x v="0"/>
    <n v="22"/>
    <n v="1"/>
    <s v="Marketing"/>
    <n v="1"/>
    <n v="167"/>
    <n v="4"/>
    <x v="1"/>
    <n v="50"/>
    <x v="0"/>
    <n v="1"/>
    <x v="6"/>
    <n v="3"/>
    <x v="0"/>
    <n v="1675"/>
    <n v="26820"/>
    <n v="1"/>
    <s v="Y"/>
    <s v="Yes"/>
    <n v="19"/>
    <x v="0"/>
    <n v="4"/>
    <n v="80"/>
    <n v="0"/>
    <n v="0"/>
    <n v="2"/>
    <n v="2"/>
    <n v="0"/>
    <n v="0"/>
    <n v="0"/>
    <n v="0"/>
  </r>
  <r>
    <n v="22"/>
    <x v="1"/>
    <x v="0"/>
    <n v="594"/>
    <x v="1"/>
    <n v="2"/>
    <n v="1"/>
    <s v="Technical Degree"/>
    <n v="1"/>
    <n v="169"/>
    <n v="3"/>
    <x v="1"/>
    <n v="100"/>
    <x v="0"/>
    <n v="1"/>
    <x v="2"/>
    <n v="4"/>
    <x v="1"/>
    <n v="2523"/>
    <n v="19299"/>
    <n v="0"/>
    <s v="Y"/>
    <s v="No"/>
    <n v="14"/>
    <x v="0"/>
    <n v="3"/>
    <n v="80"/>
    <n v="1"/>
    <n v="3"/>
    <n v="2"/>
    <n v="3"/>
    <n v="2"/>
    <n v="1"/>
    <n v="2"/>
    <n v="1"/>
  </r>
  <r>
    <n v="49"/>
    <x v="1"/>
    <x v="0"/>
    <n v="470"/>
    <x v="1"/>
    <n v="20"/>
    <n v="4"/>
    <s v="Medical"/>
    <n v="1"/>
    <n v="170"/>
    <n v="3"/>
    <x v="0"/>
    <n v="96"/>
    <x v="0"/>
    <n v="2"/>
    <x v="3"/>
    <n v="1"/>
    <x v="1"/>
    <n v="6567"/>
    <n v="5549"/>
    <n v="1"/>
    <s v="Y"/>
    <s v="No"/>
    <n v="14"/>
    <x v="0"/>
    <n v="3"/>
    <n v="80"/>
    <n v="0"/>
    <n v="16"/>
    <n v="2"/>
    <n v="2"/>
    <n v="15"/>
    <n v="11"/>
    <n v="5"/>
    <n v="11"/>
  </r>
  <r>
    <n v="43"/>
    <x v="1"/>
    <x v="1"/>
    <n v="957"/>
    <x v="1"/>
    <n v="28"/>
    <n v="3"/>
    <s v="Medical"/>
    <n v="1"/>
    <n v="171"/>
    <n v="2"/>
    <x v="0"/>
    <n v="72"/>
    <x v="2"/>
    <n v="1"/>
    <x v="1"/>
    <n v="3"/>
    <x v="0"/>
    <n v="4739"/>
    <n v="16090"/>
    <n v="4"/>
    <s v="Y"/>
    <s v="No"/>
    <n v="12"/>
    <x v="0"/>
    <n v="4"/>
    <n v="80"/>
    <n v="0"/>
    <n v="18"/>
    <n v="2"/>
    <n v="3"/>
    <n v="3"/>
    <n v="2"/>
    <n v="1"/>
    <n v="2"/>
  </r>
  <r>
    <n v="50"/>
    <x v="1"/>
    <x v="1"/>
    <n v="809"/>
    <x v="0"/>
    <n v="12"/>
    <n v="3"/>
    <s v="Marketing"/>
    <n v="1"/>
    <n v="174"/>
    <n v="3"/>
    <x v="0"/>
    <n v="77"/>
    <x v="0"/>
    <n v="3"/>
    <x v="0"/>
    <n v="4"/>
    <x v="0"/>
    <n v="9208"/>
    <n v="6645"/>
    <n v="4"/>
    <s v="Y"/>
    <s v="No"/>
    <n v="11"/>
    <x v="0"/>
    <n v="4"/>
    <n v="80"/>
    <n v="0"/>
    <n v="16"/>
    <n v="3"/>
    <n v="3"/>
    <n v="2"/>
    <n v="2"/>
    <n v="2"/>
    <n v="1"/>
  </r>
  <r>
    <n v="31"/>
    <x v="0"/>
    <x v="0"/>
    <n v="542"/>
    <x v="0"/>
    <n v="20"/>
    <n v="3"/>
    <s v="Life Sciences"/>
    <n v="1"/>
    <n v="175"/>
    <n v="2"/>
    <x v="0"/>
    <n v="71"/>
    <x v="3"/>
    <n v="2"/>
    <x v="0"/>
    <n v="3"/>
    <x v="1"/>
    <n v="4559"/>
    <n v="24788"/>
    <n v="3"/>
    <s v="Y"/>
    <s v="Yes"/>
    <n v="11"/>
    <x v="0"/>
    <n v="3"/>
    <n v="80"/>
    <n v="1"/>
    <n v="4"/>
    <n v="2"/>
    <n v="3"/>
    <n v="2"/>
    <n v="2"/>
    <n v="2"/>
    <n v="2"/>
  </r>
  <r>
    <n v="41"/>
    <x v="1"/>
    <x v="0"/>
    <n v="802"/>
    <x v="0"/>
    <n v="9"/>
    <n v="1"/>
    <s v="Life Sciences"/>
    <n v="1"/>
    <n v="176"/>
    <n v="3"/>
    <x v="1"/>
    <n v="96"/>
    <x v="0"/>
    <n v="3"/>
    <x v="0"/>
    <n v="3"/>
    <x v="2"/>
    <n v="8189"/>
    <n v="21196"/>
    <n v="3"/>
    <s v="Y"/>
    <s v="Yes"/>
    <n v="13"/>
    <x v="0"/>
    <n v="3"/>
    <n v="80"/>
    <n v="1"/>
    <n v="12"/>
    <n v="2"/>
    <n v="3"/>
    <n v="9"/>
    <n v="7"/>
    <n v="0"/>
    <n v="7"/>
  </r>
  <r>
    <n v="26"/>
    <x v="1"/>
    <x v="0"/>
    <n v="1355"/>
    <x v="2"/>
    <n v="25"/>
    <n v="1"/>
    <s v="Life Sciences"/>
    <n v="1"/>
    <n v="177"/>
    <n v="3"/>
    <x v="0"/>
    <n v="61"/>
    <x v="0"/>
    <n v="1"/>
    <x v="8"/>
    <n v="3"/>
    <x v="1"/>
    <n v="2942"/>
    <n v="8916"/>
    <n v="1"/>
    <s v="Y"/>
    <s v="No"/>
    <n v="23"/>
    <x v="1"/>
    <n v="4"/>
    <n v="80"/>
    <n v="1"/>
    <n v="8"/>
    <n v="3"/>
    <n v="3"/>
    <n v="8"/>
    <n v="7"/>
    <n v="5"/>
    <n v="7"/>
  </r>
  <r>
    <n v="36"/>
    <x v="1"/>
    <x v="0"/>
    <n v="216"/>
    <x v="1"/>
    <n v="6"/>
    <n v="2"/>
    <s v="Medical"/>
    <n v="1"/>
    <n v="178"/>
    <n v="2"/>
    <x v="1"/>
    <n v="84"/>
    <x v="0"/>
    <n v="2"/>
    <x v="3"/>
    <n v="2"/>
    <x v="2"/>
    <n v="4941"/>
    <n v="2819"/>
    <n v="6"/>
    <s v="Y"/>
    <s v="No"/>
    <n v="20"/>
    <x v="1"/>
    <n v="4"/>
    <n v="80"/>
    <n v="2"/>
    <n v="7"/>
    <n v="0"/>
    <n v="3"/>
    <n v="3"/>
    <n v="2"/>
    <n v="0"/>
    <n v="1"/>
  </r>
  <r>
    <n v="51"/>
    <x v="0"/>
    <x v="1"/>
    <n v="1150"/>
    <x v="1"/>
    <n v="8"/>
    <n v="4"/>
    <s v="Life Sciences"/>
    <n v="1"/>
    <n v="179"/>
    <n v="1"/>
    <x v="1"/>
    <n v="53"/>
    <x v="3"/>
    <n v="3"/>
    <x v="3"/>
    <n v="4"/>
    <x v="0"/>
    <n v="10650"/>
    <n v="25150"/>
    <n v="2"/>
    <s v="Y"/>
    <s v="No"/>
    <n v="15"/>
    <x v="0"/>
    <n v="4"/>
    <n v="80"/>
    <n v="0"/>
    <n v="18"/>
    <n v="2"/>
    <n v="3"/>
    <n v="4"/>
    <n v="2"/>
    <n v="0"/>
    <n v="3"/>
  </r>
  <r>
    <n v="39"/>
    <x v="1"/>
    <x v="0"/>
    <n v="1329"/>
    <x v="0"/>
    <n v="4"/>
    <n v="4"/>
    <s v="Life Sciences"/>
    <n v="1"/>
    <n v="182"/>
    <n v="4"/>
    <x v="0"/>
    <n v="47"/>
    <x v="1"/>
    <n v="2"/>
    <x v="0"/>
    <n v="3"/>
    <x v="1"/>
    <n v="5902"/>
    <n v="14590"/>
    <n v="4"/>
    <s v="Y"/>
    <s v="No"/>
    <n v="14"/>
    <x v="0"/>
    <n v="3"/>
    <n v="80"/>
    <n v="1"/>
    <n v="17"/>
    <n v="1"/>
    <n v="4"/>
    <n v="15"/>
    <n v="11"/>
    <n v="5"/>
    <n v="9"/>
  </r>
  <r>
    <n v="25"/>
    <x v="1"/>
    <x v="0"/>
    <n v="959"/>
    <x v="0"/>
    <n v="28"/>
    <n v="3"/>
    <s v="Life Sciences"/>
    <n v="1"/>
    <n v="183"/>
    <n v="1"/>
    <x v="1"/>
    <n v="41"/>
    <x v="1"/>
    <n v="2"/>
    <x v="0"/>
    <n v="3"/>
    <x v="1"/>
    <n v="8639"/>
    <n v="24835"/>
    <n v="2"/>
    <s v="Y"/>
    <s v="No"/>
    <n v="18"/>
    <x v="0"/>
    <n v="4"/>
    <n v="80"/>
    <n v="0"/>
    <n v="6"/>
    <n v="3"/>
    <n v="3"/>
    <n v="2"/>
    <n v="2"/>
    <n v="2"/>
    <n v="2"/>
  </r>
  <r>
    <n v="30"/>
    <x v="1"/>
    <x v="0"/>
    <n v="1240"/>
    <x v="2"/>
    <n v="9"/>
    <n v="3"/>
    <s v="Human Resources"/>
    <n v="1"/>
    <n v="184"/>
    <n v="3"/>
    <x v="1"/>
    <n v="48"/>
    <x v="0"/>
    <n v="2"/>
    <x v="8"/>
    <n v="4"/>
    <x v="1"/>
    <n v="6347"/>
    <n v="13982"/>
    <n v="0"/>
    <s v="Y"/>
    <s v="Yes"/>
    <n v="19"/>
    <x v="0"/>
    <n v="4"/>
    <n v="80"/>
    <n v="0"/>
    <n v="12"/>
    <n v="2"/>
    <n v="1"/>
    <n v="11"/>
    <n v="9"/>
    <n v="4"/>
    <n v="7"/>
  </r>
  <r>
    <n v="32"/>
    <x v="0"/>
    <x v="0"/>
    <n v="1033"/>
    <x v="1"/>
    <n v="9"/>
    <n v="3"/>
    <s v="Medical"/>
    <n v="1"/>
    <n v="190"/>
    <n v="1"/>
    <x v="0"/>
    <n v="41"/>
    <x v="0"/>
    <n v="1"/>
    <x v="2"/>
    <n v="1"/>
    <x v="0"/>
    <n v="4200"/>
    <n v="10224"/>
    <n v="7"/>
    <s v="Y"/>
    <s v="No"/>
    <n v="22"/>
    <x v="1"/>
    <n v="1"/>
    <n v="80"/>
    <n v="0"/>
    <n v="10"/>
    <n v="2"/>
    <n v="4"/>
    <n v="5"/>
    <n v="4"/>
    <n v="0"/>
    <n v="4"/>
  </r>
  <r>
    <n v="45"/>
    <x v="1"/>
    <x v="0"/>
    <n v="1316"/>
    <x v="1"/>
    <n v="29"/>
    <n v="3"/>
    <s v="Medical"/>
    <n v="1"/>
    <n v="192"/>
    <n v="3"/>
    <x v="1"/>
    <n v="83"/>
    <x v="0"/>
    <n v="1"/>
    <x v="1"/>
    <n v="4"/>
    <x v="0"/>
    <n v="3452"/>
    <n v="9752"/>
    <n v="5"/>
    <s v="Y"/>
    <s v="No"/>
    <n v="13"/>
    <x v="0"/>
    <n v="2"/>
    <n v="80"/>
    <n v="0"/>
    <n v="9"/>
    <n v="2"/>
    <n v="2"/>
    <n v="6"/>
    <n v="5"/>
    <n v="0"/>
    <n v="3"/>
  </r>
  <r>
    <n v="38"/>
    <x v="1"/>
    <x v="0"/>
    <n v="364"/>
    <x v="1"/>
    <n v="3"/>
    <n v="5"/>
    <s v="Technical Degree"/>
    <n v="1"/>
    <n v="193"/>
    <n v="4"/>
    <x v="0"/>
    <n v="32"/>
    <x v="0"/>
    <n v="2"/>
    <x v="1"/>
    <n v="3"/>
    <x v="0"/>
    <n v="4317"/>
    <n v="2302"/>
    <n v="3"/>
    <s v="Y"/>
    <s v="Yes"/>
    <n v="20"/>
    <x v="1"/>
    <n v="2"/>
    <n v="80"/>
    <n v="0"/>
    <n v="19"/>
    <n v="2"/>
    <n v="3"/>
    <n v="3"/>
    <n v="2"/>
    <n v="2"/>
    <n v="2"/>
  </r>
  <r>
    <n v="30"/>
    <x v="1"/>
    <x v="0"/>
    <n v="438"/>
    <x v="1"/>
    <n v="18"/>
    <n v="3"/>
    <s v="Life Sciences"/>
    <n v="1"/>
    <n v="194"/>
    <n v="1"/>
    <x v="0"/>
    <n v="75"/>
    <x v="0"/>
    <n v="1"/>
    <x v="1"/>
    <n v="3"/>
    <x v="0"/>
    <n v="2632"/>
    <n v="23910"/>
    <n v="1"/>
    <s v="Y"/>
    <s v="No"/>
    <n v="14"/>
    <x v="0"/>
    <n v="3"/>
    <n v="80"/>
    <n v="0"/>
    <n v="5"/>
    <n v="4"/>
    <n v="2"/>
    <n v="5"/>
    <n v="4"/>
    <n v="0"/>
    <n v="4"/>
  </r>
  <r>
    <n v="32"/>
    <x v="1"/>
    <x v="1"/>
    <n v="689"/>
    <x v="0"/>
    <n v="9"/>
    <n v="2"/>
    <s v="Medical"/>
    <n v="1"/>
    <n v="195"/>
    <n v="4"/>
    <x v="1"/>
    <n v="35"/>
    <x v="3"/>
    <n v="2"/>
    <x v="0"/>
    <n v="4"/>
    <x v="2"/>
    <n v="4668"/>
    <n v="22812"/>
    <n v="0"/>
    <s v="Y"/>
    <s v="No"/>
    <n v="17"/>
    <x v="0"/>
    <n v="4"/>
    <n v="80"/>
    <n v="3"/>
    <n v="9"/>
    <n v="2"/>
    <n v="4"/>
    <n v="8"/>
    <n v="7"/>
    <n v="0"/>
    <n v="7"/>
  </r>
  <r>
    <n v="30"/>
    <x v="1"/>
    <x v="0"/>
    <n v="201"/>
    <x v="1"/>
    <n v="5"/>
    <n v="3"/>
    <s v="Technical Degree"/>
    <n v="1"/>
    <n v="197"/>
    <n v="4"/>
    <x v="0"/>
    <n v="84"/>
    <x v="0"/>
    <n v="1"/>
    <x v="1"/>
    <n v="1"/>
    <x v="2"/>
    <n v="3204"/>
    <n v="10415"/>
    <n v="5"/>
    <s v="Y"/>
    <s v="No"/>
    <n v="14"/>
    <x v="0"/>
    <n v="4"/>
    <n v="80"/>
    <n v="1"/>
    <n v="8"/>
    <n v="3"/>
    <n v="3"/>
    <n v="3"/>
    <n v="2"/>
    <n v="2"/>
    <n v="2"/>
  </r>
  <r>
    <n v="30"/>
    <x v="1"/>
    <x v="0"/>
    <n v="1427"/>
    <x v="1"/>
    <n v="2"/>
    <n v="1"/>
    <s v="Medical"/>
    <n v="1"/>
    <n v="198"/>
    <n v="2"/>
    <x v="1"/>
    <n v="35"/>
    <x v="1"/>
    <n v="1"/>
    <x v="2"/>
    <n v="4"/>
    <x v="0"/>
    <n v="2720"/>
    <n v="11162"/>
    <n v="0"/>
    <s v="Y"/>
    <s v="No"/>
    <n v="13"/>
    <x v="0"/>
    <n v="4"/>
    <n v="80"/>
    <n v="0"/>
    <n v="6"/>
    <n v="3"/>
    <n v="3"/>
    <n v="5"/>
    <n v="3"/>
    <n v="1"/>
    <n v="2"/>
  </r>
  <r>
    <n v="41"/>
    <x v="1"/>
    <x v="1"/>
    <n v="857"/>
    <x v="1"/>
    <n v="10"/>
    <n v="3"/>
    <s v="Life Sciences"/>
    <n v="1"/>
    <n v="199"/>
    <n v="4"/>
    <x v="1"/>
    <n v="91"/>
    <x v="1"/>
    <n v="4"/>
    <x v="5"/>
    <n v="1"/>
    <x v="2"/>
    <n v="17181"/>
    <n v="12888"/>
    <n v="4"/>
    <s v="Y"/>
    <s v="No"/>
    <n v="13"/>
    <x v="0"/>
    <n v="2"/>
    <n v="80"/>
    <n v="1"/>
    <n v="21"/>
    <n v="2"/>
    <n v="2"/>
    <n v="7"/>
    <n v="6"/>
    <n v="7"/>
    <n v="7"/>
  </r>
  <r>
    <n v="41"/>
    <x v="1"/>
    <x v="0"/>
    <n v="933"/>
    <x v="1"/>
    <n v="9"/>
    <n v="4"/>
    <s v="Life Sciences"/>
    <n v="1"/>
    <n v="200"/>
    <n v="3"/>
    <x v="1"/>
    <n v="94"/>
    <x v="0"/>
    <n v="1"/>
    <x v="2"/>
    <n v="1"/>
    <x v="1"/>
    <n v="2238"/>
    <n v="6961"/>
    <n v="2"/>
    <s v="Y"/>
    <s v="No"/>
    <n v="21"/>
    <x v="1"/>
    <n v="4"/>
    <n v="80"/>
    <n v="1"/>
    <n v="7"/>
    <n v="2"/>
    <n v="3"/>
    <n v="5"/>
    <n v="0"/>
    <n v="1"/>
    <n v="4"/>
  </r>
  <r>
    <n v="19"/>
    <x v="1"/>
    <x v="0"/>
    <n v="1181"/>
    <x v="1"/>
    <n v="3"/>
    <n v="1"/>
    <s v="Medical"/>
    <n v="1"/>
    <n v="201"/>
    <n v="2"/>
    <x v="0"/>
    <n v="79"/>
    <x v="0"/>
    <n v="1"/>
    <x v="2"/>
    <n v="2"/>
    <x v="0"/>
    <n v="1483"/>
    <n v="16102"/>
    <n v="1"/>
    <s v="Y"/>
    <s v="No"/>
    <n v="14"/>
    <x v="0"/>
    <n v="4"/>
    <n v="80"/>
    <n v="0"/>
    <n v="1"/>
    <n v="3"/>
    <n v="3"/>
    <n v="1"/>
    <n v="0"/>
    <n v="0"/>
    <n v="0"/>
  </r>
  <r>
    <n v="40"/>
    <x v="1"/>
    <x v="1"/>
    <n v="1395"/>
    <x v="1"/>
    <n v="26"/>
    <n v="3"/>
    <s v="Medical"/>
    <n v="1"/>
    <n v="202"/>
    <n v="2"/>
    <x v="0"/>
    <n v="54"/>
    <x v="0"/>
    <n v="2"/>
    <x v="1"/>
    <n v="2"/>
    <x v="2"/>
    <n v="5605"/>
    <n v="8504"/>
    <n v="1"/>
    <s v="Y"/>
    <s v="No"/>
    <n v="11"/>
    <x v="0"/>
    <n v="1"/>
    <n v="80"/>
    <n v="1"/>
    <n v="20"/>
    <n v="2"/>
    <n v="3"/>
    <n v="20"/>
    <n v="7"/>
    <n v="2"/>
    <n v="13"/>
  </r>
  <r>
    <n v="35"/>
    <x v="1"/>
    <x v="0"/>
    <n v="662"/>
    <x v="0"/>
    <n v="1"/>
    <n v="5"/>
    <s v="Marketing"/>
    <n v="1"/>
    <n v="204"/>
    <n v="3"/>
    <x v="1"/>
    <n v="94"/>
    <x v="0"/>
    <n v="3"/>
    <x v="0"/>
    <n v="2"/>
    <x v="1"/>
    <n v="7295"/>
    <n v="11439"/>
    <n v="1"/>
    <s v="Y"/>
    <s v="No"/>
    <n v="13"/>
    <x v="0"/>
    <n v="1"/>
    <n v="80"/>
    <n v="2"/>
    <n v="10"/>
    <n v="3"/>
    <n v="3"/>
    <n v="10"/>
    <n v="8"/>
    <n v="0"/>
    <n v="6"/>
  </r>
  <r>
    <n v="53"/>
    <x v="1"/>
    <x v="0"/>
    <n v="1436"/>
    <x v="0"/>
    <n v="6"/>
    <n v="2"/>
    <s v="Marketing"/>
    <n v="1"/>
    <n v="205"/>
    <n v="2"/>
    <x v="1"/>
    <n v="34"/>
    <x v="0"/>
    <n v="2"/>
    <x v="6"/>
    <n v="3"/>
    <x v="1"/>
    <n v="2306"/>
    <n v="16047"/>
    <n v="2"/>
    <s v="Y"/>
    <s v="Yes"/>
    <n v="20"/>
    <x v="1"/>
    <n v="4"/>
    <n v="80"/>
    <n v="1"/>
    <n v="13"/>
    <n v="3"/>
    <n v="1"/>
    <n v="7"/>
    <n v="7"/>
    <n v="4"/>
    <n v="5"/>
  </r>
  <r>
    <n v="45"/>
    <x v="1"/>
    <x v="0"/>
    <n v="194"/>
    <x v="1"/>
    <n v="9"/>
    <n v="3"/>
    <s v="Life Sciences"/>
    <n v="1"/>
    <n v="206"/>
    <n v="2"/>
    <x v="1"/>
    <n v="60"/>
    <x v="0"/>
    <n v="2"/>
    <x v="2"/>
    <n v="2"/>
    <x v="2"/>
    <n v="2348"/>
    <n v="10901"/>
    <n v="8"/>
    <s v="Y"/>
    <s v="No"/>
    <n v="18"/>
    <x v="0"/>
    <n v="3"/>
    <n v="80"/>
    <n v="1"/>
    <n v="20"/>
    <n v="2"/>
    <n v="1"/>
    <n v="17"/>
    <n v="9"/>
    <n v="0"/>
    <n v="15"/>
  </r>
  <r>
    <n v="32"/>
    <x v="1"/>
    <x v="1"/>
    <n v="967"/>
    <x v="0"/>
    <n v="8"/>
    <n v="3"/>
    <s v="Marketing"/>
    <n v="1"/>
    <n v="207"/>
    <n v="2"/>
    <x v="0"/>
    <n v="43"/>
    <x v="0"/>
    <n v="3"/>
    <x v="0"/>
    <n v="4"/>
    <x v="0"/>
    <n v="8998"/>
    <n v="15589"/>
    <n v="1"/>
    <s v="Y"/>
    <s v="No"/>
    <n v="14"/>
    <x v="0"/>
    <n v="4"/>
    <n v="80"/>
    <n v="0"/>
    <n v="9"/>
    <n v="2"/>
    <n v="3"/>
    <n v="9"/>
    <n v="8"/>
    <n v="3"/>
    <n v="7"/>
  </r>
  <r>
    <n v="29"/>
    <x v="1"/>
    <x v="2"/>
    <n v="1496"/>
    <x v="1"/>
    <n v="1"/>
    <n v="1"/>
    <s v="Technical Degree"/>
    <n v="1"/>
    <n v="208"/>
    <n v="4"/>
    <x v="1"/>
    <n v="41"/>
    <x v="0"/>
    <n v="2"/>
    <x v="3"/>
    <n v="3"/>
    <x v="1"/>
    <n v="4319"/>
    <n v="26283"/>
    <n v="1"/>
    <s v="Y"/>
    <s v="No"/>
    <n v="13"/>
    <x v="0"/>
    <n v="1"/>
    <n v="80"/>
    <n v="1"/>
    <n v="10"/>
    <n v="1"/>
    <n v="3"/>
    <n v="10"/>
    <n v="7"/>
    <n v="0"/>
    <n v="9"/>
  </r>
  <r>
    <n v="51"/>
    <x v="1"/>
    <x v="0"/>
    <n v="1169"/>
    <x v="1"/>
    <n v="7"/>
    <n v="4"/>
    <s v="Medical"/>
    <n v="1"/>
    <n v="211"/>
    <n v="2"/>
    <x v="1"/>
    <n v="34"/>
    <x v="1"/>
    <n v="2"/>
    <x v="3"/>
    <n v="3"/>
    <x v="1"/>
    <n v="6132"/>
    <n v="13983"/>
    <n v="2"/>
    <s v="Y"/>
    <s v="No"/>
    <n v="17"/>
    <x v="0"/>
    <n v="3"/>
    <n v="80"/>
    <n v="0"/>
    <n v="10"/>
    <n v="2"/>
    <n v="3"/>
    <n v="1"/>
    <n v="0"/>
    <n v="0"/>
    <n v="0"/>
  </r>
  <r>
    <n v="58"/>
    <x v="1"/>
    <x v="0"/>
    <n v="1145"/>
    <x v="1"/>
    <n v="9"/>
    <n v="3"/>
    <s v="Medical"/>
    <n v="1"/>
    <n v="214"/>
    <n v="2"/>
    <x v="0"/>
    <n v="75"/>
    <x v="1"/>
    <n v="1"/>
    <x v="1"/>
    <n v="2"/>
    <x v="1"/>
    <n v="3346"/>
    <n v="11873"/>
    <n v="4"/>
    <s v="Y"/>
    <s v="Yes"/>
    <n v="20"/>
    <x v="1"/>
    <n v="2"/>
    <n v="80"/>
    <n v="1"/>
    <n v="9"/>
    <n v="3"/>
    <n v="2"/>
    <n v="1"/>
    <n v="0"/>
    <n v="0"/>
    <n v="0"/>
  </r>
  <r>
    <n v="40"/>
    <x v="1"/>
    <x v="0"/>
    <n v="630"/>
    <x v="0"/>
    <n v="4"/>
    <n v="4"/>
    <s v="Marketing"/>
    <n v="1"/>
    <n v="215"/>
    <n v="3"/>
    <x v="1"/>
    <n v="67"/>
    <x v="1"/>
    <n v="3"/>
    <x v="0"/>
    <n v="4"/>
    <x v="1"/>
    <n v="10855"/>
    <n v="8552"/>
    <n v="7"/>
    <s v="Y"/>
    <s v="No"/>
    <n v="11"/>
    <x v="0"/>
    <n v="1"/>
    <n v="80"/>
    <n v="1"/>
    <n v="15"/>
    <n v="2"/>
    <n v="2"/>
    <n v="12"/>
    <n v="11"/>
    <n v="2"/>
    <n v="11"/>
  </r>
  <r>
    <n v="34"/>
    <x v="1"/>
    <x v="1"/>
    <n v="303"/>
    <x v="0"/>
    <n v="2"/>
    <n v="4"/>
    <s v="Marketing"/>
    <n v="1"/>
    <n v="216"/>
    <n v="3"/>
    <x v="0"/>
    <n v="75"/>
    <x v="0"/>
    <n v="1"/>
    <x v="6"/>
    <n v="3"/>
    <x v="1"/>
    <n v="2231"/>
    <n v="11314"/>
    <n v="6"/>
    <s v="Y"/>
    <s v="No"/>
    <n v="18"/>
    <x v="0"/>
    <n v="4"/>
    <n v="80"/>
    <n v="1"/>
    <n v="6"/>
    <n v="3"/>
    <n v="3"/>
    <n v="4"/>
    <n v="3"/>
    <n v="1"/>
    <n v="2"/>
  </r>
  <r>
    <n v="22"/>
    <x v="1"/>
    <x v="0"/>
    <n v="1256"/>
    <x v="1"/>
    <n v="19"/>
    <n v="1"/>
    <s v="Medical"/>
    <n v="1"/>
    <n v="217"/>
    <n v="3"/>
    <x v="1"/>
    <n v="80"/>
    <x v="0"/>
    <n v="1"/>
    <x v="1"/>
    <n v="4"/>
    <x v="1"/>
    <n v="2323"/>
    <n v="11992"/>
    <n v="1"/>
    <s v="Y"/>
    <s v="No"/>
    <n v="24"/>
    <x v="1"/>
    <n v="1"/>
    <n v="80"/>
    <n v="2"/>
    <n v="2"/>
    <n v="6"/>
    <n v="3"/>
    <n v="2"/>
    <n v="2"/>
    <n v="2"/>
    <n v="2"/>
  </r>
  <r>
    <n v="27"/>
    <x v="1"/>
    <x v="2"/>
    <n v="691"/>
    <x v="1"/>
    <n v="9"/>
    <n v="3"/>
    <s v="Medical"/>
    <n v="1"/>
    <n v="218"/>
    <n v="4"/>
    <x v="1"/>
    <n v="57"/>
    <x v="0"/>
    <n v="1"/>
    <x v="1"/>
    <n v="2"/>
    <x v="2"/>
    <n v="2024"/>
    <n v="5970"/>
    <n v="6"/>
    <s v="Y"/>
    <s v="No"/>
    <n v="18"/>
    <x v="0"/>
    <n v="4"/>
    <n v="80"/>
    <n v="1"/>
    <n v="6"/>
    <n v="1"/>
    <n v="1"/>
    <n v="2"/>
    <n v="2"/>
    <n v="2"/>
    <n v="2"/>
  </r>
  <r>
    <n v="28"/>
    <x v="1"/>
    <x v="0"/>
    <n v="440"/>
    <x v="1"/>
    <n v="21"/>
    <n v="3"/>
    <s v="Medical"/>
    <n v="1"/>
    <n v="221"/>
    <n v="3"/>
    <x v="1"/>
    <n v="42"/>
    <x v="0"/>
    <n v="1"/>
    <x v="1"/>
    <n v="4"/>
    <x v="1"/>
    <n v="2713"/>
    <n v="6672"/>
    <n v="1"/>
    <s v="Y"/>
    <s v="No"/>
    <n v="11"/>
    <x v="0"/>
    <n v="3"/>
    <n v="80"/>
    <n v="1"/>
    <n v="5"/>
    <n v="2"/>
    <n v="1"/>
    <n v="5"/>
    <n v="2"/>
    <n v="0"/>
    <n v="2"/>
  </r>
  <r>
    <n v="57"/>
    <x v="1"/>
    <x v="0"/>
    <n v="334"/>
    <x v="1"/>
    <n v="24"/>
    <n v="2"/>
    <s v="Life Sciences"/>
    <n v="1"/>
    <n v="223"/>
    <n v="3"/>
    <x v="1"/>
    <n v="83"/>
    <x v="2"/>
    <n v="3"/>
    <x v="4"/>
    <n v="4"/>
    <x v="2"/>
    <n v="9439"/>
    <n v="23402"/>
    <n v="3"/>
    <s v="Y"/>
    <s v="Yes"/>
    <n v="16"/>
    <x v="0"/>
    <n v="2"/>
    <n v="80"/>
    <n v="1"/>
    <n v="12"/>
    <n v="2"/>
    <n v="1"/>
    <n v="5"/>
    <n v="3"/>
    <n v="1"/>
    <n v="4"/>
  </r>
  <r>
    <n v="27"/>
    <x v="1"/>
    <x v="2"/>
    <n v="1450"/>
    <x v="1"/>
    <n v="3"/>
    <n v="3"/>
    <s v="Medical"/>
    <n v="1"/>
    <n v="224"/>
    <n v="3"/>
    <x v="1"/>
    <n v="79"/>
    <x v="1"/>
    <n v="1"/>
    <x v="1"/>
    <n v="3"/>
    <x v="2"/>
    <n v="2566"/>
    <n v="25326"/>
    <n v="1"/>
    <s v="Y"/>
    <s v="Yes"/>
    <n v="15"/>
    <x v="0"/>
    <n v="4"/>
    <n v="80"/>
    <n v="1"/>
    <n v="1"/>
    <n v="2"/>
    <n v="2"/>
    <n v="1"/>
    <n v="1"/>
    <n v="0"/>
    <n v="1"/>
  </r>
  <r>
    <n v="50"/>
    <x v="1"/>
    <x v="0"/>
    <n v="1452"/>
    <x v="1"/>
    <n v="11"/>
    <n v="3"/>
    <s v="Life Sciences"/>
    <n v="1"/>
    <n v="226"/>
    <n v="3"/>
    <x v="0"/>
    <n v="53"/>
    <x v="0"/>
    <n v="5"/>
    <x v="5"/>
    <n v="2"/>
    <x v="0"/>
    <n v="19926"/>
    <n v="17053"/>
    <n v="3"/>
    <s v="Y"/>
    <s v="No"/>
    <n v="15"/>
    <x v="0"/>
    <n v="2"/>
    <n v="80"/>
    <n v="0"/>
    <n v="21"/>
    <n v="5"/>
    <n v="3"/>
    <n v="5"/>
    <n v="4"/>
    <n v="4"/>
    <n v="4"/>
  </r>
  <r>
    <n v="41"/>
    <x v="1"/>
    <x v="0"/>
    <n v="465"/>
    <x v="1"/>
    <n v="14"/>
    <n v="3"/>
    <s v="Life Sciences"/>
    <n v="1"/>
    <n v="227"/>
    <n v="1"/>
    <x v="1"/>
    <n v="56"/>
    <x v="0"/>
    <n v="1"/>
    <x v="1"/>
    <n v="3"/>
    <x v="2"/>
    <n v="2451"/>
    <n v="4609"/>
    <n v="4"/>
    <s v="Y"/>
    <s v="No"/>
    <n v="12"/>
    <x v="0"/>
    <n v="1"/>
    <n v="80"/>
    <n v="1"/>
    <n v="13"/>
    <n v="2"/>
    <n v="3"/>
    <n v="9"/>
    <n v="8"/>
    <n v="1"/>
    <n v="8"/>
  </r>
  <r>
    <n v="30"/>
    <x v="1"/>
    <x v="0"/>
    <n v="1339"/>
    <x v="0"/>
    <n v="5"/>
    <n v="3"/>
    <s v="Life Sciences"/>
    <n v="1"/>
    <n v="228"/>
    <n v="2"/>
    <x v="0"/>
    <n v="41"/>
    <x v="0"/>
    <n v="3"/>
    <x v="0"/>
    <n v="4"/>
    <x v="1"/>
    <n v="9419"/>
    <n v="8053"/>
    <n v="2"/>
    <s v="Y"/>
    <s v="No"/>
    <n v="12"/>
    <x v="0"/>
    <n v="3"/>
    <n v="80"/>
    <n v="1"/>
    <n v="12"/>
    <n v="2"/>
    <n v="3"/>
    <n v="10"/>
    <n v="9"/>
    <n v="7"/>
    <n v="4"/>
  </r>
  <r>
    <n v="38"/>
    <x v="1"/>
    <x v="0"/>
    <n v="702"/>
    <x v="0"/>
    <n v="1"/>
    <n v="4"/>
    <s v="Life Sciences"/>
    <n v="1"/>
    <n v="230"/>
    <n v="1"/>
    <x v="0"/>
    <n v="59"/>
    <x v="1"/>
    <n v="2"/>
    <x v="0"/>
    <n v="4"/>
    <x v="0"/>
    <n v="8686"/>
    <n v="12930"/>
    <n v="4"/>
    <s v="Y"/>
    <s v="No"/>
    <n v="22"/>
    <x v="1"/>
    <n v="3"/>
    <n v="80"/>
    <n v="0"/>
    <n v="12"/>
    <n v="2"/>
    <n v="4"/>
    <n v="8"/>
    <n v="3"/>
    <n v="0"/>
    <n v="7"/>
  </r>
  <r>
    <n v="32"/>
    <x v="1"/>
    <x v="0"/>
    <n v="120"/>
    <x v="1"/>
    <n v="6"/>
    <n v="5"/>
    <s v="Life Sciences"/>
    <n v="1"/>
    <n v="231"/>
    <n v="3"/>
    <x v="1"/>
    <n v="43"/>
    <x v="0"/>
    <n v="1"/>
    <x v="1"/>
    <n v="3"/>
    <x v="0"/>
    <n v="3038"/>
    <n v="12430"/>
    <n v="3"/>
    <s v="Y"/>
    <s v="No"/>
    <n v="20"/>
    <x v="1"/>
    <n v="1"/>
    <n v="80"/>
    <n v="0"/>
    <n v="8"/>
    <n v="2"/>
    <n v="3"/>
    <n v="5"/>
    <n v="4"/>
    <n v="1"/>
    <n v="4"/>
  </r>
  <r>
    <n v="27"/>
    <x v="1"/>
    <x v="0"/>
    <n v="1157"/>
    <x v="1"/>
    <n v="17"/>
    <n v="3"/>
    <s v="Technical Degree"/>
    <n v="1"/>
    <n v="233"/>
    <n v="3"/>
    <x v="1"/>
    <n v="51"/>
    <x v="0"/>
    <n v="1"/>
    <x v="1"/>
    <n v="2"/>
    <x v="1"/>
    <n v="3058"/>
    <n v="13364"/>
    <n v="0"/>
    <s v="Y"/>
    <s v="Yes"/>
    <n v="16"/>
    <x v="0"/>
    <n v="4"/>
    <n v="80"/>
    <n v="1"/>
    <n v="6"/>
    <n v="3"/>
    <n v="2"/>
    <n v="5"/>
    <n v="2"/>
    <n v="1"/>
    <n v="1"/>
  </r>
  <r>
    <n v="19"/>
    <x v="0"/>
    <x v="1"/>
    <n v="602"/>
    <x v="0"/>
    <n v="1"/>
    <n v="1"/>
    <s v="Technical Degree"/>
    <n v="1"/>
    <n v="235"/>
    <n v="3"/>
    <x v="0"/>
    <n v="100"/>
    <x v="3"/>
    <n v="1"/>
    <x v="6"/>
    <n v="1"/>
    <x v="0"/>
    <n v="2325"/>
    <n v="20989"/>
    <n v="0"/>
    <s v="Y"/>
    <s v="No"/>
    <n v="21"/>
    <x v="1"/>
    <n v="1"/>
    <n v="80"/>
    <n v="0"/>
    <n v="1"/>
    <n v="5"/>
    <n v="4"/>
    <n v="0"/>
    <n v="0"/>
    <n v="0"/>
    <n v="0"/>
  </r>
  <r>
    <n v="36"/>
    <x v="1"/>
    <x v="1"/>
    <n v="1480"/>
    <x v="1"/>
    <n v="3"/>
    <n v="2"/>
    <s v="Medical"/>
    <n v="1"/>
    <n v="238"/>
    <n v="4"/>
    <x v="1"/>
    <n v="30"/>
    <x v="0"/>
    <n v="1"/>
    <x v="2"/>
    <n v="2"/>
    <x v="0"/>
    <n v="2088"/>
    <n v="15062"/>
    <n v="4"/>
    <s v="Y"/>
    <s v="No"/>
    <n v="12"/>
    <x v="0"/>
    <n v="3"/>
    <n v="80"/>
    <n v="0"/>
    <n v="13"/>
    <n v="3"/>
    <n v="2"/>
    <n v="8"/>
    <n v="7"/>
    <n v="7"/>
    <n v="2"/>
  </r>
  <r>
    <n v="30"/>
    <x v="1"/>
    <x v="2"/>
    <n v="111"/>
    <x v="1"/>
    <n v="9"/>
    <n v="3"/>
    <s v="Medical"/>
    <n v="1"/>
    <n v="239"/>
    <n v="3"/>
    <x v="1"/>
    <n v="66"/>
    <x v="0"/>
    <n v="2"/>
    <x v="2"/>
    <n v="1"/>
    <x v="2"/>
    <n v="3072"/>
    <n v="11012"/>
    <n v="1"/>
    <s v="Y"/>
    <s v="No"/>
    <n v="11"/>
    <x v="0"/>
    <n v="3"/>
    <n v="80"/>
    <n v="2"/>
    <n v="12"/>
    <n v="4"/>
    <n v="3"/>
    <n v="12"/>
    <n v="9"/>
    <n v="6"/>
    <n v="10"/>
  </r>
  <r>
    <n v="45"/>
    <x v="1"/>
    <x v="0"/>
    <n v="1268"/>
    <x v="0"/>
    <n v="4"/>
    <n v="2"/>
    <s v="Life Sciences"/>
    <n v="1"/>
    <n v="240"/>
    <n v="3"/>
    <x v="0"/>
    <n v="30"/>
    <x v="0"/>
    <n v="2"/>
    <x v="0"/>
    <n v="1"/>
    <x v="2"/>
    <n v="5006"/>
    <n v="6319"/>
    <n v="4"/>
    <s v="Y"/>
    <s v="Yes"/>
    <n v="11"/>
    <x v="0"/>
    <n v="1"/>
    <n v="80"/>
    <n v="1"/>
    <n v="9"/>
    <n v="3"/>
    <n v="4"/>
    <n v="5"/>
    <n v="4"/>
    <n v="0"/>
    <n v="3"/>
  </r>
  <r>
    <n v="56"/>
    <x v="1"/>
    <x v="0"/>
    <n v="713"/>
    <x v="1"/>
    <n v="8"/>
    <n v="3"/>
    <s v="Life Sciences"/>
    <n v="1"/>
    <n v="241"/>
    <n v="3"/>
    <x v="0"/>
    <n v="67"/>
    <x v="0"/>
    <n v="1"/>
    <x v="1"/>
    <n v="1"/>
    <x v="2"/>
    <n v="4257"/>
    <n v="13939"/>
    <n v="4"/>
    <s v="Y"/>
    <s v="Yes"/>
    <n v="18"/>
    <x v="0"/>
    <n v="3"/>
    <n v="80"/>
    <n v="1"/>
    <n v="19"/>
    <n v="3"/>
    <n v="3"/>
    <n v="2"/>
    <n v="2"/>
    <n v="2"/>
    <n v="2"/>
  </r>
  <r>
    <n v="33"/>
    <x v="1"/>
    <x v="0"/>
    <n v="134"/>
    <x v="1"/>
    <n v="2"/>
    <n v="3"/>
    <s v="Life Sciences"/>
    <n v="1"/>
    <n v="242"/>
    <n v="3"/>
    <x v="1"/>
    <n v="90"/>
    <x v="0"/>
    <n v="1"/>
    <x v="1"/>
    <n v="4"/>
    <x v="0"/>
    <n v="2500"/>
    <n v="10515"/>
    <n v="0"/>
    <s v="Y"/>
    <s v="No"/>
    <n v="14"/>
    <x v="0"/>
    <n v="1"/>
    <n v="80"/>
    <n v="0"/>
    <n v="4"/>
    <n v="2"/>
    <n v="4"/>
    <n v="3"/>
    <n v="1"/>
    <n v="0"/>
    <n v="2"/>
  </r>
  <r>
    <n v="19"/>
    <x v="0"/>
    <x v="0"/>
    <n v="303"/>
    <x v="1"/>
    <n v="2"/>
    <n v="3"/>
    <s v="Life Sciences"/>
    <n v="1"/>
    <n v="243"/>
    <n v="2"/>
    <x v="1"/>
    <n v="47"/>
    <x v="1"/>
    <n v="1"/>
    <x v="2"/>
    <n v="4"/>
    <x v="0"/>
    <n v="1102"/>
    <n v="9241"/>
    <n v="1"/>
    <s v="Y"/>
    <s v="No"/>
    <n v="22"/>
    <x v="1"/>
    <n v="3"/>
    <n v="80"/>
    <n v="0"/>
    <n v="1"/>
    <n v="3"/>
    <n v="2"/>
    <n v="1"/>
    <n v="0"/>
    <n v="1"/>
    <n v="0"/>
  </r>
  <r>
    <n v="46"/>
    <x v="1"/>
    <x v="0"/>
    <n v="526"/>
    <x v="0"/>
    <n v="1"/>
    <n v="2"/>
    <s v="Marketing"/>
    <n v="1"/>
    <n v="244"/>
    <n v="2"/>
    <x v="0"/>
    <n v="92"/>
    <x v="0"/>
    <n v="3"/>
    <x v="0"/>
    <n v="1"/>
    <x v="2"/>
    <n v="10453"/>
    <n v="2137"/>
    <n v="1"/>
    <s v="Y"/>
    <s v="No"/>
    <n v="25"/>
    <x v="1"/>
    <n v="3"/>
    <n v="80"/>
    <n v="3"/>
    <n v="24"/>
    <n v="2"/>
    <n v="3"/>
    <n v="24"/>
    <n v="13"/>
    <n v="15"/>
    <n v="7"/>
  </r>
  <r>
    <n v="38"/>
    <x v="1"/>
    <x v="0"/>
    <n v="1380"/>
    <x v="1"/>
    <n v="9"/>
    <n v="2"/>
    <s v="Life Sciences"/>
    <n v="1"/>
    <n v="245"/>
    <n v="3"/>
    <x v="0"/>
    <n v="75"/>
    <x v="0"/>
    <n v="1"/>
    <x v="2"/>
    <n v="4"/>
    <x v="0"/>
    <n v="2288"/>
    <n v="6319"/>
    <n v="1"/>
    <s v="Y"/>
    <s v="No"/>
    <n v="12"/>
    <x v="0"/>
    <n v="3"/>
    <n v="80"/>
    <n v="0"/>
    <n v="2"/>
    <n v="3"/>
    <n v="3"/>
    <n v="2"/>
    <n v="2"/>
    <n v="2"/>
    <n v="1"/>
  </r>
  <r>
    <n v="31"/>
    <x v="1"/>
    <x v="0"/>
    <n v="140"/>
    <x v="1"/>
    <n v="12"/>
    <n v="1"/>
    <s v="Medical"/>
    <n v="1"/>
    <n v="246"/>
    <n v="3"/>
    <x v="0"/>
    <n v="95"/>
    <x v="0"/>
    <n v="1"/>
    <x v="1"/>
    <n v="4"/>
    <x v="1"/>
    <n v="3929"/>
    <n v="6984"/>
    <n v="8"/>
    <s v="Y"/>
    <s v="Yes"/>
    <n v="23"/>
    <x v="1"/>
    <n v="3"/>
    <n v="80"/>
    <n v="1"/>
    <n v="7"/>
    <n v="0"/>
    <n v="3"/>
    <n v="4"/>
    <n v="2"/>
    <n v="0"/>
    <n v="2"/>
  </r>
  <r>
    <n v="34"/>
    <x v="1"/>
    <x v="0"/>
    <n v="629"/>
    <x v="1"/>
    <n v="27"/>
    <n v="2"/>
    <s v="Medical"/>
    <n v="1"/>
    <n v="247"/>
    <n v="4"/>
    <x v="0"/>
    <n v="95"/>
    <x v="0"/>
    <n v="1"/>
    <x v="1"/>
    <n v="2"/>
    <x v="0"/>
    <n v="2311"/>
    <n v="5711"/>
    <n v="2"/>
    <s v="Y"/>
    <s v="No"/>
    <n v="15"/>
    <x v="0"/>
    <n v="4"/>
    <n v="80"/>
    <n v="0"/>
    <n v="9"/>
    <n v="3"/>
    <n v="3"/>
    <n v="3"/>
    <n v="2"/>
    <n v="1"/>
    <n v="2"/>
  </r>
  <r>
    <n v="41"/>
    <x v="0"/>
    <x v="0"/>
    <n v="1356"/>
    <x v="0"/>
    <n v="20"/>
    <n v="2"/>
    <s v="Marketing"/>
    <n v="1"/>
    <n v="248"/>
    <n v="2"/>
    <x v="0"/>
    <n v="70"/>
    <x v="0"/>
    <n v="1"/>
    <x v="6"/>
    <n v="2"/>
    <x v="0"/>
    <n v="3140"/>
    <n v="21728"/>
    <n v="1"/>
    <s v="Y"/>
    <s v="Yes"/>
    <n v="22"/>
    <x v="1"/>
    <n v="4"/>
    <n v="80"/>
    <n v="0"/>
    <n v="4"/>
    <n v="5"/>
    <n v="2"/>
    <n v="4"/>
    <n v="3"/>
    <n v="0"/>
    <n v="2"/>
  </r>
  <r>
    <n v="50"/>
    <x v="1"/>
    <x v="0"/>
    <n v="328"/>
    <x v="1"/>
    <n v="1"/>
    <n v="3"/>
    <s v="Medical"/>
    <n v="1"/>
    <n v="249"/>
    <n v="3"/>
    <x v="1"/>
    <n v="86"/>
    <x v="1"/>
    <n v="1"/>
    <x v="2"/>
    <n v="3"/>
    <x v="1"/>
    <n v="3690"/>
    <n v="3425"/>
    <n v="2"/>
    <s v="Y"/>
    <s v="No"/>
    <n v="15"/>
    <x v="0"/>
    <n v="4"/>
    <n v="80"/>
    <n v="1"/>
    <n v="5"/>
    <n v="2"/>
    <n v="2"/>
    <n v="3"/>
    <n v="2"/>
    <n v="0"/>
    <n v="2"/>
  </r>
  <r>
    <n v="53"/>
    <x v="1"/>
    <x v="0"/>
    <n v="1084"/>
    <x v="1"/>
    <n v="13"/>
    <n v="2"/>
    <s v="Medical"/>
    <n v="1"/>
    <n v="250"/>
    <n v="4"/>
    <x v="0"/>
    <n v="57"/>
    <x v="2"/>
    <n v="2"/>
    <x v="3"/>
    <n v="1"/>
    <x v="2"/>
    <n v="4450"/>
    <n v="26250"/>
    <n v="1"/>
    <s v="Y"/>
    <s v="No"/>
    <n v="11"/>
    <x v="0"/>
    <n v="3"/>
    <n v="80"/>
    <n v="2"/>
    <n v="5"/>
    <n v="3"/>
    <n v="3"/>
    <n v="4"/>
    <n v="2"/>
    <n v="1"/>
    <n v="3"/>
  </r>
  <r>
    <n v="33"/>
    <x v="1"/>
    <x v="0"/>
    <n v="931"/>
    <x v="1"/>
    <n v="14"/>
    <n v="3"/>
    <s v="Medical"/>
    <n v="1"/>
    <n v="252"/>
    <n v="4"/>
    <x v="0"/>
    <n v="72"/>
    <x v="0"/>
    <n v="1"/>
    <x v="1"/>
    <n v="2"/>
    <x v="1"/>
    <n v="2756"/>
    <n v="4673"/>
    <n v="1"/>
    <s v="Y"/>
    <s v="No"/>
    <n v="13"/>
    <x v="0"/>
    <n v="4"/>
    <n v="80"/>
    <n v="1"/>
    <n v="8"/>
    <n v="5"/>
    <n v="3"/>
    <n v="8"/>
    <n v="7"/>
    <n v="1"/>
    <n v="6"/>
  </r>
  <r>
    <n v="40"/>
    <x v="1"/>
    <x v="0"/>
    <n v="989"/>
    <x v="1"/>
    <n v="4"/>
    <n v="1"/>
    <s v="Medical"/>
    <n v="1"/>
    <n v="253"/>
    <n v="4"/>
    <x v="0"/>
    <n v="46"/>
    <x v="0"/>
    <n v="5"/>
    <x v="5"/>
    <n v="3"/>
    <x v="1"/>
    <n v="19033"/>
    <n v="6499"/>
    <n v="1"/>
    <s v="Y"/>
    <s v="No"/>
    <n v="14"/>
    <x v="0"/>
    <n v="2"/>
    <n v="80"/>
    <n v="1"/>
    <n v="21"/>
    <n v="2"/>
    <n v="3"/>
    <n v="20"/>
    <n v="8"/>
    <n v="9"/>
    <n v="9"/>
  </r>
  <r>
    <n v="55"/>
    <x v="1"/>
    <x v="0"/>
    <n v="692"/>
    <x v="1"/>
    <n v="14"/>
    <n v="4"/>
    <s v="Medical"/>
    <n v="1"/>
    <n v="254"/>
    <n v="3"/>
    <x v="1"/>
    <n v="61"/>
    <x v="2"/>
    <n v="5"/>
    <x v="7"/>
    <n v="2"/>
    <x v="0"/>
    <n v="18722"/>
    <n v="13339"/>
    <n v="8"/>
    <s v="Y"/>
    <s v="No"/>
    <n v="11"/>
    <x v="0"/>
    <n v="4"/>
    <n v="80"/>
    <n v="0"/>
    <n v="36"/>
    <n v="3"/>
    <n v="3"/>
    <n v="24"/>
    <n v="15"/>
    <n v="2"/>
    <n v="15"/>
  </r>
  <r>
    <n v="34"/>
    <x v="1"/>
    <x v="1"/>
    <n v="1069"/>
    <x v="1"/>
    <n v="2"/>
    <n v="1"/>
    <s v="Life Sciences"/>
    <n v="1"/>
    <n v="256"/>
    <n v="4"/>
    <x v="1"/>
    <n v="45"/>
    <x v="1"/>
    <n v="2"/>
    <x v="3"/>
    <n v="3"/>
    <x v="1"/>
    <n v="9547"/>
    <n v="14074"/>
    <n v="1"/>
    <s v="Y"/>
    <s v="No"/>
    <n v="17"/>
    <x v="0"/>
    <n v="3"/>
    <n v="80"/>
    <n v="0"/>
    <n v="10"/>
    <n v="2"/>
    <n v="2"/>
    <n v="10"/>
    <n v="9"/>
    <n v="1"/>
    <n v="9"/>
  </r>
  <r>
    <n v="51"/>
    <x v="1"/>
    <x v="0"/>
    <n v="313"/>
    <x v="1"/>
    <n v="3"/>
    <n v="3"/>
    <s v="Medical"/>
    <n v="1"/>
    <n v="258"/>
    <n v="4"/>
    <x v="0"/>
    <n v="98"/>
    <x v="0"/>
    <n v="4"/>
    <x v="4"/>
    <n v="2"/>
    <x v="0"/>
    <n v="13734"/>
    <n v="7192"/>
    <n v="3"/>
    <s v="Y"/>
    <s v="No"/>
    <n v="18"/>
    <x v="0"/>
    <n v="3"/>
    <n v="80"/>
    <n v="0"/>
    <n v="21"/>
    <n v="6"/>
    <n v="3"/>
    <n v="7"/>
    <n v="7"/>
    <n v="1"/>
    <n v="0"/>
  </r>
  <r>
    <n v="52"/>
    <x v="1"/>
    <x v="0"/>
    <n v="699"/>
    <x v="1"/>
    <n v="1"/>
    <n v="4"/>
    <s v="Life Sciences"/>
    <n v="1"/>
    <n v="259"/>
    <n v="3"/>
    <x v="1"/>
    <n v="65"/>
    <x v="1"/>
    <n v="5"/>
    <x v="5"/>
    <n v="3"/>
    <x v="1"/>
    <n v="19999"/>
    <n v="5678"/>
    <n v="0"/>
    <s v="Y"/>
    <s v="No"/>
    <n v="14"/>
    <x v="0"/>
    <n v="1"/>
    <n v="80"/>
    <n v="1"/>
    <n v="34"/>
    <n v="5"/>
    <n v="3"/>
    <n v="33"/>
    <n v="18"/>
    <n v="11"/>
    <n v="9"/>
  </r>
  <r>
    <n v="27"/>
    <x v="1"/>
    <x v="0"/>
    <n v="894"/>
    <x v="1"/>
    <n v="9"/>
    <n v="3"/>
    <s v="Medical"/>
    <n v="1"/>
    <n v="260"/>
    <n v="4"/>
    <x v="0"/>
    <n v="99"/>
    <x v="0"/>
    <n v="1"/>
    <x v="1"/>
    <n v="2"/>
    <x v="0"/>
    <n v="2279"/>
    <n v="11781"/>
    <n v="1"/>
    <s v="Y"/>
    <s v="No"/>
    <n v="16"/>
    <x v="0"/>
    <n v="4"/>
    <n v="80"/>
    <n v="0"/>
    <n v="7"/>
    <n v="2"/>
    <n v="2"/>
    <n v="7"/>
    <n v="7"/>
    <n v="0"/>
    <n v="3"/>
  </r>
  <r>
    <n v="35"/>
    <x v="0"/>
    <x v="0"/>
    <n v="556"/>
    <x v="1"/>
    <n v="23"/>
    <n v="2"/>
    <s v="Life Sciences"/>
    <n v="1"/>
    <n v="261"/>
    <n v="2"/>
    <x v="1"/>
    <n v="50"/>
    <x v="1"/>
    <n v="2"/>
    <x v="3"/>
    <n v="3"/>
    <x v="1"/>
    <n v="5916"/>
    <n v="15497"/>
    <n v="3"/>
    <s v="Y"/>
    <s v="Yes"/>
    <n v="13"/>
    <x v="0"/>
    <n v="1"/>
    <n v="80"/>
    <n v="0"/>
    <n v="8"/>
    <n v="1"/>
    <n v="3"/>
    <n v="1"/>
    <n v="0"/>
    <n v="0"/>
    <n v="1"/>
  </r>
  <r>
    <n v="43"/>
    <x v="1"/>
    <x v="2"/>
    <n v="1344"/>
    <x v="1"/>
    <n v="7"/>
    <n v="3"/>
    <s v="Medical"/>
    <n v="1"/>
    <n v="262"/>
    <n v="4"/>
    <x v="1"/>
    <n v="37"/>
    <x v="2"/>
    <n v="1"/>
    <x v="1"/>
    <n v="4"/>
    <x v="2"/>
    <n v="2089"/>
    <n v="5228"/>
    <n v="4"/>
    <s v="Y"/>
    <s v="No"/>
    <n v="14"/>
    <x v="0"/>
    <n v="4"/>
    <n v="80"/>
    <n v="3"/>
    <n v="7"/>
    <n v="3"/>
    <n v="4"/>
    <n v="5"/>
    <n v="4"/>
    <n v="2"/>
    <n v="2"/>
  </r>
  <r>
    <n v="45"/>
    <x v="1"/>
    <x v="2"/>
    <n v="1195"/>
    <x v="1"/>
    <n v="2"/>
    <n v="2"/>
    <s v="Medical"/>
    <n v="1"/>
    <n v="264"/>
    <n v="1"/>
    <x v="1"/>
    <n v="65"/>
    <x v="1"/>
    <n v="4"/>
    <x v="5"/>
    <n v="4"/>
    <x v="1"/>
    <n v="16792"/>
    <n v="20462"/>
    <n v="9"/>
    <s v="Y"/>
    <s v="No"/>
    <n v="23"/>
    <x v="1"/>
    <n v="4"/>
    <n v="80"/>
    <n v="1"/>
    <n v="22"/>
    <n v="1"/>
    <n v="3"/>
    <n v="20"/>
    <n v="8"/>
    <n v="11"/>
    <n v="8"/>
  </r>
  <r>
    <n v="37"/>
    <x v="1"/>
    <x v="0"/>
    <n v="290"/>
    <x v="1"/>
    <n v="21"/>
    <n v="3"/>
    <s v="Life Sciences"/>
    <n v="1"/>
    <n v="267"/>
    <n v="2"/>
    <x v="1"/>
    <n v="65"/>
    <x v="2"/>
    <n v="1"/>
    <x v="1"/>
    <n v="1"/>
    <x v="1"/>
    <n v="3564"/>
    <n v="22977"/>
    <n v="1"/>
    <s v="Y"/>
    <s v="Yes"/>
    <n v="12"/>
    <x v="0"/>
    <n v="1"/>
    <n v="80"/>
    <n v="1"/>
    <n v="8"/>
    <n v="3"/>
    <n v="2"/>
    <n v="8"/>
    <n v="7"/>
    <n v="1"/>
    <n v="7"/>
  </r>
  <r>
    <n v="35"/>
    <x v="1"/>
    <x v="1"/>
    <n v="138"/>
    <x v="1"/>
    <n v="2"/>
    <n v="3"/>
    <s v="Medical"/>
    <n v="1"/>
    <n v="269"/>
    <n v="2"/>
    <x v="0"/>
    <n v="37"/>
    <x v="0"/>
    <n v="2"/>
    <x v="2"/>
    <n v="2"/>
    <x v="0"/>
    <n v="4425"/>
    <n v="15986"/>
    <n v="5"/>
    <s v="Y"/>
    <s v="No"/>
    <n v="11"/>
    <x v="0"/>
    <n v="4"/>
    <n v="80"/>
    <n v="0"/>
    <n v="10"/>
    <n v="5"/>
    <n v="3"/>
    <n v="6"/>
    <n v="2"/>
    <n v="1"/>
    <n v="2"/>
  </r>
  <r>
    <n v="42"/>
    <x v="1"/>
    <x v="2"/>
    <n v="926"/>
    <x v="1"/>
    <n v="21"/>
    <n v="2"/>
    <s v="Medical"/>
    <n v="1"/>
    <n v="270"/>
    <n v="3"/>
    <x v="0"/>
    <n v="36"/>
    <x v="0"/>
    <n v="2"/>
    <x v="3"/>
    <n v="3"/>
    <x v="2"/>
    <n v="5265"/>
    <n v="16439"/>
    <n v="2"/>
    <s v="Y"/>
    <s v="No"/>
    <n v="16"/>
    <x v="0"/>
    <n v="2"/>
    <n v="80"/>
    <n v="1"/>
    <n v="11"/>
    <n v="5"/>
    <n v="3"/>
    <n v="5"/>
    <n v="3"/>
    <n v="0"/>
    <n v="2"/>
  </r>
  <r>
    <n v="38"/>
    <x v="1"/>
    <x v="0"/>
    <n v="1261"/>
    <x v="1"/>
    <n v="2"/>
    <n v="4"/>
    <s v="Life Sciences"/>
    <n v="1"/>
    <n v="271"/>
    <n v="4"/>
    <x v="1"/>
    <n v="88"/>
    <x v="0"/>
    <n v="2"/>
    <x v="3"/>
    <n v="3"/>
    <x v="1"/>
    <n v="6553"/>
    <n v="7259"/>
    <n v="9"/>
    <s v="Y"/>
    <s v="No"/>
    <n v="14"/>
    <x v="0"/>
    <n v="2"/>
    <n v="80"/>
    <n v="0"/>
    <n v="14"/>
    <n v="3"/>
    <n v="3"/>
    <n v="1"/>
    <n v="0"/>
    <n v="0"/>
    <n v="0"/>
  </r>
  <r>
    <n v="38"/>
    <x v="1"/>
    <x v="0"/>
    <n v="1084"/>
    <x v="1"/>
    <n v="29"/>
    <n v="3"/>
    <s v="Technical Degree"/>
    <n v="1"/>
    <n v="273"/>
    <n v="4"/>
    <x v="1"/>
    <n v="54"/>
    <x v="0"/>
    <n v="2"/>
    <x v="3"/>
    <n v="4"/>
    <x v="1"/>
    <n v="6261"/>
    <n v="4185"/>
    <n v="3"/>
    <s v="Y"/>
    <s v="No"/>
    <n v="18"/>
    <x v="0"/>
    <n v="1"/>
    <n v="80"/>
    <n v="1"/>
    <n v="9"/>
    <n v="3"/>
    <n v="1"/>
    <n v="7"/>
    <n v="7"/>
    <n v="1"/>
    <n v="7"/>
  </r>
  <r>
    <n v="27"/>
    <x v="1"/>
    <x v="1"/>
    <n v="472"/>
    <x v="1"/>
    <n v="1"/>
    <n v="1"/>
    <s v="Technical Degree"/>
    <n v="1"/>
    <n v="274"/>
    <n v="3"/>
    <x v="1"/>
    <n v="60"/>
    <x v="1"/>
    <n v="2"/>
    <x v="3"/>
    <n v="1"/>
    <x v="1"/>
    <n v="4298"/>
    <n v="9679"/>
    <n v="5"/>
    <s v="Y"/>
    <s v="No"/>
    <n v="19"/>
    <x v="0"/>
    <n v="3"/>
    <n v="80"/>
    <n v="1"/>
    <n v="6"/>
    <n v="1"/>
    <n v="3"/>
    <n v="2"/>
    <n v="2"/>
    <n v="2"/>
    <n v="0"/>
  </r>
  <r>
    <n v="49"/>
    <x v="1"/>
    <x v="2"/>
    <n v="1002"/>
    <x v="1"/>
    <n v="18"/>
    <n v="4"/>
    <s v="Life Sciences"/>
    <n v="1"/>
    <n v="275"/>
    <n v="4"/>
    <x v="1"/>
    <n v="92"/>
    <x v="0"/>
    <n v="2"/>
    <x v="3"/>
    <n v="4"/>
    <x v="2"/>
    <n v="6804"/>
    <n v="23793"/>
    <n v="1"/>
    <s v="Y"/>
    <s v="Yes"/>
    <n v="15"/>
    <x v="0"/>
    <n v="1"/>
    <n v="80"/>
    <n v="2"/>
    <n v="7"/>
    <n v="0"/>
    <n v="3"/>
    <n v="7"/>
    <n v="7"/>
    <n v="1"/>
    <n v="7"/>
  </r>
  <r>
    <n v="34"/>
    <x v="1"/>
    <x v="1"/>
    <n v="878"/>
    <x v="1"/>
    <n v="10"/>
    <n v="4"/>
    <s v="Medical"/>
    <n v="1"/>
    <n v="277"/>
    <n v="4"/>
    <x v="1"/>
    <n v="43"/>
    <x v="0"/>
    <n v="1"/>
    <x v="1"/>
    <n v="3"/>
    <x v="2"/>
    <n v="3815"/>
    <n v="5972"/>
    <n v="1"/>
    <s v="Y"/>
    <s v="Yes"/>
    <n v="17"/>
    <x v="0"/>
    <n v="4"/>
    <n v="80"/>
    <n v="1"/>
    <n v="5"/>
    <n v="4"/>
    <n v="4"/>
    <n v="5"/>
    <n v="3"/>
    <n v="2"/>
    <n v="0"/>
  </r>
  <r>
    <n v="40"/>
    <x v="1"/>
    <x v="0"/>
    <n v="905"/>
    <x v="1"/>
    <n v="19"/>
    <n v="2"/>
    <s v="Medical"/>
    <n v="1"/>
    <n v="281"/>
    <n v="3"/>
    <x v="1"/>
    <n v="99"/>
    <x v="0"/>
    <n v="2"/>
    <x v="2"/>
    <n v="4"/>
    <x v="1"/>
    <n v="2741"/>
    <n v="16523"/>
    <n v="8"/>
    <s v="Y"/>
    <s v="Yes"/>
    <n v="15"/>
    <x v="0"/>
    <n v="3"/>
    <n v="80"/>
    <n v="1"/>
    <n v="15"/>
    <n v="2"/>
    <n v="4"/>
    <n v="7"/>
    <n v="2"/>
    <n v="3"/>
    <n v="7"/>
  </r>
  <r>
    <n v="38"/>
    <x v="0"/>
    <x v="0"/>
    <n v="1180"/>
    <x v="1"/>
    <n v="29"/>
    <n v="1"/>
    <s v="Medical"/>
    <n v="1"/>
    <n v="282"/>
    <n v="2"/>
    <x v="1"/>
    <n v="70"/>
    <x v="0"/>
    <n v="2"/>
    <x v="4"/>
    <n v="1"/>
    <x v="1"/>
    <n v="6673"/>
    <n v="11354"/>
    <n v="7"/>
    <s v="Y"/>
    <s v="Yes"/>
    <n v="19"/>
    <x v="0"/>
    <n v="2"/>
    <n v="80"/>
    <n v="0"/>
    <n v="17"/>
    <n v="2"/>
    <n v="3"/>
    <n v="1"/>
    <n v="0"/>
    <n v="0"/>
    <n v="0"/>
  </r>
  <r>
    <n v="29"/>
    <x v="0"/>
    <x v="0"/>
    <n v="121"/>
    <x v="0"/>
    <n v="27"/>
    <n v="3"/>
    <s v="Marketing"/>
    <n v="1"/>
    <n v="283"/>
    <n v="2"/>
    <x v="0"/>
    <n v="35"/>
    <x v="0"/>
    <n v="3"/>
    <x v="0"/>
    <n v="4"/>
    <x v="1"/>
    <n v="7639"/>
    <n v="24525"/>
    <n v="1"/>
    <s v="Y"/>
    <s v="No"/>
    <n v="22"/>
    <x v="1"/>
    <n v="4"/>
    <n v="80"/>
    <n v="3"/>
    <n v="10"/>
    <n v="3"/>
    <n v="2"/>
    <n v="10"/>
    <n v="4"/>
    <n v="1"/>
    <n v="9"/>
  </r>
  <r>
    <n v="22"/>
    <x v="1"/>
    <x v="0"/>
    <n v="1136"/>
    <x v="1"/>
    <n v="5"/>
    <n v="3"/>
    <s v="Life Sciences"/>
    <n v="1"/>
    <n v="284"/>
    <n v="4"/>
    <x v="1"/>
    <n v="60"/>
    <x v="2"/>
    <n v="1"/>
    <x v="1"/>
    <n v="2"/>
    <x v="2"/>
    <n v="2328"/>
    <n v="12392"/>
    <n v="1"/>
    <s v="Y"/>
    <s v="Yes"/>
    <n v="16"/>
    <x v="0"/>
    <n v="1"/>
    <n v="80"/>
    <n v="1"/>
    <n v="4"/>
    <n v="2"/>
    <n v="2"/>
    <n v="4"/>
    <n v="2"/>
    <n v="2"/>
    <n v="2"/>
  </r>
  <r>
    <n v="36"/>
    <x v="1"/>
    <x v="1"/>
    <n v="635"/>
    <x v="1"/>
    <n v="18"/>
    <n v="1"/>
    <s v="Medical"/>
    <n v="1"/>
    <n v="286"/>
    <n v="2"/>
    <x v="0"/>
    <n v="73"/>
    <x v="0"/>
    <n v="1"/>
    <x v="2"/>
    <n v="4"/>
    <x v="0"/>
    <n v="2153"/>
    <n v="7703"/>
    <n v="1"/>
    <s v="Y"/>
    <s v="No"/>
    <n v="13"/>
    <x v="0"/>
    <n v="1"/>
    <n v="80"/>
    <n v="0"/>
    <n v="8"/>
    <n v="2"/>
    <n v="3"/>
    <n v="8"/>
    <n v="1"/>
    <n v="1"/>
    <n v="7"/>
  </r>
  <r>
    <n v="40"/>
    <x v="1"/>
    <x v="2"/>
    <n v="1151"/>
    <x v="1"/>
    <n v="9"/>
    <n v="5"/>
    <s v="Life Sciences"/>
    <n v="1"/>
    <n v="287"/>
    <n v="4"/>
    <x v="1"/>
    <n v="63"/>
    <x v="1"/>
    <n v="2"/>
    <x v="4"/>
    <n v="4"/>
    <x v="1"/>
    <n v="4876"/>
    <n v="14242"/>
    <n v="9"/>
    <s v="Y"/>
    <s v="No"/>
    <n v="14"/>
    <x v="0"/>
    <n v="4"/>
    <n v="80"/>
    <n v="1"/>
    <n v="5"/>
    <n v="5"/>
    <n v="1"/>
    <n v="3"/>
    <n v="2"/>
    <n v="0"/>
    <n v="2"/>
  </r>
  <r>
    <n v="46"/>
    <x v="1"/>
    <x v="0"/>
    <n v="644"/>
    <x v="1"/>
    <n v="1"/>
    <n v="4"/>
    <s v="Medical"/>
    <n v="1"/>
    <n v="288"/>
    <n v="4"/>
    <x v="1"/>
    <n v="97"/>
    <x v="0"/>
    <n v="3"/>
    <x v="4"/>
    <n v="1"/>
    <x v="2"/>
    <n v="9396"/>
    <n v="12368"/>
    <n v="7"/>
    <s v="Y"/>
    <s v="No"/>
    <n v="16"/>
    <x v="0"/>
    <n v="3"/>
    <n v="80"/>
    <n v="1"/>
    <n v="17"/>
    <n v="3"/>
    <n v="3"/>
    <n v="4"/>
    <n v="2"/>
    <n v="0"/>
    <n v="3"/>
  </r>
  <r>
    <n v="32"/>
    <x v="0"/>
    <x v="0"/>
    <n v="1045"/>
    <x v="0"/>
    <n v="4"/>
    <n v="4"/>
    <s v="Medical"/>
    <n v="1"/>
    <n v="291"/>
    <n v="4"/>
    <x v="1"/>
    <n v="32"/>
    <x v="3"/>
    <n v="3"/>
    <x v="0"/>
    <n v="4"/>
    <x v="1"/>
    <n v="10400"/>
    <n v="25812"/>
    <n v="1"/>
    <s v="Y"/>
    <s v="No"/>
    <n v="11"/>
    <x v="0"/>
    <n v="3"/>
    <n v="80"/>
    <n v="0"/>
    <n v="14"/>
    <n v="2"/>
    <n v="2"/>
    <n v="14"/>
    <n v="8"/>
    <n v="9"/>
    <n v="8"/>
  </r>
  <r>
    <n v="30"/>
    <x v="1"/>
    <x v="2"/>
    <n v="829"/>
    <x v="1"/>
    <n v="1"/>
    <n v="1"/>
    <s v="Life Sciences"/>
    <n v="1"/>
    <n v="292"/>
    <n v="3"/>
    <x v="1"/>
    <n v="88"/>
    <x v="1"/>
    <n v="3"/>
    <x v="3"/>
    <n v="3"/>
    <x v="0"/>
    <n v="8474"/>
    <n v="20925"/>
    <n v="1"/>
    <s v="Y"/>
    <s v="No"/>
    <n v="22"/>
    <x v="1"/>
    <n v="3"/>
    <n v="80"/>
    <n v="0"/>
    <n v="12"/>
    <n v="2"/>
    <n v="3"/>
    <n v="11"/>
    <n v="8"/>
    <n v="5"/>
    <n v="8"/>
  </r>
  <r>
    <n v="27"/>
    <x v="1"/>
    <x v="1"/>
    <n v="1242"/>
    <x v="0"/>
    <n v="20"/>
    <n v="3"/>
    <s v="Life Sciences"/>
    <n v="1"/>
    <n v="293"/>
    <n v="4"/>
    <x v="0"/>
    <n v="90"/>
    <x v="0"/>
    <n v="2"/>
    <x v="0"/>
    <n v="3"/>
    <x v="0"/>
    <n v="9981"/>
    <n v="12916"/>
    <n v="1"/>
    <s v="Y"/>
    <s v="No"/>
    <n v="14"/>
    <x v="0"/>
    <n v="4"/>
    <n v="80"/>
    <n v="0"/>
    <n v="7"/>
    <n v="2"/>
    <n v="3"/>
    <n v="7"/>
    <n v="7"/>
    <n v="0"/>
    <n v="7"/>
  </r>
  <r>
    <n v="51"/>
    <x v="1"/>
    <x v="0"/>
    <n v="1469"/>
    <x v="1"/>
    <n v="8"/>
    <n v="4"/>
    <s v="Life Sciences"/>
    <n v="1"/>
    <n v="296"/>
    <n v="2"/>
    <x v="1"/>
    <n v="81"/>
    <x v="1"/>
    <n v="3"/>
    <x v="7"/>
    <n v="2"/>
    <x v="1"/>
    <n v="12490"/>
    <n v="15736"/>
    <n v="5"/>
    <s v="Y"/>
    <s v="No"/>
    <n v="16"/>
    <x v="0"/>
    <n v="4"/>
    <n v="80"/>
    <n v="2"/>
    <n v="16"/>
    <n v="5"/>
    <n v="1"/>
    <n v="10"/>
    <n v="9"/>
    <n v="4"/>
    <n v="7"/>
  </r>
  <r>
    <n v="30"/>
    <x v="0"/>
    <x v="0"/>
    <n v="1005"/>
    <x v="1"/>
    <n v="3"/>
    <n v="3"/>
    <s v="Technical Degree"/>
    <n v="1"/>
    <n v="297"/>
    <n v="4"/>
    <x v="0"/>
    <n v="88"/>
    <x v="0"/>
    <n v="1"/>
    <x v="1"/>
    <n v="1"/>
    <x v="0"/>
    <n v="2657"/>
    <n v="8556"/>
    <n v="5"/>
    <s v="Y"/>
    <s v="Yes"/>
    <n v="11"/>
    <x v="0"/>
    <n v="3"/>
    <n v="80"/>
    <n v="0"/>
    <n v="8"/>
    <n v="5"/>
    <n v="3"/>
    <n v="5"/>
    <n v="2"/>
    <n v="0"/>
    <n v="4"/>
  </r>
  <r>
    <n v="41"/>
    <x v="1"/>
    <x v="0"/>
    <n v="896"/>
    <x v="0"/>
    <n v="6"/>
    <n v="3"/>
    <s v="Life Sciences"/>
    <n v="1"/>
    <n v="298"/>
    <n v="4"/>
    <x v="0"/>
    <n v="75"/>
    <x v="0"/>
    <n v="3"/>
    <x v="5"/>
    <n v="4"/>
    <x v="0"/>
    <n v="13591"/>
    <n v="14674"/>
    <n v="3"/>
    <s v="Y"/>
    <s v="Yes"/>
    <n v="18"/>
    <x v="0"/>
    <n v="3"/>
    <n v="80"/>
    <n v="0"/>
    <n v="16"/>
    <n v="3"/>
    <n v="3"/>
    <n v="1"/>
    <n v="0"/>
    <n v="0"/>
    <n v="0"/>
  </r>
  <r>
    <n v="30"/>
    <x v="0"/>
    <x v="1"/>
    <n v="334"/>
    <x v="0"/>
    <n v="26"/>
    <n v="4"/>
    <s v="Marketing"/>
    <n v="1"/>
    <n v="299"/>
    <n v="3"/>
    <x v="0"/>
    <n v="52"/>
    <x v="1"/>
    <n v="2"/>
    <x v="0"/>
    <n v="1"/>
    <x v="0"/>
    <n v="6696"/>
    <n v="22967"/>
    <n v="5"/>
    <s v="Y"/>
    <s v="No"/>
    <n v="15"/>
    <x v="0"/>
    <n v="3"/>
    <n v="80"/>
    <n v="0"/>
    <n v="9"/>
    <n v="5"/>
    <n v="2"/>
    <n v="6"/>
    <n v="3"/>
    <n v="0"/>
    <n v="1"/>
  </r>
  <r>
    <n v="29"/>
    <x v="0"/>
    <x v="0"/>
    <n v="992"/>
    <x v="1"/>
    <n v="1"/>
    <n v="3"/>
    <s v="Technical Degree"/>
    <n v="1"/>
    <n v="300"/>
    <n v="3"/>
    <x v="1"/>
    <n v="85"/>
    <x v="0"/>
    <n v="1"/>
    <x v="1"/>
    <n v="3"/>
    <x v="0"/>
    <n v="2058"/>
    <n v="19757"/>
    <n v="0"/>
    <s v="Y"/>
    <s v="No"/>
    <n v="14"/>
    <x v="0"/>
    <n v="4"/>
    <n v="80"/>
    <n v="0"/>
    <n v="7"/>
    <n v="1"/>
    <n v="2"/>
    <n v="6"/>
    <n v="2"/>
    <n v="1"/>
    <n v="5"/>
  </r>
  <r>
    <n v="45"/>
    <x v="1"/>
    <x v="2"/>
    <n v="1052"/>
    <x v="0"/>
    <n v="6"/>
    <n v="3"/>
    <s v="Medical"/>
    <n v="1"/>
    <n v="302"/>
    <n v="4"/>
    <x v="0"/>
    <n v="57"/>
    <x v="1"/>
    <n v="3"/>
    <x v="0"/>
    <n v="4"/>
    <x v="0"/>
    <n v="8865"/>
    <n v="16840"/>
    <n v="6"/>
    <s v="Y"/>
    <s v="No"/>
    <n v="12"/>
    <x v="0"/>
    <n v="4"/>
    <n v="80"/>
    <n v="0"/>
    <n v="23"/>
    <n v="2"/>
    <n v="3"/>
    <n v="19"/>
    <n v="7"/>
    <n v="12"/>
    <n v="8"/>
  </r>
  <r>
    <n v="54"/>
    <x v="1"/>
    <x v="0"/>
    <n v="1147"/>
    <x v="0"/>
    <n v="3"/>
    <n v="3"/>
    <s v="Marketing"/>
    <n v="1"/>
    <n v="303"/>
    <n v="4"/>
    <x v="0"/>
    <n v="52"/>
    <x v="0"/>
    <n v="2"/>
    <x v="0"/>
    <n v="1"/>
    <x v="1"/>
    <n v="5940"/>
    <n v="17011"/>
    <n v="2"/>
    <s v="Y"/>
    <s v="No"/>
    <n v="14"/>
    <x v="0"/>
    <n v="4"/>
    <n v="80"/>
    <n v="1"/>
    <n v="16"/>
    <n v="4"/>
    <n v="3"/>
    <n v="6"/>
    <n v="2"/>
    <n v="0"/>
    <n v="5"/>
  </r>
  <r>
    <n v="36"/>
    <x v="1"/>
    <x v="0"/>
    <n v="1396"/>
    <x v="1"/>
    <n v="5"/>
    <n v="2"/>
    <s v="Life Sciences"/>
    <n v="1"/>
    <n v="304"/>
    <n v="4"/>
    <x v="1"/>
    <n v="62"/>
    <x v="0"/>
    <n v="2"/>
    <x v="2"/>
    <n v="2"/>
    <x v="0"/>
    <n v="5914"/>
    <n v="9945"/>
    <n v="8"/>
    <s v="Y"/>
    <s v="No"/>
    <n v="16"/>
    <x v="0"/>
    <n v="4"/>
    <n v="80"/>
    <n v="0"/>
    <n v="16"/>
    <n v="3"/>
    <n v="4"/>
    <n v="13"/>
    <n v="11"/>
    <n v="3"/>
    <n v="7"/>
  </r>
  <r>
    <n v="33"/>
    <x v="1"/>
    <x v="0"/>
    <n v="147"/>
    <x v="1"/>
    <n v="4"/>
    <n v="4"/>
    <s v="Medical"/>
    <n v="1"/>
    <n v="305"/>
    <n v="3"/>
    <x v="0"/>
    <n v="47"/>
    <x v="1"/>
    <n v="1"/>
    <x v="1"/>
    <n v="2"/>
    <x v="1"/>
    <n v="2622"/>
    <n v="13248"/>
    <n v="6"/>
    <s v="Y"/>
    <s v="No"/>
    <n v="21"/>
    <x v="1"/>
    <n v="4"/>
    <n v="80"/>
    <n v="0"/>
    <n v="7"/>
    <n v="3"/>
    <n v="3"/>
    <n v="3"/>
    <n v="2"/>
    <n v="1"/>
    <n v="1"/>
  </r>
  <r>
    <n v="37"/>
    <x v="1"/>
    <x v="1"/>
    <n v="663"/>
    <x v="1"/>
    <n v="11"/>
    <n v="3"/>
    <s v="Other"/>
    <n v="1"/>
    <n v="306"/>
    <n v="2"/>
    <x v="1"/>
    <n v="47"/>
    <x v="0"/>
    <n v="3"/>
    <x v="7"/>
    <n v="4"/>
    <x v="2"/>
    <n v="12185"/>
    <n v="10056"/>
    <n v="1"/>
    <s v="Y"/>
    <s v="Yes"/>
    <n v="14"/>
    <x v="0"/>
    <n v="3"/>
    <n v="80"/>
    <n v="3"/>
    <n v="10"/>
    <n v="1"/>
    <n v="3"/>
    <n v="10"/>
    <n v="8"/>
    <n v="0"/>
    <n v="7"/>
  </r>
  <r>
    <n v="38"/>
    <x v="1"/>
    <x v="0"/>
    <n v="119"/>
    <x v="0"/>
    <n v="3"/>
    <n v="3"/>
    <s v="Life Sciences"/>
    <n v="1"/>
    <n v="307"/>
    <n v="1"/>
    <x v="1"/>
    <n v="76"/>
    <x v="0"/>
    <n v="3"/>
    <x v="0"/>
    <n v="3"/>
    <x v="2"/>
    <n v="10609"/>
    <n v="9647"/>
    <n v="0"/>
    <s v="Y"/>
    <s v="No"/>
    <n v="12"/>
    <x v="0"/>
    <n v="3"/>
    <n v="80"/>
    <n v="2"/>
    <n v="17"/>
    <n v="6"/>
    <n v="2"/>
    <n v="16"/>
    <n v="10"/>
    <n v="5"/>
    <n v="13"/>
  </r>
  <r>
    <n v="31"/>
    <x v="1"/>
    <x v="2"/>
    <n v="979"/>
    <x v="1"/>
    <n v="1"/>
    <n v="4"/>
    <s v="Medical"/>
    <n v="1"/>
    <n v="308"/>
    <n v="3"/>
    <x v="1"/>
    <n v="90"/>
    <x v="3"/>
    <n v="2"/>
    <x v="3"/>
    <n v="3"/>
    <x v="1"/>
    <n v="4345"/>
    <n v="4381"/>
    <n v="0"/>
    <s v="Y"/>
    <s v="No"/>
    <n v="12"/>
    <x v="0"/>
    <n v="4"/>
    <n v="80"/>
    <n v="1"/>
    <n v="6"/>
    <n v="2"/>
    <n v="3"/>
    <n v="5"/>
    <n v="4"/>
    <n v="1"/>
    <n v="4"/>
  </r>
  <r>
    <n v="59"/>
    <x v="1"/>
    <x v="0"/>
    <n v="142"/>
    <x v="1"/>
    <n v="3"/>
    <n v="3"/>
    <s v="Life Sciences"/>
    <n v="1"/>
    <n v="309"/>
    <n v="3"/>
    <x v="1"/>
    <n v="70"/>
    <x v="1"/>
    <n v="1"/>
    <x v="1"/>
    <n v="4"/>
    <x v="1"/>
    <n v="2177"/>
    <n v="8456"/>
    <n v="3"/>
    <s v="Y"/>
    <s v="No"/>
    <n v="17"/>
    <x v="0"/>
    <n v="1"/>
    <n v="80"/>
    <n v="1"/>
    <n v="7"/>
    <n v="6"/>
    <n v="3"/>
    <n v="1"/>
    <n v="0"/>
    <n v="0"/>
    <n v="0"/>
  </r>
  <r>
    <n v="37"/>
    <x v="1"/>
    <x v="1"/>
    <n v="319"/>
    <x v="0"/>
    <n v="4"/>
    <n v="4"/>
    <s v="Marketing"/>
    <n v="1"/>
    <n v="311"/>
    <n v="1"/>
    <x v="1"/>
    <n v="41"/>
    <x v="0"/>
    <n v="1"/>
    <x v="6"/>
    <n v="4"/>
    <x v="2"/>
    <n v="2793"/>
    <n v="2539"/>
    <n v="4"/>
    <s v="Y"/>
    <s v="No"/>
    <n v="17"/>
    <x v="0"/>
    <n v="3"/>
    <n v="80"/>
    <n v="1"/>
    <n v="13"/>
    <n v="2"/>
    <n v="3"/>
    <n v="9"/>
    <n v="8"/>
    <n v="5"/>
    <n v="8"/>
  </r>
  <r>
    <n v="29"/>
    <x v="1"/>
    <x v="1"/>
    <n v="1413"/>
    <x v="0"/>
    <n v="1"/>
    <n v="1"/>
    <s v="Medical"/>
    <n v="1"/>
    <n v="312"/>
    <n v="2"/>
    <x v="0"/>
    <n v="42"/>
    <x v="0"/>
    <n v="3"/>
    <x v="0"/>
    <n v="4"/>
    <x v="1"/>
    <n v="7918"/>
    <n v="6599"/>
    <n v="1"/>
    <s v="Y"/>
    <s v="No"/>
    <n v="14"/>
    <x v="0"/>
    <n v="4"/>
    <n v="80"/>
    <n v="1"/>
    <n v="11"/>
    <n v="5"/>
    <n v="3"/>
    <n v="11"/>
    <n v="10"/>
    <n v="4"/>
    <n v="1"/>
  </r>
  <r>
    <n v="35"/>
    <x v="1"/>
    <x v="1"/>
    <n v="944"/>
    <x v="0"/>
    <n v="1"/>
    <n v="3"/>
    <s v="Marketing"/>
    <n v="1"/>
    <n v="314"/>
    <n v="3"/>
    <x v="0"/>
    <n v="92"/>
    <x v="0"/>
    <n v="3"/>
    <x v="0"/>
    <n v="3"/>
    <x v="0"/>
    <n v="8789"/>
    <n v="9096"/>
    <n v="1"/>
    <s v="Y"/>
    <s v="No"/>
    <n v="14"/>
    <x v="0"/>
    <n v="1"/>
    <n v="80"/>
    <n v="0"/>
    <n v="10"/>
    <n v="3"/>
    <n v="4"/>
    <n v="10"/>
    <n v="7"/>
    <n v="0"/>
    <n v="8"/>
  </r>
  <r>
    <n v="29"/>
    <x v="0"/>
    <x v="0"/>
    <n v="896"/>
    <x v="1"/>
    <n v="18"/>
    <n v="1"/>
    <s v="Medical"/>
    <n v="1"/>
    <n v="315"/>
    <n v="3"/>
    <x v="1"/>
    <n v="86"/>
    <x v="1"/>
    <n v="1"/>
    <x v="1"/>
    <n v="4"/>
    <x v="0"/>
    <n v="2389"/>
    <n v="14961"/>
    <n v="1"/>
    <s v="Y"/>
    <s v="Yes"/>
    <n v="13"/>
    <x v="0"/>
    <n v="3"/>
    <n v="80"/>
    <n v="0"/>
    <n v="4"/>
    <n v="3"/>
    <n v="2"/>
    <n v="4"/>
    <n v="3"/>
    <n v="0"/>
    <n v="1"/>
  </r>
  <r>
    <n v="52"/>
    <x v="1"/>
    <x v="0"/>
    <n v="1323"/>
    <x v="1"/>
    <n v="2"/>
    <n v="3"/>
    <s v="Life Sciences"/>
    <n v="1"/>
    <n v="316"/>
    <n v="3"/>
    <x v="0"/>
    <n v="89"/>
    <x v="1"/>
    <n v="1"/>
    <x v="2"/>
    <n v="4"/>
    <x v="0"/>
    <n v="3212"/>
    <n v="3300"/>
    <n v="7"/>
    <s v="Y"/>
    <s v="No"/>
    <n v="15"/>
    <x v="0"/>
    <n v="2"/>
    <n v="80"/>
    <n v="0"/>
    <n v="6"/>
    <n v="3"/>
    <n v="2"/>
    <n v="2"/>
    <n v="2"/>
    <n v="2"/>
    <n v="2"/>
  </r>
  <r>
    <n v="42"/>
    <x v="1"/>
    <x v="0"/>
    <n v="532"/>
    <x v="1"/>
    <n v="4"/>
    <n v="2"/>
    <s v="Technical Degree"/>
    <n v="1"/>
    <n v="319"/>
    <n v="3"/>
    <x v="1"/>
    <n v="58"/>
    <x v="0"/>
    <n v="5"/>
    <x v="5"/>
    <n v="4"/>
    <x v="1"/>
    <n v="19232"/>
    <n v="4933"/>
    <n v="1"/>
    <s v="Y"/>
    <s v="No"/>
    <n v="11"/>
    <x v="0"/>
    <n v="4"/>
    <n v="80"/>
    <n v="0"/>
    <n v="22"/>
    <n v="3"/>
    <n v="3"/>
    <n v="22"/>
    <n v="17"/>
    <n v="11"/>
    <n v="15"/>
  </r>
  <r>
    <n v="59"/>
    <x v="1"/>
    <x v="0"/>
    <n v="818"/>
    <x v="2"/>
    <n v="6"/>
    <n v="2"/>
    <s v="Medical"/>
    <n v="1"/>
    <n v="321"/>
    <n v="2"/>
    <x v="1"/>
    <n v="52"/>
    <x v="0"/>
    <n v="1"/>
    <x v="8"/>
    <n v="3"/>
    <x v="1"/>
    <n v="2267"/>
    <n v="25657"/>
    <n v="8"/>
    <s v="Y"/>
    <s v="No"/>
    <n v="17"/>
    <x v="0"/>
    <n v="4"/>
    <n v="80"/>
    <n v="0"/>
    <n v="7"/>
    <n v="2"/>
    <n v="2"/>
    <n v="2"/>
    <n v="2"/>
    <n v="2"/>
    <n v="2"/>
  </r>
  <r>
    <n v="50"/>
    <x v="1"/>
    <x v="0"/>
    <n v="854"/>
    <x v="0"/>
    <n v="1"/>
    <n v="4"/>
    <s v="Medical"/>
    <n v="1"/>
    <n v="323"/>
    <n v="4"/>
    <x v="0"/>
    <n v="68"/>
    <x v="0"/>
    <n v="5"/>
    <x v="5"/>
    <n v="4"/>
    <x v="2"/>
    <n v="19517"/>
    <n v="24118"/>
    <n v="3"/>
    <s v="Y"/>
    <s v="No"/>
    <n v="11"/>
    <x v="0"/>
    <n v="3"/>
    <n v="80"/>
    <n v="1"/>
    <n v="32"/>
    <n v="3"/>
    <n v="2"/>
    <n v="7"/>
    <n v="0"/>
    <n v="0"/>
    <n v="6"/>
  </r>
  <r>
    <n v="33"/>
    <x v="0"/>
    <x v="0"/>
    <n v="813"/>
    <x v="1"/>
    <n v="14"/>
    <n v="3"/>
    <s v="Medical"/>
    <n v="1"/>
    <n v="325"/>
    <n v="3"/>
    <x v="1"/>
    <n v="58"/>
    <x v="0"/>
    <n v="1"/>
    <x v="2"/>
    <n v="4"/>
    <x v="1"/>
    <n v="2436"/>
    <n v="22149"/>
    <n v="5"/>
    <s v="Y"/>
    <s v="Yes"/>
    <n v="13"/>
    <x v="0"/>
    <n v="3"/>
    <n v="80"/>
    <n v="1"/>
    <n v="8"/>
    <n v="2"/>
    <n v="1"/>
    <n v="5"/>
    <n v="4"/>
    <n v="0"/>
    <n v="4"/>
  </r>
  <r>
    <n v="43"/>
    <x v="1"/>
    <x v="0"/>
    <n v="1034"/>
    <x v="0"/>
    <n v="16"/>
    <n v="3"/>
    <s v="Marketing"/>
    <n v="1"/>
    <n v="327"/>
    <n v="4"/>
    <x v="0"/>
    <n v="80"/>
    <x v="0"/>
    <n v="4"/>
    <x v="5"/>
    <n v="4"/>
    <x v="1"/>
    <n v="16064"/>
    <n v="7744"/>
    <n v="5"/>
    <s v="Y"/>
    <s v="Yes"/>
    <n v="22"/>
    <x v="1"/>
    <n v="3"/>
    <n v="80"/>
    <n v="1"/>
    <n v="22"/>
    <n v="3"/>
    <n v="3"/>
    <n v="17"/>
    <n v="13"/>
    <n v="1"/>
    <n v="9"/>
  </r>
  <r>
    <n v="33"/>
    <x v="0"/>
    <x v="0"/>
    <n v="465"/>
    <x v="1"/>
    <n v="2"/>
    <n v="2"/>
    <s v="Life Sciences"/>
    <n v="1"/>
    <n v="328"/>
    <n v="1"/>
    <x v="0"/>
    <n v="39"/>
    <x v="0"/>
    <n v="1"/>
    <x v="2"/>
    <n v="1"/>
    <x v="1"/>
    <n v="2707"/>
    <n v="21509"/>
    <n v="7"/>
    <s v="Y"/>
    <s v="No"/>
    <n v="20"/>
    <x v="1"/>
    <n v="1"/>
    <n v="80"/>
    <n v="0"/>
    <n v="13"/>
    <n v="3"/>
    <n v="4"/>
    <n v="9"/>
    <n v="7"/>
    <n v="1"/>
    <n v="7"/>
  </r>
  <r>
    <n v="52"/>
    <x v="1"/>
    <x v="2"/>
    <n v="771"/>
    <x v="0"/>
    <n v="2"/>
    <n v="4"/>
    <s v="Life Sciences"/>
    <n v="1"/>
    <n v="329"/>
    <n v="1"/>
    <x v="1"/>
    <n v="79"/>
    <x v="1"/>
    <n v="5"/>
    <x v="5"/>
    <n v="3"/>
    <x v="0"/>
    <n v="19068"/>
    <n v="21030"/>
    <n v="1"/>
    <s v="Y"/>
    <s v="Yes"/>
    <n v="18"/>
    <x v="0"/>
    <n v="4"/>
    <n v="80"/>
    <n v="0"/>
    <n v="33"/>
    <n v="2"/>
    <n v="4"/>
    <n v="33"/>
    <n v="7"/>
    <n v="15"/>
    <n v="12"/>
  </r>
  <r>
    <n v="32"/>
    <x v="1"/>
    <x v="0"/>
    <n v="1401"/>
    <x v="0"/>
    <n v="4"/>
    <n v="2"/>
    <s v="Life Sciences"/>
    <n v="1"/>
    <n v="330"/>
    <n v="3"/>
    <x v="0"/>
    <n v="56"/>
    <x v="0"/>
    <n v="1"/>
    <x v="6"/>
    <n v="2"/>
    <x v="1"/>
    <n v="3931"/>
    <n v="20990"/>
    <n v="2"/>
    <s v="Y"/>
    <s v="No"/>
    <n v="11"/>
    <x v="0"/>
    <n v="1"/>
    <n v="80"/>
    <n v="1"/>
    <n v="6"/>
    <n v="5"/>
    <n v="3"/>
    <n v="4"/>
    <n v="3"/>
    <n v="1"/>
    <n v="2"/>
  </r>
  <r>
    <n v="32"/>
    <x v="0"/>
    <x v="0"/>
    <n v="515"/>
    <x v="1"/>
    <n v="1"/>
    <n v="3"/>
    <s v="Life Sciences"/>
    <n v="1"/>
    <n v="331"/>
    <n v="4"/>
    <x v="1"/>
    <n v="62"/>
    <x v="1"/>
    <n v="1"/>
    <x v="2"/>
    <n v="3"/>
    <x v="0"/>
    <n v="3730"/>
    <n v="9571"/>
    <n v="0"/>
    <s v="Y"/>
    <s v="Yes"/>
    <n v="14"/>
    <x v="0"/>
    <n v="4"/>
    <n v="80"/>
    <n v="0"/>
    <n v="4"/>
    <n v="2"/>
    <n v="1"/>
    <n v="3"/>
    <n v="2"/>
    <n v="1"/>
    <n v="2"/>
  </r>
  <r>
    <n v="39"/>
    <x v="1"/>
    <x v="0"/>
    <n v="1431"/>
    <x v="1"/>
    <n v="1"/>
    <n v="4"/>
    <s v="Medical"/>
    <n v="1"/>
    <n v="332"/>
    <n v="3"/>
    <x v="0"/>
    <n v="96"/>
    <x v="0"/>
    <n v="1"/>
    <x v="2"/>
    <n v="3"/>
    <x v="2"/>
    <n v="2232"/>
    <n v="15417"/>
    <n v="7"/>
    <s v="Y"/>
    <s v="No"/>
    <n v="14"/>
    <x v="0"/>
    <n v="3"/>
    <n v="80"/>
    <n v="3"/>
    <n v="7"/>
    <n v="1"/>
    <n v="3"/>
    <n v="3"/>
    <n v="2"/>
    <n v="1"/>
    <n v="2"/>
  </r>
  <r>
    <n v="32"/>
    <x v="1"/>
    <x v="2"/>
    <n v="976"/>
    <x v="0"/>
    <n v="26"/>
    <n v="4"/>
    <s v="Marketing"/>
    <n v="1"/>
    <n v="333"/>
    <n v="3"/>
    <x v="1"/>
    <n v="100"/>
    <x v="0"/>
    <n v="2"/>
    <x v="0"/>
    <n v="4"/>
    <x v="1"/>
    <n v="4465"/>
    <n v="12069"/>
    <n v="0"/>
    <s v="Y"/>
    <s v="No"/>
    <n v="18"/>
    <x v="0"/>
    <n v="1"/>
    <n v="80"/>
    <n v="0"/>
    <n v="4"/>
    <n v="2"/>
    <n v="3"/>
    <n v="3"/>
    <n v="2"/>
    <n v="2"/>
    <n v="2"/>
  </r>
  <r>
    <n v="41"/>
    <x v="1"/>
    <x v="0"/>
    <n v="1411"/>
    <x v="1"/>
    <n v="19"/>
    <n v="2"/>
    <s v="Life Sciences"/>
    <n v="1"/>
    <n v="334"/>
    <n v="3"/>
    <x v="1"/>
    <n v="36"/>
    <x v="0"/>
    <n v="2"/>
    <x v="1"/>
    <n v="1"/>
    <x v="2"/>
    <n v="3072"/>
    <n v="19877"/>
    <n v="2"/>
    <s v="Y"/>
    <s v="No"/>
    <n v="16"/>
    <x v="0"/>
    <n v="1"/>
    <n v="80"/>
    <n v="2"/>
    <n v="17"/>
    <n v="2"/>
    <n v="2"/>
    <n v="1"/>
    <n v="0"/>
    <n v="0"/>
    <n v="0"/>
  </r>
  <r>
    <n v="40"/>
    <x v="1"/>
    <x v="0"/>
    <n v="1300"/>
    <x v="1"/>
    <n v="24"/>
    <n v="2"/>
    <s v="Technical Degree"/>
    <n v="1"/>
    <n v="335"/>
    <n v="1"/>
    <x v="1"/>
    <n v="62"/>
    <x v="0"/>
    <n v="2"/>
    <x v="1"/>
    <n v="4"/>
    <x v="2"/>
    <n v="3319"/>
    <n v="24447"/>
    <n v="1"/>
    <s v="Y"/>
    <s v="No"/>
    <n v="17"/>
    <x v="0"/>
    <n v="1"/>
    <n v="80"/>
    <n v="2"/>
    <n v="9"/>
    <n v="3"/>
    <n v="3"/>
    <n v="9"/>
    <n v="8"/>
    <n v="4"/>
    <n v="7"/>
  </r>
  <r>
    <n v="45"/>
    <x v="1"/>
    <x v="0"/>
    <n v="252"/>
    <x v="1"/>
    <n v="1"/>
    <n v="3"/>
    <s v="Other"/>
    <n v="1"/>
    <n v="336"/>
    <n v="3"/>
    <x v="1"/>
    <n v="70"/>
    <x v="2"/>
    <n v="5"/>
    <x v="5"/>
    <n v="4"/>
    <x v="1"/>
    <n v="19202"/>
    <n v="15970"/>
    <n v="0"/>
    <s v="Y"/>
    <s v="No"/>
    <n v="11"/>
    <x v="0"/>
    <n v="3"/>
    <n v="80"/>
    <n v="1"/>
    <n v="25"/>
    <n v="2"/>
    <n v="3"/>
    <n v="24"/>
    <n v="0"/>
    <n v="1"/>
    <n v="7"/>
  </r>
  <r>
    <n v="31"/>
    <x v="1"/>
    <x v="1"/>
    <n v="1327"/>
    <x v="1"/>
    <n v="3"/>
    <n v="4"/>
    <s v="Medical"/>
    <n v="1"/>
    <n v="337"/>
    <n v="2"/>
    <x v="1"/>
    <n v="73"/>
    <x v="0"/>
    <n v="3"/>
    <x v="7"/>
    <n v="3"/>
    <x v="2"/>
    <n v="13675"/>
    <n v="13523"/>
    <n v="9"/>
    <s v="Y"/>
    <s v="No"/>
    <n v="12"/>
    <x v="0"/>
    <n v="1"/>
    <n v="80"/>
    <n v="1"/>
    <n v="9"/>
    <n v="3"/>
    <n v="3"/>
    <n v="2"/>
    <n v="2"/>
    <n v="2"/>
    <n v="2"/>
  </r>
  <r>
    <n v="33"/>
    <x v="1"/>
    <x v="0"/>
    <n v="832"/>
    <x v="1"/>
    <n v="5"/>
    <n v="4"/>
    <s v="Life Sciences"/>
    <n v="1"/>
    <n v="338"/>
    <n v="3"/>
    <x v="0"/>
    <n v="63"/>
    <x v="1"/>
    <n v="1"/>
    <x v="1"/>
    <n v="4"/>
    <x v="1"/>
    <n v="2911"/>
    <n v="14776"/>
    <n v="1"/>
    <s v="Y"/>
    <s v="No"/>
    <n v="13"/>
    <x v="0"/>
    <n v="3"/>
    <n v="80"/>
    <n v="1"/>
    <n v="2"/>
    <n v="2"/>
    <n v="2"/>
    <n v="2"/>
    <n v="2"/>
    <n v="0"/>
    <n v="2"/>
  </r>
  <r>
    <n v="34"/>
    <x v="1"/>
    <x v="0"/>
    <n v="470"/>
    <x v="1"/>
    <n v="2"/>
    <n v="4"/>
    <s v="Life Sciences"/>
    <n v="1"/>
    <n v="339"/>
    <n v="4"/>
    <x v="1"/>
    <n v="84"/>
    <x v="1"/>
    <n v="2"/>
    <x v="3"/>
    <n v="1"/>
    <x v="1"/>
    <n v="5957"/>
    <n v="23687"/>
    <n v="6"/>
    <s v="Y"/>
    <s v="No"/>
    <n v="13"/>
    <x v="0"/>
    <n v="2"/>
    <n v="80"/>
    <n v="1"/>
    <n v="13"/>
    <n v="3"/>
    <n v="3"/>
    <n v="11"/>
    <n v="9"/>
    <n v="5"/>
    <n v="9"/>
  </r>
  <r>
    <n v="37"/>
    <x v="1"/>
    <x v="0"/>
    <n v="1017"/>
    <x v="1"/>
    <n v="1"/>
    <n v="2"/>
    <s v="Medical"/>
    <n v="1"/>
    <n v="340"/>
    <n v="3"/>
    <x v="0"/>
    <n v="83"/>
    <x v="1"/>
    <n v="1"/>
    <x v="1"/>
    <n v="1"/>
    <x v="1"/>
    <n v="3920"/>
    <n v="18697"/>
    <n v="2"/>
    <s v="Y"/>
    <s v="No"/>
    <n v="14"/>
    <x v="0"/>
    <n v="1"/>
    <n v="80"/>
    <n v="1"/>
    <n v="17"/>
    <n v="2"/>
    <n v="2"/>
    <n v="3"/>
    <n v="1"/>
    <n v="0"/>
    <n v="2"/>
  </r>
  <r>
    <n v="45"/>
    <x v="1"/>
    <x v="1"/>
    <n v="1199"/>
    <x v="1"/>
    <n v="7"/>
    <n v="4"/>
    <s v="Life Sciences"/>
    <n v="1"/>
    <n v="341"/>
    <n v="1"/>
    <x v="1"/>
    <n v="77"/>
    <x v="2"/>
    <n v="2"/>
    <x v="3"/>
    <n v="3"/>
    <x v="1"/>
    <n v="6434"/>
    <n v="5118"/>
    <n v="4"/>
    <s v="Y"/>
    <s v="No"/>
    <n v="17"/>
    <x v="0"/>
    <n v="4"/>
    <n v="80"/>
    <n v="1"/>
    <n v="9"/>
    <n v="1"/>
    <n v="3"/>
    <n v="3"/>
    <n v="2"/>
    <n v="0"/>
    <n v="2"/>
  </r>
  <r>
    <n v="37"/>
    <x v="0"/>
    <x v="1"/>
    <n v="504"/>
    <x v="1"/>
    <n v="10"/>
    <n v="3"/>
    <s v="Medical"/>
    <n v="1"/>
    <n v="342"/>
    <n v="1"/>
    <x v="1"/>
    <n v="61"/>
    <x v="0"/>
    <n v="3"/>
    <x v="3"/>
    <n v="3"/>
    <x v="2"/>
    <n v="10048"/>
    <n v="22573"/>
    <n v="6"/>
    <s v="Y"/>
    <s v="No"/>
    <n v="11"/>
    <x v="0"/>
    <n v="2"/>
    <n v="80"/>
    <n v="2"/>
    <n v="17"/>
    <n v="5"/>
    <n v="3"/>
    <n v="1"/>
    <n v="0"/>
    <n v="0"/>
    <n v="0"/>
  </r>
  <r>
    <n v="39"/>
    <x v="1"/>
    <x v="1"/>
    <n v="505"/>
    <x v="1"/>
    <n v="2"/>
    <n v="4"/>
    <s v="Technical Degree"/>
    <n v="1"/>
    <n v="343"/>
    <n v="3"/>
    <x v="0"/>
    <n v="64"/>
    <x v="0"/>
    <n v="3"/>
    <x v="4"/>
    <n v="3"/>
    <x v="0"/>
    <n v="10938"/>
    <n v="6420"/>
    <n v="0"/>
    <s v="Y"/>
    <s v="No"/>
    <n v="25"/>
    <x v="1"/>
    <n v="4"/>
    <n v="80"/>
    <n v="0"/>
    <n v="20"/>
    <n v="1"/>
    <n v="3"/>
    <n v="19"/>
    <n v="6"/>
    <n v="11"/>
    <n v="8"/>
  </r>
  <r>
    <n v="29"/>
    <x v="1"/>
    <x v="0"/>
    <n v="665"/>
    <x v="1"/>
    <n v="15"/>
    <n v="3"/>
    <s v="Life Sciences"/>
    <n v="1"/>
    <n v="346"/>
    <n v="3"/>
    <x v="1"/>
    <n v="60"/>
    <x v="0"/>
    <n v="1"/>
    <x v="1"/>
    <n v="4"/>
    <x v="0"/>
    <n v="2340"/>
    <n v="22673"/>
    <n v="1"/>
    <s v="Y"/>
    <s v="No"/>
    <n v="19"/>
    <x v="0"/>
    <n v="1"/>
    <n v="80"/>
    <n v="0"/>
    <n v="6"/>
    <n v="1"/>
    <n v="3"/>
    <n v="6"/>
    <n v="5"/>
    <n v="1"/>
    <n v="5"/>
  </r>
  <r>
    <n v="42"/>
    <x v="1"/>
    <x v="0"/>
    <n v="916"/>
    <x v="1"/>
    <n v="17"/>
    <n v="2"/>
    <s v="Life Sciences"/>
    <n v="1"/>
    <n v="347"/>
    <n v="4"/>
    <x v="0"/>
    <n v="82"/>
    <x v="2"/>
    <n v="2"/>
    <x v="1"/>
    <n v="1"/>
    <x v="0"/>
    <n v="6545"/>
    <n v="23016"/>
    <n v="3"/>
    <s v="Y"/>
    <s v="Yes"/>
    <n v="13"/>
    <x v="0"/>
    <n v="3"/>
    <n v="80"/>
    <n v="0"/>
    <n v="10"/>
    <n v="1"/>
    <n v="3"/>
    <n v="3"/>
    <n v="2"/>
    <n v="0"/>
    <n v="2"/>
  </r>
  <r>
    <n v="29"/>
    <x v="1"/>
    <x v="0"/>
    <n v="1247"/>
    <x v="0"/>
    <n v="20"/>
    <n v="2"/>
    <s v="Marketing"/>
    <n v="1"/>
    <n v="349"/>
    <n v="4"/>
    <x v="1"/>
    <n v="45"/>
    <x v="0"/>
    <n v="2"/>
    <x v="0"/>
    <n v="4"/>
    <x v="2"/>
    <n v="6931"/>
    <n v="10732"/>
    <n v="2"/>
    <s v="Y"/>
    <s v="No"/>
    <n v="14"/>
    <x v="0"/>
    <n v="4"/>
    <n v="80"/>
    <n v="1"/>
    <n v="10"/>
    <n v="2"/>
    <n v="3"/>
    <n v="3"/>
    <n v="2"/>
    <n v="0"/>
    <n v="2"/>
  </r>
  <r>
    <n v="25"/>
    <x v="1"/>
    <x v="0"/>
    <n v="685"/>
    <x v="1"/>
    <n v="1"/>
    <n v="3"/>
    <s v="Life Sciences"/>
    <n v="1"/>
    <n v="350"/>
    <n v="1"/>
    <x v="0"/>
    <n v="62"/>
    <x v="0"/>
    <n v="2"/>
    <x v="3"/>
    <n v="3"/>
    <x v="1"/>
    <n v="4898"/>
    <n v="7505"/>
    <n v="0"/>
    <s v="Y"/>
    <s v="No"/>
    <n v="12"/>
    <x v="0"/>
    <n v="4"/>
    <n v="80"/>
    <n v="2"/>
    <n v="5"/>
    <n v="3"/>
    <n v="3"/>
    <n v="4"/>
    <n v="2"/>
    <n v="1"/>
    <n v="2"/>
  </r>
  <r>
    <n v="42"/>
    <x v="1"/>
    <x v="0"/>
    <n v="269"/>
    <x v="1"/>
    <n v="2"/>
    <n v="3"/>
    <s v="Medical"/>
    <n v="1"/>
    <n v="351"/>
    <n v="4"/>
    <x v="0"/>
    <n v="56"/>
    <x v="1"/>
    <n v="1"/>
    <x v="2"/>
    <n v="1"/>
    <x v="2"/>
    <n v="2593"/>
    <n v="8007"/>
    <n v="0"/>
    <s v="Y"/>
    <s v="Yes"/>
    <n v="11"/>
    <x v="0"/>
    <n v="3"/>
    <n v="80"/>
    <n v="1"/>
    <n v="10"/>
    <n v="4"/>
    <n v="3"/>
    <n v="9"/>
    <n v="6"/>
    <n v="7"/>
    <n v="8"/>
  </r>
  <r>
    <n v="40"/>
    <x v="1"/>
    <x v="0"/>
    <n v="1416"/>
    <x v="1"/>
    <n v="2"/>
    <n v="2"/>
    <s v="Medical"/>
    <n v="1"/>
    <n v="352"/>
    <n v="1"/>
    <x v="1"/>
    <n v="49"/>
    <x v="0"/>
    <n v="5"/>
    <x v="7"/>
    <n v="3"/>
    <x v="2"/>
    <n v="19436"/>
    <n v="5949"/>
    <n v="0"/>
    <s v="Y"/>
    <s v="No"/>
    <n v="19"/>
    <x v="0"/>
    <n v="4"/>
    <n v="80"/>
    <n v="1"/>
    <n v="22"/>
    <n v="5"/>
    <n v="3"/>
    <n v="21"/>
    <n v="7"/>
    <n v="3"/>
    <n v="9"/>
  </r>
  <r>
    <n v="51"/>
    <x v="1"/>
    <x v="0"/>
    <n v="833"/>
    <x v="1"/>
    <n v="1"/>
    <n v="3"/>
    <s v="Life Sciences"/>
    <n v="1"/>
    <n v="353"/>
    <n v="3"/>
    <x v="1"/>
    <n v="96"/>
    <x v="0"/>
    <n v="1"/>
    <x v="1"/>
    <n v="4"/>
    <x v="1"/>
    <n v="2723"/>
    <n v="23231"/>
    <n v="1"/>
    <s v="Y"/>
    <s v="No"/>
    <n v="11"/>
    <x v="0"/>
    <n v="2"/>
    <n v="80"/>
    <n v="0"/>
    <n v="1"/>
    <n v="0"/>
    <n v="2"/>
    <n v="1"/>
    <n v="0"/>
    <n v="0"/>
    <n v="0"/>
  </r>
  <r>
    <n v="31"/>
    <x v="0"/>
    <x v="1"/>
    <n v="307"/>
    <x v="1"/>
    <n v="29"/>
    <n v="2"/>
    <s v="Medical"/>
    <n v="1"/>
    <n v="355"/>
    <n v="3"/>
    <x v="1"/>
    <n v="71"/>
    <x v="1"/>
    <n v="1"/>
    <x v="2"/>
    <n v="2"/>
    <x v="0"/>
    <n v="3479"/>
    <n v="11652"/>
    <n v="0"/>
    <s v="Y"/>
    <s v="No"/>
    <n v="11"/>
    <x v="0"/>
    <n v="2"/>
    <n v="80"/>
    <n v="0"/>
    <n v="6"/>
    <n v="2"/>
    <n v="4"/>
    <n v="5"/>
    <n v="4"/>
    <n v="1"/>
    <n v="4"/>
  </r>
  <r>
    <n v="32"/>
    <x v="1"/>
    <x v="1"/>
    <n v="1311"/>
    <x v="1"/>
    <n v="7"/>
    <n v="3"/>
    <s v="Life Sciences"/>
    <n v="1"/>
    <n v="359"/>
    <n v="2"/>
    <x v="1"/>
    <n v="100"/>
    <x v="2"/>
    <n v="1"/>
    <x v="2"/>
    <n v="2"/>
    <x v="1"/>
    <n v="2794"/>
    <n v="26062"/>
    <n v="1"/>
    <s v="Y"/>
    <s v="No"/>
    <n v="20"/>
    <x v="1"/>
    <n v="3"/>
    <n v="80"/>
    <n v="0"/>
    <n v="5"/>
    <n v="3"/>
    <n v="1"/>
    <n v="5"/>
    <n v="1"/>
    <n v="0"/>
    <n v="3"/>
  </r>
  <r>
    <n v="38"/>
    <x v="1"/>
    <x v="2"/>
    <n v="1327"/>
    <x v="0"/>
    <n v="2"/>
    <n v="2"/>
    <s v="Life Sciences"/>
    <n v="1"/>
    <n v="361"/>
    <n v="4"/>
    <x v="1"/>
    <n v="39"/>
    <x v="1"/>
    <n v="2"/>
    <x v="0"/>
    <n v="4"/>
    <x v="1"/>
    <n v="5249"/>
    <n v="19682"/>
    <n v="3"/>
    <s v="Y"/>
    <s v="No"/>
    <n v="18"/>
    <x v="0"/>
    <n v="4"/>
    <n v="80"/>
    <n v="1"/>
    <n v="13"/>
    <n v="0"/>
    <n v="3"/>
    <n v="8"/>
    <n v="7"/>
    <n v="7"/>
    <n v="5"/>
  </r>
  <r>
    <n v="32"/>
    <x v="1"/>
    <x v="0"/>
    <n v="128"/>
    <x v="1"/>
    <n v="2"/>
    <n v="1"/>
    <s v="Technical Degree"/>
    <n v="1"/>
    <n v="362"/>
    <n v="4"/>
    <x v="1"/>
    <n v="84"/>
    <x v="1"/>
    <n v="2"/>
    <x v="2"/>
    <n v="1"/>
    <x v="0"/>
    <n v="2176"/>
    <n v="19737"/>
    <n v="4"/>
    <s v="Y"/>
    <s v="No"/>
    <n v="13"/>
    <x v="0"/>
    <n v="4"/>
    <n v="80"/>
    <n v="0"/>
    <n v="9"/>
    <n v="5"/>
    <n v="3"/>
    <n v="6"/>
    <n v="2"/>
    <n v="0"/>
    <n v="4"/>
  </r>
  <r>
    <n v="46"/>
    <x v="1"/>
    <x v="0"/>
    <n v="488"/>
    <x v="0"/>
    <n v="2"/>
    <n v="3"/>
    <s v="Technical Degree"/>
    <n v="1"/>
    <n v="363"/>
    <n v="3"/>
    <x v="0"/>
    <n v="75"/>
    <x v="3"/>
    <n v="4"/>
    <x v="5"/>
    <n v="2"/>
    <x v="1"/>
    <n v="16872"/>
    <n v="14977"/>
    <n v="3"/>
    <s v="Y"/>
    <s v="Yes"/>
    <n v="12"/>
    <x v="0"/>
    <n v="2"/>
    <n v="80"/>
    <n v="1"/>
    <n v="28"/>
    <n v="2"/>
    <n v="2"/>
    <n v="7"/>
    <n v="7"/>
    <n v="7"/>
    <n v="7"/>
  </r>
  <r>
    <n v="28"/>
    <x v="0"/>
    <x v="0"/>
    <n v="529"/>
    <x v="1"/>
    <n v="2"/>
    <n v="4"/>
    <s v="Life Sciences"/>
    <n v="1"/>
    <n v="364"/>
    <n v="1"/>
    <x v="1"/>
    <n v="79"/>
    <x v="0"/>
    <n v="1"/>
    <x v="2"/>
    <n v="3"/>
    <x v="0"/>
    <n v="3485"/>
    <n v="14935"/>
    <n v="2"/>
    <s v="Y"/>
    <s v="No"/>
    <n v="11"/>
    <x v="0"/>
    <n v="3"/>
    <n v="80"/>
    <n v="0"/>
    <n v="5"/>
    <n v="5"/>
    <n v="1"/>
    <n v="0"/>
    <n v="0"/>
    <n v="0"/>
    <n v="0"/>
  </r>
  <r>
    <n v="29"/>
    <x v="1"/>
    <x v="0"/>
    <n v="1210"/>
    <x v="0"/>
    <n v="2"/>
    <n v="3"/>
    <s v="Medical"/>
    <n v="1"/>
    <n v="366"/>
    <n v="1"/>
    <x v="1"/>
    <n v="78"/>
    <x v="1"/>
    <n v="2"/>
    <x v="0"/>
    <n v="2"/>
    <x v="1"/>
    <n v="6644"/>
    <n v="3687"/>
    <n v="2"/>
    <s v="Y"/>
    <s v="No"/>
    <n v="19"/>
    <x v="0"/>
    <n v="2"/>
    <n v="80"/>
    <n v="2"/>
    <n v="10"/>
    <n v="2"/>
    <n v="3"/>
    <n v="0"/>
    <n v="0"/>
    <n v="0"/>
    <n v="0"/>
  </r>
  <r>
    <n v="31"/>
    <x v="1"/>
    <x v="0"/>
    <n v="1463"/>
    <x v="1"/>
    <n v="23"/>
    <n v="3"/>
    <s v="Medical"/>
    <n v="1"/>
    <n v="367"/>
    <n v="2"/>
    <x v="1"/>
    <n v="64"/>
    <x v="1"/>
    <n v="2"/>
    <x v="4"/>
    <n v="4"/>
    <x v="1"/>
    <n v="5582"/>
    <n v="14408"/>
    <n v="0"/>
    <s v="Y"/>
    <s v="No"/>
    <n v="21"/>
    <x v="1"/>
    <n v="2"/>
    <n v="80"/>
    <n v="1"/>
    <n v="10"/>
    <n v="2"/>
    <n v="3"/>
    <n v="9"/>
    <n v="0"/>
    <n v="7"/>
    <n v="8"/>
  </r>
  <r>
    <n v="25"/>
    <x v="1"/>
    <x v="2"/>
    <n v="675"/>
    <x v="1"/>
    <n v="5"/>
    <n v="2"/>
    <s v="Life Sciences"/>
    <n v="1"/>
    <n v="369"/>
    <n v="2"/>
    <x v="1"/>
    <n v="85"/>
    <x v="2"/>
    <n v="2"/>
    <x v="4"/>
    <n v="1"/>
    <x v="2"/>
    <n v="4000"/>
    <n v="18384"/>
    <n v="1"/>
    <s v="Y"/>
    <s v="No"/>
    <n v="12"/>
    <x v="0"/>
    <n v="4"/>
    <n v="80"/>
    <n v="2"/>
    <n v="6"/>
    <n v="2"/>
    <n v="3"/>
    <n v="6"/>
    <n v="3"/>
    <n v="1"/>
    <n v="5"/>
  </r>
  <r>
    <n v="45"/>
    <x v="1"/>
    <x v="0"/>
    <n v="1385"/>
    <x v="1"/>
    <n v="20"/>
    <n v="2"/>
    <s v="Medical"/>
    <n v="1"/>
    <n v="372"/>
    <n v="3"/>
    <x v="1"/>
    <n v="79"/>
    <x v="0"/>
    <n v="4"/>
    <x v="4"/>
    <n v="4"/>
    <x v="1"/>
    <n v="13496"/>
    <n v="7501"/>
    <n v="0"/>
    <s v="Y"/>
    <s v="Yes"/>
    <n v="14"/>
    <x v="0"/>
    <n v="2"/>
    <n v="80"/>
    <n v="0"/>
    <n v="21"/>
    <n v="2"/>
    <n v="3"/>
    <n v="20"/>
    <n v="7"/>
    <n v="4"/>
    <n v="10"/>
  </r>
  <r>
    <n v="36"/>
    <x v="1"/>
    <x v="0"/>
    <n v="1403"/>
    <x v="1"/>
    <n v="6"/>
    <n v="3"/>
    <s v="Life Sciences"/>
    <n v="1"/>
    <n v="373"/>
    <n v="4"/>
    <x v="1"/>
    <n v="47"/>
    <x v="0"/>
    <n v="1"/>
    <x v="2"/>
    <n v="4"/>
    <x v="1"/>
    <n v="3210"/>
    <n v="20251"/>
    <n v="0"/>
    <s v="Y"/>
    <s v="No"/>
    <n v="11"/>
    <x v="0"/>
    <n v="3"/>
    <n v="80"/>
    <n v="1"/>
    <n v="16"/>
    <n v="4"/>
    <n v="3"/>
    <n v="15"/>
    <n v="13"/>
    <n v="10"/>
    <n v="11"/>
  </r>
  <r>
    <n v="55"/>
    <x v="1"/>
    <x v="0"/>
    <n v="452"/>
    <x v="1"/>
    <n v="1"/>
    <n v="3"/>
    <s v="Medical"/>
    <n v="1"/>
    <n v="374"/>
    <n v="4"/>
    <x v="1"/>
    <n v="81"/>
    <x v="0"/>
    <n v="5"/>
    <x v="5"/>
    <n v="1"/>
    <x v="0"/>
    <n v="19045"/>
    <n v="18938"/>
    <n v="0"/>
    <s v="Y"/>
    <s v="Yes"/>
    <n v="14"/>
    <x v="0"/>
    <n v="3"/>
    <n v="80"/>
    <n v="0"/>
    <n v="37"/>
    <n v="2"/>
    <n v="3"/>
    <n v="36"/>
    <n v="10"/>
    <n v="4"/>
    <n v="13"/>
  </r>
  <r>
    <n v="47"/>
    <x v="0"/>
    <x v="2"/>
    <n v="666"/>
    <x v="1"/>
    <n v="29"/>
    <n v="4"/>
    <s v="Life Sciences"/>
    <n v="1"/>
    <n v="376"/>
    <n v="1"/>
    <x v="1"/>
    <n v="88"/>
    <x v="0"/>
    <n v="3"/>
    <x v="5"/>
    <n v="2"/>
    <x v="1"/>
    <n v="11849"/>
    <n v="10268"/>
    <n v="1"/>
    <s v="Y"/>
    <s v="Yes"/>
    <n v="12"/>
    <x v="0"/>
    <n v="4"/>
    <n v="80"/>
    <n v="1"/>
    <n v="10"/>
    <n v="2"/>
    <n v="2"/>
    <n v="10"/>
    <n v="7"/>
    <n v="9"/>
    <n v="9"/>
  </r>
  <r>
    <n v="28"/>
    <x v="1"/>
    <x v="0"/>
    <n v="1158"/>
    <x v="1"/>
    <n v="9"/>
    <n v="3"/>
    <s v="Medical"/>
    <n v="1"/>
    <n v="377"/>
    <n v="4"/>
    <x v="1"/>
    <n v="94"/>
    <x v="0"/>
    <n v="1"/>
    <x v="1"/>
    <n v="4"/>
    <x v="1"/>
    <n v="2070"/>
    <n v="2613"/>
    <n v="1"/>
    <s v="Y"/>
    <s v="No"/>
    <n v="23"/>
    <x v="1"/>
    <n v="4"/>
    <n v="80"/>
    <n v="1"/>
    <n v="5"/>
    <n v="3"/>
    <n v="2"/>
    <n v="5"/>
    <n v="2"/>
    <n v="0"/>
    <n v="4"/>
  </r>
  <r>
    <n v="37"/>
    <x v="1"/>
    <x v="0"/>
    <n v="228"/>
    <x v="0"/>
    <n v="6"/>
    <n v="4"/>
    <s v="Medical"/>
    <n v="1"/>
    <n v="378"/>
    <n v="3"/>
    <x v="1"/>
    <n v="98"/>
    <x v="0"/>
    <n v="2"/>
    <x v="0"/>
    <n v="4"/>
    <x v="1"/>
    <n v="6502"/>
    <n v="22825"/>
    <n v="4"/>
    <s v="Y"/>
    <s v="No"/>
    <n v="14"/>
    <x v="0"/>
    <n v="2"/>
    <n v="80"/>
    <n v="1"/>
    <n v="7"/>
    <n v="5"/>
    <n v="4"/>
    <n v="5"/>
    <n v="4"/>
    <n v="0"/>
    <n v="1"/>
  </r>
  <r>
    <n v="21"/>
    <x v="1"/>
    <x v="0"/>
    <n v="996"/>
    <x v="1"/>
    <n v="3"/>
    <n v="2"/>
    <s v="Medical"/>
    <n v="1"/>
    <n v="379"/>
    <n v="4"/>
    <x v="1"/>
    <n v="100"/>
    <x v="1"/>
    <n v="1"/>
    <x v="1"/>
    <n v="3"/>
    <x v="0"/>
    <n v="3230"/>
    <n v="10531"/>
    <n v="1"/>
    <s v="Y"/>
    <s v="No"/>
    <n v="17"/>
    <x v="0"/>
    <n v="1"/>
    <n v="80"/>
    <n v="0"/>
    <n v="3"/>
    <n v="4"/>
    <n v="4"/>
    <n v="3"/>
    <n v="2"/>
    <n v="1"/>
    <n v="0"/>
  </r>
  <r>
    <n v="37"/>
    <x v="1"/>
    <x v="2"/>
    <n v="728"/>
    <x v="1"/>
    <n v="1"/>
    <n v="4"/>
    <s v="Medical"/>
    <n v="1"/>
    <n v="380"/>
    <n v="1"/>
    <x v="0"/>
    <n v="80"/>
    <x v="0"/>
    <n v="3"/>
    <x v="7"/>
    <n v="4"/>
    <x v="2"/>
    <n v="13603"/>
    <n v="11677"/>
    <n v="2"/>
    <s v="Y"/>
    <s v="Yes"/>
    <n v="18"/>
    <x v="0"/>
    <n v="1"/>
    <n v="80"/>
    <n v="2"/>
    <n v="15"/>
    <n v="2"/>
    <n v="3"/>
    <n v="5"/>
    <n v="2"/>
    <n v="0"/>
    <n v="2"/>
  </r>
  <r>
    <n v="35"/>
    <x v="1"/>
    <x v="0"/>
    <n v="1315"/>
    <x v="1"/>
    <n v="22"/>
    <n v="3"/>
    <s v="Life Sciences"/>
    <n v="1"/>
    <n v="381"/>
    <n v="2"/>
    <x v="0"/>
    <n v="71"/>
    <x v="2"/>
    <n v="3"/>
    <x v="5"/>
    <n v="2"/>
    <x v="2"/>
    <n v="11996"/>
    <n v="19100"/>
    <n v="7"/>
    <s v="Y"/>
    <s v="No"/>
    <n v="18"/>
    <x v="0"/>
    <n v="2"/>
    <n v="80"/>
    <n v="1"/>
    <n v="10"/>
    <n v="6"/>
    <n v="2"/>
    <n v="7"/>
    <n v="7"/>
    <n v="6"/>
    <n v="2"/>
  </r>
  <r>
    <n v="38"/>
    <x v="1"/>
    <x v="0"/>
    <n v="322"/>
    <x v="0"/>
    <n v="7"/>
    <n v="2"/>
    <s v="Medical"/>
    <n v="1"/>
    <n v="382"/>
    <n v="1"/>
    <x v="0"/>
    <n v="44"/>
    <x v="2"/>
    <n v="2"/>
    <x v="0"/>
    <n v="1"/>
    <x v="2"/>
    <n v="5605"/>
    <n v="19191"/>
    <n v="1"/>
    <s v="Y"/>
    <s v="Yes"/>
    <n v="24"/>
    <x v="1"/>
    <n v="3"/>
    <n v="80"/>
    <n v="1"/>
    <n v="8"/>
    <n v="3"/>
    <n v="3"/>
    <n v="8"/>
    <n v="0"/>
    <n v="7"/>
    <n v="7"/>
  </r>
  <r>
    <n v="26"/>
    <x v="1"/>
    <x v="1"/>
    <n v="1479"/>
    <x v="1"/>
    <n v="1"/>
    <n v="3"/>
    <s v="Life Sciences"/>
    <n v="1"/>
    <n v="384"/>
    <n v="3"/>
    <x v="0"/>
    <n v="84"/>
    <x v="0"/>
    <n v="2"/>
    <x v="3"/>
    <n v="2"/>
    <x v="2"/>
    <n v="6397"/>
    <n v="26767"/>
    <n v="1"/>
    <s v="Y"/>
    <s v="No"/>
    <n v="20"/>
    <x v="1"/>
    <n v="1"/>
    <n v="80"/>
    <n v="1"/>
    <n v="6"/>
    <n v="6"/>
    <n v="1"/>
    <n v="6"/>
    <n v="5"/>
    <n v="1"/>
    <n v="4"/>
  </r>
  <r>
    <n v="50"/>
    <x v="1"/>
    <x v="0"/>
    <n v="797"/>
    <x v="1"/>
    <n v="4"/>
    <n v="1"/>
    <s v="Life Sciences"/>
    <n v="1"/>
    <n v="385"/>
    <n v="1"/>
    <x v="1"/>
    <n v="96"/>
    <x v="0"/>
    <n v="5"/>
    <x v="7"/>
    <n v="2"/>
    <x v="2"/>
    <n v="19144"/>
    <n v="15815"/>
    <n v="3"/>
    <s v="Y"/>
    <s v="No"/>
    <n v="14"/>
    <x v="0"/>
    <n v="1"/>
    <n v="80"/>
    <n v="2"/>
    <n v="28"/>
    <n v="4"/>
    <n v="2"/>
    <n v="10"/>
    <n v="4"/>
    <n v="1"/>
    <n v="6"/>
  </r>
  <r>
    <n v="53"/>
    <x v="1"/>
    <x v="0"/>
    <n v="1070"/>
    <x v="1"/>
    <n v="3"/>
    <n v="4"/>
    <s v="Medical"/>
    <n v="1"/>
    <n v="386"/>
    <n v="3"/>
    <x v="1"/>
    <n v="45"/>
    <x v="0"/>
    <n v="4"/>
    <x v="7"/>
    <n v="3"/>
    <x v="1"/>
    <n v="17584"/>
    <n v="21016"/>
    <n v="3"/>
    <s v="Y"/>
    <s v="Yes"/>
    <n v="16"/>
    <x v="0"/>
    <n v="4"/>
    <n v="80"/>
    <n v="3"/>
    <n v="21"/>
    <n v="5"/>
    <n v="2"/>
    <n v="5"/>
    <n v="3"/>
    <n v="1"/>
    <n v="3"/>
  </r>
  <r>
    <n v="42"/>
    <x v="1"/>
    <x v="0"/>
    <n v="635"/>
    <x v="0"/>
    <n v="1"/>
    <n v="1"/>
    <s v="Life Sciences"/>
    <n v="1"/>
    <n v="387"/>
    <n v="2"/>
    <x v="1"/>
    <n v="99"/>
    <x v="0"/>
    <n v="2"/>
    <x v="0"/>
    <n v="3"/>
    <x v="1"/>
    <n v="4907"/>
    <n v="24532"/>
    <n v="1"/>
    <s v="Y"/>
    <s v="No"/>
    <n v="25"/>
    <x v="1"/>
    <n v="3"/>
    <n v="80"/>
    <n v="0"/>
    <n v="20"/>
    <n v="3"/>
    <n v="3"/>
    <n v="20"/>
    <n v="16"/>
    <n v="11"/>
    <n v="6"/>
  </r>
  <r>
    <n v="29"/>
    <x v="1"/>
    <x v="1"/>
    <n v="442"/>
    <x v="0"/>
    <n v="2"/>
    <n v="2"/>
    <s v="Life Sciences"/>
    <n v="1"/>
    <n v="388"/>
    <n v="2"/>
    <x v="1"/>
    <n v="44"/>
    <x v="0"/>
    <n v="2"/>
    <x v="0"/>
    <n v="4"/>
    <x v="0"/>
    <n v="4554"/>
    <n v="20260"/>
    <n v="1"/>
    <s v="Y"/>
    <s v="No"/>
    <n v="18"/>
    <x v="0"/>
    <n v="1"/>
    <n v="80"/>
    <n v="0"/>
    <n v="10"/>
    <n v="3"/>
    <n v="2"/>
    <n v="10"/>
    <n v="7"/>
    <n v="0"/>
    <n v="9"/>
  </r>
  <r>
    <n v="55"/>
    <x v="1"/>
    <x v="0"/>
    <n v="147"/>
    <x v="1"/>
    <n v="20"/>
    <n v="2"/>
    <s v="Technical Degree"/>
    <n v="1"/>
    <n v="389"/>
    <n v="2"/>
    <x v="1"/>
    <n v="37"/>
    <x v="0"/>
    <n v="2"/>
    <x v="2"/>
    <n v="4"/>
    <x v="1"/>
    <n v="5415"/>
    <n v="15972"/>
    <n v="3"/>
    <s v="Y"/>
    <s v="Yes"/>
    <n v="19"/>
    <x v="0"/>
    <n v="4"/>
    <n v="80"/>
    <n v="1"/>
    <n v="12"/>
    <n v="4"/>
    <n v="3"/>
    <n v="10"/>
    <n v="7"/>
    <n v="0"/>
    <n v="8"/>
  </r>
  <r>
    <n v="26"/>
    <x v="1"/>
    <x v="1"/>
    <n v="496"/>
    <x v="1"/>
    <n v="11"/>
    <n v="2"/>
    <s v="Medical"/>
    <n v="1"/>
    <n v="390"/>
    <n v="1"/>
    <x v="1"/>
    <n v="60"/>
    <x v="0"/>
    <n v="2"/>
    <x v="4"/>
    <n v="1"/>
    <x v="1"/>
    <n v="4741"/>
    <n v="22722"/>
    <n v="1"/>
    <s v="Y"/>
    <s v="Yes"/>
    <n v="13"/>
    <x v="0"/>
    <n v="3"/>
    <n v="80"/>
    <n v="1"/>
    <n v="5"/>
    <n v="3"/>
    <n v="3"/>
    <n v="5"/>
    <n v="3"/>
    <n v="3"/>
    <n v="3"/>
  </r>
  <r>
    <n v="37"/>
    <x v="1"/>
    <x v="0"/>
    <n v="1372"/>
    <x v="1"/>
    <n v="1"/>
    <n v="3"/>
    <s v="Life Sciences"/>
    <n v="1"/>
    <n v="391"/>
    <n v="4"/>
    <x v="0"/>
    <n v="42"/>
    <x v="0"/>
    <n v="1"/>
    <x v="1"/>
    <n v="4"/>
    <x v="0"/>
    <n v="2115"/>
    <n v="15881"/>
    <n v="1"/>
    <s v="Y"/>
    <s v="No"/>
    <n v="12"/>
    <x v="0"/>
    <n v="2"/>
    <n v="80"/>
    <n v="0"/>
    <n v="17"/>
    <n v="3"/>
    <n v="3"/>
    <n v="17"/>
    <n v="12"/>
    <n v="5"/>
    <n v="7"/>
  </r>
  <r>
    <n v="44"/>
    <x v="0"/>
    <x v="1"/>
    <n v="920"/>
    <x v="1"/>
    <n v="24"/>
    <n v="3"/>
    <s v="Life Sciences"/>
    <n v="1"/>
    <n v="392"/>
    <n v="4"/>
    <x v="1"/>
    <n v="43"/>
    <x v="0"/>
    <n v="1"/>
    <x v="2"/>
    <n v="3"/>
    <x v="2"/>
    <n v="3161"/>
    <n v="19920"/>
    <n v="3"/>
    <s v="Y"/>
    <s v="Yes"/>
    <n v="22"/>
    <x v="1"/>
    <n v="4"/>
    <n v="80"/>
    <n v="1"/>
    <n v="19"/>
    <n v="0"/>
    <n v="1"/>
    <n v="1"/>
    <n v="0"/>
    <n v="0"/>
    <n v="0"/>
  </r>
  <r>
    <n v="38"/>
    <x v="1"/>
    <x v="0"/>
    <n v="688"/>
    <x v="1"/>
    <n v="23"/>
    <n v="4"/>
    <s v="Life Sciences"/>
    <n v="1"/>
    <n v="393"/>
    <n v="4"/>
    <x v="1"/>
    <n v="82"/>
    <x v="0"/>
    <n v="2"/>
    <x v="4"/>
    <n v="4"/>
    <x v="2"/>
    <n v="5745"/>
    <n v="18899"/>
    <n v="9"/>
    <s v="Y"/>
    <s v="No"/>
    <n v="14"/>
    <x v="0"/>
    <n v="2"/>
    <n v="80"/>
    <n v="1"/>
    <n v="10"/>
    <n v="2"/>
    <n v="3"/>
    <n v="2"/>
    <n v="2"/>
    <n v="1"/>
    <n v="2"/>
  </r>
  <r>
    <n v="26"/>
    <x v="0"/>
    <x v="0"/>
    <n v="1449"/>
    <x v="1"/>
    <n v="16"/>
    <n v="4"/>
    <s v="Medical"/>
    <n v="1"/>
    <n v="394"/>
    <n v="1"/>
    <x v="1"/>
    <n v="45"/>
    <x v="0"/>
    <n v="1"/>
    <x v="2"/>
    <n v="2"/>
    <x v="2"/>
    <n v="2373"/>
    <n v="14180"/>
    <n v="2"/>
    <s v="Y"/>
    <s v="Yes"/>
    <n v="13"/>
    <x v="0"/>
    <n v="4"/>
    <n v="80"/>
    <n v="1"/>
    <n v="5"/>
    <n v="2"/>
    <n v="3"/>
    <n v="3"/>
    <n v="2"/>
    <n v="0"/>
    <n v="2"/>
  </r>
  <r>
    <n v="28"/>
    <x v="1"/>
    <x v="0"/>
    <n v="1117"/>
    <x v="1"/>
    <n v="8"/>
    <n v="2"/>
    <s v="Life Sciences"/>
    <n v="1"/>
    <n v="395"/>
    <n v="4"/>
    <x v="0"/>
    <n v="66"/>
    <x v="0"/>
    <n v="1"/>
    <x v="1"/>
    <n v="4"/>
    <x v="0"/>
    <n v="3310"/>
    <n v="4488"/>
    <n v="1"/>
    <s v="Y"/>
    <s v="No"/>
    <n v="21"/>
    <x v="1"/>
    <n v="4"/>
    <n v="80"/>
    <n v="0"/>
    <n v="5"/>
    <n v="3"/>
    <n v="3"/>
    <n v="5"/>
    <n v="3"/>
    <n v="0"/>
    <n v="2"/>
  </r>
  <r>
    <n v="49"/>
    <x v="1"/>
    <x v="1"/>
    <n v="636"/>
    <x v="1"/>
    <n v="10"/>
    <n v="4"/>
    <s v="Life Sciences"/>
    <n v="1"/>
    <n v="396"/>
    <n v="3"/>
    <x v="0"/>
    <n v="35"/>
    <x v="0"/>
    <n v="5"/>
    <x v="7"/>
    <n v="1"/>
    <x v="0"/>
    <n v="18665"/>
    <n v="25594"/>
    <n v="9"/>
    <s v="Y"/>
    <s v="Yes"/>
    <n v="11"/>
    <x v="0"/>
    <n v="4"/>
    <n v="80"/>
    <n v="0"/>
    <n v="22"/>
    <n v="4"/>
    <n v="3"/>
    <n v="3"/>
    <n v="2"/>
    <n v="1"/>
    <n v="2"/>
  </r>
  <r>
    <n v="36"/>
    <x v="1"/>
    <x v="0"/>
    <n v="506"/>
    <x v="1"/>
    <n v="3"/>
    <n v="3"/>
    <s v="Technical Degree"/>
    <n v="1"/>
    <n v="397"/>
    <n v="3"/>
    <x v="1"/>
    <n v="30"/>
    <x v="0"/>
    <n v="2"/>
    <x v="1"/>
    <n v="2"/>
    <x v="0"/>
    <n v="4485"/>
    <n v="26285"/>
    <n v="4"/>
    <s v="Y"/>
    <s v="No"/>
    <n v="12"/>
    <x v="0"/>
    <n v="4"/>
    <n v="80"/>
    <n v="0"/>
    <n v="10"/>
    <n v="2"/>
    <n v="3"/>
    <n v="8"/>
    <n v="0"/>
    <n v="7"/>
    <n v="7"/>
  </r>
  <r>
    <n v="31"/>
    <x v="1"/>
    <x v="1"/>
    <n v="444"/>
    <x v="0"/>
    <n v="5"/>
    <n v="3"/>
    <s v="Marketing"/>
    <n v="1"/>
    <n v="399"/>
    <n v="4"/>
    <x v="0"/>
    <n v="84"/>
    <x v="0"/>
    <n v="1"/>
    <x v="6"/>
    <n v="2"/>
    <x v="2"/>
    <n v="2789"/>
    <n v="3909"/>
    <n v="1"/>
    <s v="Y"/>
    <s v="No"/>
    <n v="11"/>
    <x v="0"/>
    <n v="3"/>
    <n v="80"/>
    <n v="1"/>
    <n v="2"/>
    <n v="5"/>
    <n v="2"/>
    <n v="2"/>
    <n v="2"/>
    <n v="2"/>
    <n v="2"/>
  </r>
  <r>
    <n v="26"/>
    <x v="0"/>
    <x v="0"/>
    <n v="950"/>
    <x v="0"/>
    <n v="4"/>
    <n v="4"/>
    <s v="Marketing"/>
    <n v="1"/>
    <n v="401"/>
    <n v="4"/>
    <x v="1"/>
    <n v="48"/>
    <x v="1"/>
    <n v="2"/>
    <x v="0"/>
    <n v="4"/>
    <x v="0"/>
    <n v="5828"/>
    <n v="8450"/>
    <n v="1"/>
    <s v="Y"/>
    <s v="Yes"/>
    <n v="12"/>
    <x v="0"/>
    <n v="2"/>
    <n v="80"/>
    <n v="0"/>
    <n v="8"/>
    <n v="0"/>
    <n v="3"/>
    <n v="8"/>
    <n v="7"/>
    <n v="7"/>
    <n v="4"/>
  </r>
  <r>
    <n v="37"/>
    <x v="1"/>
    <x v="1"/>
    <n v="889"/>
    <x v="1"/>
    <n v="9"/>
    <n v="3"/>
    <s v="Medical"/>
    <n v="1"/>
    <n v="403"/>
    <n v="2"/>
    <x v="1"/>
    <n v="53"/>
    <x v="0"/>
    <n v="1"/>
    <x v="1"/>
    <n v="4"/>
    <x v="1"/>
    <n v="2326"/>
    <n v="11411"/>
    <n v="1"/>
    <s v="Y"/>
    <s v="Yes"/>
    <n v="12"/>
    <x v="0"/>
    <n v="3"/>
    <n v="80"/>
    <n v="3"/>
    <n v="4"/>
    <n v="3"/>
    <n v="2"/>
    <n v="4"/>
    <n v="2"/>
    <n v="1"/>
    <n v="2"/>
  </r>
  <r>
    <n v="42"/>
    <x v="1"/>
    <x v="1"/>
    <n v="555"/>
    <x v="0"/>
    <n v="26"/>
    <n v="3"/>
    <s v="Marketing"/>
    <n v="1"/>
    <n v="404"/>
    <n v="3"/>
    <x v="0"/>
    <n v="77"/>
    <x v="0"/>
    <n v="4"/>
    <x v="0"/>
    <n v="2"/>
    <x v="1"/>
    <n v="13525"/>
    <n v="14864"/>
    <n v="5"/>
    <s v="Y"/>
    <s v="No"/>
    <n v="14"/>
    <x v="0"/>
    <n v="4"/>
    <n v="80"/>
    <n v="1"/>
    <n v="23"/>
    <n v="2"/>
    <n v="4"/>
    <n v="20"/>
    <n v="4"/>
    <n v="4"/>
    <n v="8"/>
  </r>
  <r>
    <n v="18"/>
    <x v="0"/>
    <x v="0"/>
    <n v="230"/>
    <x v="1"/>
    <n v="3"/>
    <n v="3"/>
    <s v="Life Sciences"/>
    <n v="1"/>
    <n v="405"/>
    <n v="3"/>
    <x v="1"/>
    <n v="54"/>
    <x v="0"/>
    <n v="1"/>
    <x v="2"/>
    <n v="3"/>
    <x v="0"/>
    <n v="1420"/>
    <n v="25233"/>
    <n v="1"/>
    <s v="Y"/>
    <s v="No"/>
    <n v="13"/>
    <x v="0"/>
    <n v="3"/>
    <n v="80"/>
    <n v="0"/>
    <n v="0"/>
    <n v="2"/>
    <n v="3"/>
    <n v="0"/>
    <n v="0"/>
    <n v="0"/>
    <n v="0"/>
  </r>
  <r>
    <n v="35"/>
    <x v="1"/>
    <x v="0"/>
    <n v="1232"/>
    <x v="0"/>
    <n v="16"/>
    <n v="3"/>
    <s v="Marketing"/>
    <n v="1"/>
    <n v="406"/>
    <n v="3"/>
    <x v="1"/>
    <n v="96"/>
    <x v="0"/>
    <n v="3"/>
    <x v="0"/>
    <n v="2"/>
    <x v="1"/>
    <n v="8020"/>
    <n v="5100"/>
    <n v="0"/>
    <s v="Y"/>
    <s v="No"/>
    <n v="15"/>
    <x v="0"/>
    <n v="3"/>
    <n v="80"/>
    <n v="2"/>
    <n v="12"/>
    <n v="3"/>
    <n v="2"/>
    <n v="11"/>
    <n v="9"/>
    <n v="6"/>
    <n v="9"/>
  </r>
  <r>
    <n v="36"/>
    <x v="1"/>
    <x v="1"/>
    <n v="566"/>
    <x v="1"/>
    <n v="18"/>
    <n v="4"/>
    <s v="Life Sciences"/>
    <n v="1"/>
    <n v="407"/>
    <n v="3"/>
    <x v="1"/>
    <n v="81"/>
    <x v="2"/>
    <n v="1"/>
    <x v="2"/>
    <n v="4"/>
    <x v="1"/>
    <n v="3688"/>
    <n v="7122"/>
    <n v="4"/>
    <s v="Y"/>
    <s v="No"/>
    <n v="18"/>
    <x v="0"/>
    <n v="4"/>
    <n v="80"/>
    <n v="2"/>
    <n v="4"/>
    <n v="2"/>
    <n v="3"/>
    <n v="1"/>
    <n v="0"/>
    <n v="0"/>
    <n v="0"/>
  </r>
  <r>
    <n v="51"/>
    <x v="1"/>
    <x v="0"/>
    <n v="1302"/>
    <x v="1"/>
    <n v="2"/>
    <n v="3"/>
    <s v="Medical"/>
    <n v="1"/>
    <n v="408"/>
    <n v="4"/>
    <x v="1"/>
    <n v="84"/>
    <x v="3"/>
    <n v="2"/>
    <x v="3"/>
    <n v="2"/>
    <x v="2"/>
    <n v="5482"/>
    <n v="16321"/>
    <n v="5"/>
    <s v="Y"/>
    <s v="No"/>
    <n v="18"/>
    <x v="0"/>
    <n v="4"/>
    <n v="80"/>
    <n v="1"/>
    <n v="13"/>
    <n v="3"/>
    <n v="3"/>
    <n v="4"/>
    <n v="1"/>
    <n v="1"/>
    <n v="2"/>
  </r>
  <r>
    <n v="41"/>
    <x v="1"/>
    <x v="0"/>
    <n v="334"/>
    <x v="0"/>
    <n v="2"/>
    <n v="4"/>
    <s v="Life Sciences"/>
    <n v="1"/>
    <n v="410"/>
    <n v="4"/>
    <x v="1"/>
    <n v="88"/>
    <x v="0"/>
    <n v="4"/>
    <x v="5"/>
    <n v="2"/>
    <x v="0"/>
    <n v="16015"/>
    <n v="15896"/>
    <n v="1"/>
    <s v="Y"/>
    <s v="No"/>
    <n v="19"/>
    <x v="0"/>
    <n v="2"/>
    <n v="80"/>
    <n v="0"/>
    <n v="22"/>
    <n v="2"/>
    <n v="3"/>
    <n v="22"/>
    <n v="10"/>
    <n v="0"/>
    <n v="4"/>
  </r>
  <r>
    <n v="18"/>
    <x v="1"/>
    <x v="0"/>
    <n v="812"/>
    <x v="0"/>
    <n v="10"/>
    <n v="3"/>
    <s v="Medical"/>
    <n v="1"/>
    <n v="411"/>
    <n v="4"/>
    <x v="0"/>
    <n v="69"/>
    <x v="1"/>
    <n v="1"/>
    <x v="6"/>
    <n v="3"/>
    <x v="0"/>
    <n v="1200"/>
    <n v="9724"/>
    <n v="1"/>
    <s v="Y"/>
    <s v="No"/>
    <n v="12"/>
    <x v="0"/>
    <n v="1"/>
    <n v="80"/>
    <n v="0"/>
    <n v="0"/>
    <n v="2"/>
    <n v="3"/>
    <n v="0"/>
    <n v="0"/>
    <n v="0"/>
    <n v="0"/>
  </r>
  <r>
    <n v="28"/>
    <x v="1"/>
    <x v="0"/>
    <n v="1476"/>
    <x v="1"/>
    <n v="16"/>
    <n v="2"/>
    <s v="Medical"/>
    <n v="1"/>
    <n v="412"/>
    <n v="2"/>
    <x v="1"/>
    <n v="68"/>
    <x v="2"/>
    <n v="2"/>
    <x v="4"/>
    <n v="1"/>
    <x v="0"/>
    <n v="5661"/>
    <n v="4824"/>
    <n v="0"/>
    <s v="Y"/>
    <s v="No"/>
    <n v="19"/>
    <x v="0"/>
    <n v="3"/>
    <n v="80"/>
    <n v="0"/>
    <n v="9"/>
    <n v="2"/>
    <n v="3"/>
    <n v="8"/>
    <n v="3"/>
    <n v="0"/>
    <n v="7"/>
  </r>
  <r>
    <n v="31"/>
    <x v="1"/>
    <x v="0"/>
    <n v="218"/>
    <x v="0"/>
    <n v="7"/>
    <n v="3"/>
    <s v="Technical Degree"/>
    <n v="1"/>
    <n v="416"/>
    <n v="2"/>
    <x v="1"/>
    <n v="100"/>
    <x v="2"/>
    <n v="2"/>
    <x v="0"/>
    <n v="4"/>
    <x v="1"/>
    <n v="6929"/>
    <n v="12241"/>
    <n v="4"/>
    <s v="Y"/>
    <s v="No"/>
    <n v="11"/>
    <x v="0"/>
    <n v="2"/>
    <n v="80"/>
    <n v="1"/>
    <n v="10"/>
    <n v="3"/>
    <n v="2"/>
    <n v="8"/>
    <n v="7"/>
    <n v="7"/>
    <n v="7"/>
  </r>
  <r>
    <n v="39"/>
    <x v="1"/>
    <x v="0"/>
    <n v="1132"/>
    <x v="1"/>
    <n v="1"/>
    <n v="3"/>
    <s v="Medical"/>
    <n v="1"/>
    <n v="417"/>
    <n v="3"/>
    <x v="1"/>
    <n v="48"/>
    <x v="2"/>
    <n v="3"/>
    <x v="4"/>
    <n v="4"/>
    <x v="2"/>
    <n v="9613"/>
    <n v="10942"/>
    <n v="0"/>
    <s v="Y"/>
    <s v="No"/>
    <n v="17"/>
    <x v="0"/>
    <n v="1"/>
    <n v="80"/>
    <n v="3"/>
    <n v="19"/>
    <n v="5"/>
    <n v="2"/>
    <n v="18"/>
    <n v="10"/>
    <n v="3"/>
    <n v="7"/>
  </r>
  <r>
    <n v="36"/>
    <x v="1"/>
    <x v="2"/>
    <n v="1105"/>
    <x v="1"/>
    <n v="24"/>
    <n v="4"/>
    <s v="Life Sciences"/>
    <n v="1"/>
    <n v="419"/>
    <n v="2"/>
    <x v="0"/>
    <n v="47"/>
    <x v="0"/>
    <n v="2"/>
    <x v="2"/>
    <n v="2"/>
    <x v="1"/>
    <n v="5674"/>
    <n v="6927"/>
    <n v="7"/>
    <s v="Y"/>
    <s v="No"/>
    <n v="15"/>
    <x v="0"/>
    <n v="3"/>
    <n v="80"/>
    <n v="1"/>
    <n v="11"/>
    <n v="3"/>
    <n v="3"/>
    <n v="9"/>
    <n v="8"/>
    <n v="0"/>
    <n v="8"/>
  </r>
  <r>
    <n v="32"/>
    <x v="1"/>
    <x v="0"/>
    <n v="906"/>
    <x v="0"/>
    <n v="7"/>
    <n v="3"/>
    <s v="Life Sciences"/>
    <n v="1"/>
    <n v="420"/>
    <n v="4"/>
    <x v="1"/>
    <n v="91"/>
    <x v="1"/>
    <n v="2"/>
    <x v="0"/>
    <n v="3"/>
    <x v="1"/>
    <n v="5484"/>
    <n v="16985"/>
    <n v="1"/>
    <s v="Y"/>
    <s v="No"/>
    <n v="14"/>
    <x v="0"/>
    <n v="3"/>
    <n v="80"/>
    <n v="1"/>
    <n v="13"/>
    <n v="3"/>
    <n v="2"/>
    <n v="13"/>
    <n v="8"/>
    <n v="4"/>
    <n v="8"/>
  </r>
  <r>
    <n v="38"/>
    <x v="1"/>
    <x v="0"/>
    <n v="849"/>
    <x v="1"/>
    <n v="25"/>
    <n v="2"/>
    <s v="Life Sciences"/>
    <n v="1"/>
    <n v="421"/>
    <n v="1"/>
    <x v="0"/>
    <n v="81"/>
    <x v="1"/>
    <n v="3"/>
    <x v="7"/>
    <n v="2"/>
    <x v="1"/>
    <n v="12061"/>
    <n v="26707"/>
    <n v="3"/>
    <s v="Y"/>
    <s v="No"/>
    <n v="17"/>
    <x v="0"/>
    <n v="3"/>
    <n v="80"/>
    <n v="1"/>
    <n v="19"/>
    <n v="2"/>
    <n v="3"/>
    <n v="10"/>
    <n v="8"/>
    <n v="0"/>
    <n v="1"/>
  </r>
  <r>
    <n v="58"/>
    <x v="1"/>
    <x v="2"/>
    <n v="390"/>
    <x v="1"/>
    <n v="1"/>
    <n v="4"/>
    <s v="Life Sciences"/>
    <n v="1"/>
    <n v="422"/>
    <n v="4"/>
    <x v="1"/>
    <n v="32"/>
    <x v="3"/>
    <n v="2"/>
    <x v="4"/>
    <n v="3"/>
    <x v="2"/>
    <n v="5660"/>
    <n v="17056"/>
    <n v="2"/>
    <s v="Y"/>
    <s v="Yes"/>
    <n v="13"/>
    <x v="0"/>
    <n v="4"/>
    <n v="80"/>
    <n v="1"/>
    <n v="12"/>
    <n v="2"/>
    <n v="3"/>
    <n v="5"/>
    <n v="3"/>
    <n v="1"/>
    <n v="2"/>
  </r>
  <r>
    <n v="31"/>
    <x v="1"/>
    <x v="0"/>
    <n v="691"/>
    <x v="1"/>
    <n v="5"/>
    <n v="4"/>
    <s v="Technical Degree"/>
    <n v="1"/>
    <n v="423"/>
    <n v="3"/>
    <x v="1"/>
    <n v="86"/>
    <x v="0"/>
    <n v="1"/>
    <x v="1"/>
    <n v="4"/>
    <x v="1"/>
    <n v="4821"/>
    <n v="10077"/>
    <n v="0"/>
    <s v="Y"/>
    <s v="Yes"/>
    <n v="12"/>
    <x v="0"/>
    <n v="3"/>
    <n v="80"/>
    <n v="1"/>
    <n v="6"/>
    <n v="4"/>
    <n v="3"/>
    <n v="5"/>
    <n v="2"/>
    <n v="0"/>
    <n v="3"/>
  </r>
  <r>
    <n v="31"/>
    <x v="1"/>
    <x v="0"/>
    <n v="106"/>
    <x v="2"/>
    <n v="2"/>
    <n v="3"/>
    <s v="Human Resources"/>
    <n v="1"/>
    <n v="424"/>
    <n v="1"/>
    <x v="1"/>
    <n v="62"/>
    <x v="1"/>
    <n v="2"/>
    <x v="8"/>
    <n v="1"/>
    <x v="1"/>
    <n v="6410"/>
    <n v="17822"/>
    <n v="3"/>
    <s v="Y"/>
    <s v="No"/>
    <n v="12"/>
    <x v="0"/>
    <n v="4"/>
    <n v="80"/>
    <n v="0"/>
    <n v="9"/>
    <n v="1"/>
    <n v="3"/>
    <n v="2"/>
    <n v="2"/>
    <n v="1"/>
    <n v="0"/>
  </r>
  <r>
    <n v="45"/>
    <x v="1"/>
    <x v="1"/>
    <n v="1249"/>
    <x v="1"/>
    <n v="7"/>
    <n v="3"/>
    <s v="Life Sciences"/>
    <n v="1"/>
    <n v="425"/>
    <n v="1"/>
    <x v="1"/>
    <n v="97"/>
    <x v="0"/>
    <n v="3"/>
    <x v="2"/>
    <n v="1"/>
    <x v="2"/>
    <n v="5210"/>
    <n v="20308"/>
    <n v="1"/>
    <s v="Y"/>
    <s v="No"/>
    <n v="18"/>
    <x v="0"/>
    <n v="1"/>
    <n v="80"/>
    <n v="1"/>
    <n v="24"/>
    <n v="2"/>
    <n v="3"/>
    <n v="24"/>
    <n v="9"/>
    <n v="9"/>
    <n v="11"/>
  </r>
  <r>
    <n v="31"/>
    <x v="1"/>
    <x v="0"/>
    <n v="192"/>
    <x v="1"/>
    <n v="2"/>
    <n v="4"/>
    <s v="Life Sciences"/>
    <n v="1"/>
    <n v="426"/>
    <n v="3"/>
    <x v="1"/>
    <n v="32"/>
    <x v="0"/>
    <n v="1"/>
    <x v="1"/>
    <n v="4"/>
    <x v="2"/>
    <n v="2695"/>
    <n v="7747"/>
    <n v="0"/>
    <s v="Y"/>
    <s v="Yes"/>
    <n v="18"/>
    <x v="0"/>
    <n v="2"/>
    <n v="80"/>
    <n v="1"/>
    <n v="3"/>
    <n v="2"/>
    <n v="1"/>
    <n v="2"/>
    <n v="2"/>
    <n v="2"/>
    <n v="2"/>
  </r>
  <r>
    <n v="33"/>
    <x v="1"/>
    <x v="1"/>
    <n v="553"/>
    <x v="1"/>
    <n v="5"/>
    <n v="4"/>
    <s v="Life Sciences"/>
    <n v="1"/>
    <n v="428"/>
    <n v="4"/>
    <x v="0"/>
    <n v="74"/>
    <x v="0"/>
    <n v="3"/>
    <x v="5"/>
    <n v="2"/>
    <x v="1"/>
    <n v="11878"/>
    <n v="23364"/>
    <n v="6"/>
    <s v="Y"/>
    <s v="No"/>
    <n v="11"/>
    <x v="0"/>
    <n v="2"/>
    <n v="80"/>
    <n v="2"/>
    <n v="12"/>
    <n v="2"/>
    <n v="3"/>
    <n v="10"/>
    <n v="6"/>
    <n v="8"/>
    <n v="8"/>
  </r>
  <r>
    <n v="39"/>
    <x v="1"/>
    <x v="0"/>
    <n v="117"/>
    <x v="1"/>
    <n v="10"/>
    <n v="1"/>
    <s v="Medical"/>
    <n v="1"/>
    <n v="429"/>
    <n v="3"/>
    <x v="1"/>
    <n v="99"/>
    <x v="0"/>
    <n v="4"/>
    <x v="5"/>
    <n v="1"/>
    <x v="1"/>
    <n v="17068"/>
    <n v="5355"/>
    <n v="1"/>
    <s v="Y"/>
    <s v="Yes"/>
    <n v="14"/>
    <x v="0"/>
    <n v="4"/>
    <n v="80"/>
    <n v="0"/>
    <n v="21"/>
    <n v="3"/>
    <n v="3"/>
    <n v="21"/>
    <n v="9"/>
    <n v="11"/>
    <n v="10"/>
  </r>
  <r>
    <n v="43"/>
    <x v="1"/>
    <x v="1"/>
    <n v="185"/>
    <x v="1"/>
    <n v="10"/>
    <n v="4"/>
    <s v="Life Sciences"/>
    <n v="1"/>
    <n v="430"/>
    <n v="3"/>
    <x v="0"/>
    <n v="33"/>
    <x v="0"/>
    <n v="1"/>
    <x v="2"/>
    <n v="4"/>
    <x v="0"/>
    <n v="2455"/>
    <n v="10675"/>
    <n v="0"/>
    <s v="Y"/>
    <s v="No"/>
    <n v="19"/>
    <x v="0"/>
    <n v="1"/>
    <n v="80"/>
    <n v="0"/>
    <n v="9"/>
    <n v="5"/>
    <n v="3"/>
    <n v="8"/>
    <n v="7"/>
    <n v="1"/>
    <n v="7"/>
  </r>
  <r>
    <n v="49"/>
    <x v="1"/>
    <x v="0"/>
    <n v="1091"/>
    <x v="1"/>
    <n v="1"/>
    <n v="2"/>
    <s v="Technical Degree"/>
    <n v="1"/>
    <n v="431"/>
    <n v="3"/>
    <x v="0"/>
    <n v="90"/>
    <x v="1"/>
    <n v="4"/>
    <x v="4"/>
    <n v="3"/>
    <x v="0"/>
    <n v="13964"/>
    <n v="17810"/>
    <n v="7"/>
    <s v="Y"/>
    <s v="Yes"/>
    <n v="12"/>
    <x v="0"/>
    <n v="4"/>
    <n v="80"/>
    <n v="0"/>
    <n v="25"/>
    <n v="2"/>
    <n v="3"/>
    <n v="7"/>
    <n v="1"/>
    <n v="0"/>
    <n v="7"/>
  </r>
  <r>
    <n v="52"/>
    <x v="0"/>
    <x v="0"/>
    <n v="723"/>
    <x v="1"/>
    <n v="8"/>
    <n v="4"/>
    <s v="Medical"/>
    <n v="1"/>
    <n v="433"/>
    <n v="3"/>
    <x v="1"/>
    <n v="85"/>
    <x v="1"/>
    <n v="2"/>
    <x v="1"/>
    <n v="2"/>
    <x v="1"/>
    <n v="4941"/>
    <n v="17747"/>
    <n v="2"/>
    <s v="Y"/>
    <s v="No"/>
    <n v="15"/>
    <x v="0"/>
    <n v="1"/>
    <n v="80"/>
    <n v="0"/>
    <n v="11"/>
    <n v="3"/>
    <n v="2"/>
    <n v="8"/>
    <n v="2"/>
    <n v="7"/>
    <n v="7"/>
  </r>
  <r>
    <n v="27"/>
    <x v="1"/>
    <x v="0"/>
    <n v="1220"/>
    <x v="1"/>
    <n v="5"/>
    <n v="3"/>
    <s v="Life Sciences"/>
    <n v="1"/>
    <n v="434"/>
    <n v="3"/>
    <x v="0"/>
    <n v="85"/>
    <x v="0"/>
    <n v="1"/>
    <x v="1"/>
    <n v="2"/>
    <x v="0"/>
    <n v="2478"/>
    <n v="20938"/>
    <n v="1"/>
    <s v="Y"/>
    <s v="Yes"/>
    <n v="12"/>
    <x v="0"/>
    <n v="2"/>
    <n v="80"/>
    <n v="0"/>
    <n v="4"/>
    <n v="2"/>
    <n v="2"/>
    <n v="4"/>
    <n v="3"/>
    <n v="1"/>
    <n v="2"/>
  </r>
  <r>
    <n v="32"/>
    <x v="1"/>
    <x v="0"/>
    <n v="588"/>
    <x v="0"/>
    <n v="8"/>
    <n v="2"/>
    <s v="Technical Degree"/>
    <n v="1"/>
    <n v="436"/>
    <n v="3"/>
    <x v="0"/>
    <n v="65"/>
    <x v="1"/>
    <n v="2"/>
    <x v="0"/>
    <n v="2"/>
    <x v="1"/>
    <n v="5228"/>
    <n v="24624"/>
    <n v="1"/>
    <s v="Y"/>
    <s v="Yes"/>
    <n v="11"/>
    <x v="0"/>
    <n v="4"/>
    <n v="80"/>
    <n v="0"/>
    <n v="13"/>
    <n v="2"/>
    <n v="3"/>
    <n v="13"/>
    <n v="12"/>
    <n v="11"/>
    <n v="9"/>
  </r>
  <r>
    <n v="27"/>
    <x v="1"/>
    <x v="0"/>
    <n v="1377"/>
    <x v="0"/>
    <n v="2"/>
    <n v="3"/>
    <s v="Life Sciences"/>
    <n v="1"/>
    <n v="437"/>
    <n v="4"/>
    <x v="1"/>
    <n v="74"/>
    <x v="0"/>
    <n v="2"/>
    <x v="0"/>
    <n v="3"/>
    <x v="0"/>
    <n v="4478"/>
    <n v="5242"/>
    <n v="1"/>
    <s v="Y"/>
    <s v="Yes"/>
    <n v="11"/>
    <x v="0"/>
    <n v="1"/>
    <n v="80"/>
    <n v="0"/>
    <n v="5"/>
    <n v="3"/>
    <n v="3"/>
    <n v="5"/>
    <n v="4"/>
    <n v="0"/>
    <n v="4"/>
  </r>
  <r>
    <n v="31"/>
    <x v="1"/>
    <x v="0"/>
    <n v="691"/>
    <x v="0"/>
    <n v="7"/>
    <n v="3"/>
    <s v="Marketing"/>
    <n v="1"/>
    <n v="438"/>
    <n v="4"/>
    <x v="1"/>
    <n v="73"/>
    <x v="0"/>
    <n v="2"/>
    <x v="0"/>
    <n v="4"/>
    <x v="2"/>
    <n v="7547"/>
    <n v="7143"/>
    <n v="4"/>
    <s v="Y"/>
    <s v="No"/>
    <n v="12"/>
    <x v="0"/>
    <n v="4"/>
    <n v="80"/>
    <n v="3"/>
    <n v="13"/>
    <n v="3"/>
    <n v="3"/>
    <n v="7"/>
    <n v="7"/>
    <n v="1"/>
    <n v="7"/>
  </r>
  <r>
    <n v="32"/>
    <x v="1"/>
    <x v="0"/>
    <n v="1018"/>
    <x v="1"/>
    <n v="2"/>
    <n v="4"/>
    <s v="Medical"/>
    <n v="1"/>
    <n v="439"/>
    <n v="1"/>
    <x v="0"/>
    <n v="74"/>
    <x v="2"/>
    <n v="2"/>
    <x v="1"/>
    <n v="4"/>
    <x v="0"/>
    <n v="5055"/>
    <n v="10557"/>
    <n v="7"/>
    <s v="Y"/>
    <s v="No"/>
    <n v="16"/>
    <x v="0"/>
    <n v="3"/>
    <n v="80"/>
    <n v="0"/>
    <n v="10"/>
    <n v="0"/>
    <n v="2"/>
    <n v="7"/>
    <n v="7"/>
    <n v="0"/>
    <n v="7"/>
  </r>
  <r>
    <n v="28"/>
    <x v="0"/>
    <x v="0"/>
    <n v="1157"/>
    <x v="1"/>
    <n v="2"/>
    <n v="4"/>
    <s v="Medical"/>
    <n v="1"/>
    <n v="440"/>
    <n v="1"/>
    <x v="1"/>
    <n v="84"/>
    <x v="3"/>
    <n v="1"/>
    <x v="1"/>
    <n v="4"/>
    <x v="1"/>
    <n v="3464"/>
    <n v="24737"/>
    <n v="5"/>
    <s v="Y"/>
    <s v="Yes"/>
    <n v="13"/>
    <x v="0"/>
    <n v="4"/>
    <n v="80"/>
    <n v="0"/>
    <n v="5"/>
    <n v="4"/>
    <n v="2"/>
    <n v="3"/>
    <n v="2"/>
    <n v="2"/>
    <n v="2"/>
  </r>
  <r>
    <n v="30"/>
    <x v="1"/>
    <x v="0"/>
    <n v="1275"/>
    <x v="1"/>
    <n v="28"/>
    <n v="2"/>
    <s v="Medical"/>
    <n v="1"/>
    <n v="441"/>
    <n v="4"/>
    <x v="0"/>
    <n v="64"/>
    <x v="0"/>
    <n v="2"/>
    <x v="1"/>
    <n v="4"/>
    <x v="1"/>
    <n v="5775"/>
    <n v="11934"/>
    <n v="1"/>
    <s v="Y"/>
    <s v="No"/>
    <n v="13"/>
    <x v="0"/>
    <n v="4"/>
    <n v="80"/>
    <n v="2"/>
    <n v="11"/>
    <n v="2"/>
    <n v="3"/>
    <n v="10"/>
    <n v="8"/>
    <n v="1"/>
    <n v="9"/>
  </r>
  <r>
    <n v="31"/>
    <x v="1"/>
    <x v="1"/>
    <n v="798"/>
    <x v="1"/>
    <n v="7"/>
    <n v="2"/>
    <s v="Life Sciences"/>
    <n v="1"/>
    <n v="442"/>
    <n v="3"/>
    <x v="0"/>
    <n v="48"/>
    <x v="1"/>
    <n v="3"/>
    <x v="3"/>
    <n v="3"/>
    <x v="1"/>
    <n v="8943"/>
    <n v="14034"/>
    <n v="1"/>
    <s v="Y"/>
    <s v="No"/>
    <n v="24"/>
    <x v="1"/>
    <n v="1"/>
    <n v="80"/>
    <n v="1"/>
    <n v="10"/>
    <n v="2"/>
    <n v="3"/>
    <n v="10"/>
    <n v="9"/>
    <n v="8"/>
    <n v="9"/>
  </r>
  <r>
    <n v="39"/>
    <x v="1"/>
    <x v="1"/>
    <n v="672"/>
    <x v="1"/>
    <n v="7"/>
    <n v="2"/>
    <s v="Medical"/>
    <n v="1"/>
    <n v="444"/>
    <n v="3"/>
    <x v="1"/>
    <n v="54"/>
    <x v="1"/>
    <n v="5"/>
    <x v="5"/>
    <n v="4"/>
    <x v="1"/>
    <n v="19272"/>
    <n v="21141"/>
    <n v="1"/>
    <s v="Y"/>
    <s v="No"/>
    <n v="15"/>
    <x v="0"/>
    <n v="1"/>
    <n v="80"/>
    <n v="1"/>
    <n v="21"/>
    <n v="2"/>
    <n v="3"/>
    <n v="21"/>
    <n v="9"/>
    <n v="13"/>
    <n v="3"/>
  </r>
  <r>
    <n v="39"/>
    <x v="0"/>
    <x v="0"/>
    <n v="1162"/>
    <x v="0"/>
    <n v="3"/>
    <n v="2"/>
    <s v="Medical"/>
    <n v="1"/>
    <n v="445"/>
    <n v="4"/>
    <x v="0"/>
    <n v="41"/>
    <x v="0"/>
    <n v="2"/>
    <x v="0"/>
    <n v="3"/>
    <x v="1"/>
    <n v="5238"/>
    <n v="17778"/>
    <n v="4"/>
    <s v="Y"/>
    <s v="Yes"/>
    <n v="18"/>
    <x v="0"/>
    <n v="1"/>
    <n v="80"/>
    <n v="0"/>
    <n v="12"/>
    <n v="3"/>
    <n v="2"/>
    <n v="1"/>
    <n v="0"/>
    <n v="0"/>
    <n v="0"/>
  </r>
  <r>
    <n v="33"/>
    <x v="1"/>
    <x v="1"/>
    <n v="508"/>
    <x v="0"/>
    <n v="10"/>
    <n v="3"/>
    <s v="Marketing"/>
    <n v="1"/>
    <n v="446"/>
    <n v="2"/>
    <x v="1"/>
    <n v="46"/>
    <x v="1"/>
    <n v="2"/>
    <x v="0"/>
    <n v="4"/>
    <x v="0"/>
    <n v="4682"/>
    <n v="4317"/>
    <n v="3"/>
    <s v="Y"/>
    <s v="No"/>
    <n v="14"/>
    <x v="0"/>
    <n v="3"/>
    <n v="80"/>
    <n v="0"/>
    <n v="9"/>
    <n v="6"/>
    <n v="2"/>
    <n v="7"/>
    <n v="7"/>
    <n v="0"/>
    <n v="1"/>
  </r>
  <r>
    <n v="47"/>
    <x v="1"/>
    <x v="0"/>
    <n v="1482"/>
    <x v="1"/>
    <n v="5"/>
    <n v="5"/>
    <s v="Life Sciences"/>
    <n v="1"/>
    <n v="447"/>
    <n v="4"/>
    <x v="1"/>
    <n v="42"/>
    <x v="0"/>
    <n v="5"/>
    <x v="7"/>
    <n v="3"/>
    <x v="1"/>
    <n v="18300"/>
    <n v="16375"/>
    <n v="4"/>
    <s v="Y"/>
    <s v="No"/>
    <n v="11"/>
    <x v="0"/>
    <n v="2"/>
    <n v="80"/>
    <n v="1"/>
    <n v="21"/>
    <n v="2"/>
    <n v="3"/>
    <n v="3"/>
    <n v="2"/>
    <n v="1"/>
    <n v="1"/>
  </r>
  <r>
    <n v="43"/>
    <x v="1"/>
    <x v="1"/>
    <n v="559"/>
    <x v="1"/>
    <n v="10"/>
    <n v="4"/>
    <s v="Life Sciences"/>
    <n v="1"/>
    <n v="448"/>
    <n v="3"/>
    <x v="0"/>
    <n v="82"/>
    <x v="1"/>
    <n v="2"/>
    <x v="2"/>
    <n v="3"/>
    <x v="2"/>
    <n v="5257"/>
    <n v="6227"/>
    <n v="1"/>
    <s v="Y"/>
    <s v="No"/>
    <n v="11"/>
    <x v="0"/>
    <n v="2"/>
    <n v="80"/>
    <n v="1"/>
    <n v="9"/>
    <n v="3"/>
    <n v="4"/>
    <n v="9"/>
    <n v="7"/>
    <n v="0"/>
    <n v="0"/>
  </r>
  <r>
    <n v="27"/>
    <x v="1"/>
    <x v="2"/>
    <n v="210"/>
    <x v="0"/>
    <n v="1"/>
    <n v="1"/>
    <s v="Marketing"/>
    <n v="1"/>
    <n v="449"/>
    <n v="3"/>
    <x v="1"/>
    <n v="73"/>
    <x v="0"/>
    <n v="2"/>
    <x v="0"/>
    <n v="2"/>
    <x v="1"/>
    <n v="6349"/>
    <n v="22107"/>
    <n v="0"/>
    <s v="Y"/>
    <s v="Yes"/>
    <n v="13"/>
    <x v="0"/>
    <n v="4"/>
    <n v="80"/>
    <n v="1"/>
    <n v="6"/>
    <n v="0"/>
    <n v="3"/>
    <n v="5"/>
    <n v="4"/>
    <n v="1"/>
    <n v="4"/>
  </r>
  <r>
    <n v="54"/>
    <x v="1"/>
    <x v="1"/>
    <n v="928"/>
    <x v="1"/>
    <n v="20"/>
    <n v="4"/>
    <s v="Life Sciences"/>
    <n v="1"/>
    <n v="450"/>
    <n v="4"/>
    <x v="0"/>
    <n v="31"/>
    <x v="0"/>
    <n v="2"/>
    <x v="1"/>
    <n v="3"/>
    <x v="0"/>
    <n v="4869"/>
    <n v="16885"/>
    <n v="3"/>
    <s v="Y"/>
    <s v="No"/>
    <n v="12"/>
    <x v="0"/>
    <n v="4"/>
    <n v="80"/>
    <n v="0"/>
    <n v="20"/>
    <n v="4"/>
    <n v="2"/>
    <n v="4"/>
    <n v="3"/>
    <n v="0"/>
    <n v="3"/>
  </r>
  <r>
    <n v="43"/>
    <x v="1"/>
    <x v="0"/>
    <n v="1001"/>
    <x v="1"/>
    <n v="7"/>
    <n v="3"/>
    <s v="Life Sciences"/>
    <n v="1"/>
    <n v="451"/>
    <n v="3"/>
    <x v="0"/>
    <n v="43"/>
    <x v="0"/>
    <n v="3"/>
    <x v="4"/>
    <n v="1"/>
    <x v="1"/>
    <n v="9985"/>
    <n v="9262"/>
    <n v="8"/>
    <s v="Y"/>
    <s v="No"/>
    <n v="16"/>
    <x v="0"/>
    <n v="1"/>
    <n v="80"/>
    <n v="1"/>
    <n v="10"/>
    <n v="1"/>
    <n v="2"/>
    <n v="1"/>
    <n v="0"/>
    <n v="0"/>
    <n v="0"/>
  </r>
  <r>
    <n v="45"/>
    <x v="1"/>
    <x v="0"/>
    <n v="549"/>
    <x v="1"/>
    <n v="8"/>
    <n v="4"/>
    <s v="Other"/>
    <n v="1"/>
    <n v="452"/>
    <n v="4"/>
    <x v="1"/>
    <n v="75"/>
    <x v="0"/>
    <n v="2"/>
    <x v="1"/>
    <n v="4"/>
    <x v="1"/>
    <n v="3697"/>
    <n v="9278"/>
    <n v="9"/>
    <s v="Y"/>
    <s v="No"/>
    <n v="14"/>
    <x v="0"/>
    <n v="1"/>
    <n v="80"/>
    <n v="2"/>
    <n v="12"/>
    <n v="3"/>
    <n v="3"/>
    <n v="10"/>
    <n v="9"/>
    <n v="9"/>
    <n v="8"/>
  </r>
  <r>
    <n v="40"/>
    <x v="1"/>
    <x v="0"/>
    <n v="1124"/>
    <x v="0"/>
    <n v="1"/>
    <n v="2"/>
    <s v="Medical"/>
    <n v="1"/>
    <n v="453"/>
    <n v="2"/>
    <x v="1"/>
    <n v="57"/>
    <x v="3"/>
    <n v="2"/>
    <x v="0"/>
    <n v="4"/>
    <x v="1"/>
    <n v="7457"/>
    <n v="13273"/>
    <n v="2"/>
    <s v="Y"/>
    <s v="Yes"/>
    <n v="22"/>
    <x v="1"/>
    <n v="3"/>
    <n v="80"/>
    <n v="3"/>
    <n v="6"/>
    <n v="2"/>
    <n v="2"/>
    <n v="4"/>
    <n v="3"/>
    <n v="0"/>
    <n v="2"/>
  </r>
  <r>
    <n v="29"/>
    <x v="0"/>
    <x v="0"/>
    <n v="318"/>
    <x v="1"/>
    <n v="8"/>
    <n v="4"/>
    <s v="Other"/>
    <n v="1"/>
    <n v="454"/>
    <n v="2"/>
    <x v="1"/>
    <n v="77"/>
    <x v="3"/>
    <n v="1"/>
    <x v="2"/>
    <n v="1"/>
    <x v="1"/>
    <n v="2119"/>
    <n v="4759"/>
    <n v="1"/>
    <s v="Y"/>
    <s v="Yes"/>
    <n v="11"/>
    <x v="0"/>
    <n v="4"/>
    <n v="80"/>
    <n v="0"/>
    <n v="7"/>
    <n v="4"/>
    <n v="2"/>
    <n v="7"/>
    <n v="7"/>
    <n v="0"/>
    <n v="7"/>
  </r>
  <r>
    <n v="29"/>
    <x v="1"/>
    <x v="0"/>
    <n v="738"/>
    <x v="1"/>
    <n v="9"/>
    <n v="5"/>
    <s v="Other"/>
    <n v="1"/>
    <n v="455"/>
    <n v="2"/>
    <x v="1"/>
    <n v="30"/>
    <x v="1"/>
    <n v="1"/>
    <x v="2"/>
    <n v="4"/>
    <x v="0"/>
    <n v="3983"/>
    <n v="7621"/>
    <n v="0"/>
    <s v="Y"/>
    <s v="No"/>
    <n v="17"/>
    <x v="0"/>
    <n v="3"/>
    <n v="80"/>
    <n v="0"/>
    <n v="4"/>
    <n v="2"/>
    <n v="3"/>
    <n v="3"/>
    <n v="2"/>
    <n v="2"/>
    <n v="2"/>
  </r>
  <r>
    <n v="30"/>
    <x v="1"/>
    <x v="0"/>
    <n v="570"/>
    <x v="0"/>
    <n v="5"/>
    <n v="3"/>
    <s v="Marketing"/>
    <n v="1"/>
    <n v="456"/>
    <n v="4"/>
    <x v="0"/>
    <n v="30"/>
    <x v="1"/>
    <n v="2"/>
    <x v="0"/>
    <n v="3"/>
    <x v="2"/>
    <n v="6118"/>
    <n v="5431"/>
    <n v="1"/>
    <s v="Y"/>
    <s v="No"/>
    <n v="13"/>
    <x v="0"/>
    <n v="3"/>
    <n v="80"/>
    <n v="3"/>
    <n v="10"/>
    <n v="2"/>
    <n v="3"/>
    <n v="10"/>
    <n v="9"/>
    <n v="1"/>
    <n v="2"/>
  </r>
  <r>
    <n v="27"/>
    <x v="1"/>
    <x v="0"/>
    <n v="1130"/>
    <x v="0"/>
    <n v="8"/>
    <n v="4"/>
    <s v="Marketing"/>
    <n v="1"/>
    <n v="458"/>
    <n v="2"/>
    <x v="0"/>
    <n v="56"/>
    <x v="0"/>
    <n v="2"/>
    <x v="0"/>
    <n v="2"/>
    <x v="1"/>
    <n v="6214"/>
    <n v="3415"/>
    <n v="1"/>
    <s v="Y"/>
    <s v="No"/>
    <n v="18"/>
    <x v="0"/>
    <n v="1"/>
    <n v="80"/>
    <n v="1"/>
    <n v="8"/>
    <n v="3"/>
    <n v="3"/>
    <n v="8"/>
    <n v="7"/>
    <n v="0"/>
    <n v="7"/>
  </r>
  <r>
    <n v="37"/>
    <x v="1"/>
    <x v="0"/>
    <n v="1192"/>
    <x v="1"/>
    <n v="5"/>
    <n v="2"/>
    <s v="Medical"/>
    <n v="1"/>
    <n v="460"/>
    <n v="4"/>
    <x v="1"/>
    <n v="61"/>
    <x v="0"/>
    <n v="2"/>
    <x v="3"/>
    <n v="4"/>
    <x v="2"/>
    <n v="6347"/>
    <n v="23177"/>
    <n v="7"/>
    <s v="Y"/>
    <s v="No"/>
    <n v="16"/>
    <x v="0"/>
    <n v="3"/>
    <n v="80"/>
    <n v="2"/>
    <n v="8"/>
    <n v="2"/>
    <n v="2"/>
    <n v="6"/>
    <n v="2"/>
    <n v="0"/>
    <n v="4"/>
  </r>
  <r>
    <n v="38"/>
    <x v="1"/>
    <x v="0"/>
    <n v="343"/>
    <x v="1"/>
    <n v="15"/>
    <n v="2"/>
    <s v="Life Sciences"/>
    <n v="1"/>
    <n v="461"/>
    <n v="3"/>
    <x v="1"/>
    <n v="92"/>
    <x v="1"/>
    <n v="3"/>
    <x v="7"/>
    <n v="4"/>
    <x v="2"/>
    <n v="11510"/>
    <n v="15682"/>
    <n v="0"/>
    <s v="Y"/>
    <s v="Yes"/>
    <n v="14"/>
    <x v="0"/>
    <n v="2"/>
    <n v="80"/>
    <n v="1"/>
    <n v="12"/>
    <n v="3"/>
    <n v="3"/>
    <n v="11"/>
    <n v="10"/>
    <n v="2"/>
    <n v="9"/>
  </r>
  <r>
    <n v="31"/>
    <x v="1"/>
    <x v="0"/>
    <n v="1232"/>
    <x v="1"/>
    <n v="7"/>
    <n v="4"/>
    <s v="Medical"/>
    <n v="1"/>
    <n v="462"/>
    <n v="3"/>
    <x v="0"/>
    <n v="39"/>
    <x v="0"/>
    <n v="3"/>
    <x v="3"/>
    <n v="4"/>
    <x v="0"/>
    <n v="7143"/>
    <n v="25713"/>
    <n v="1"/>
    <s v="Y"/>
    <s v="Yes"/>
    <n v="14"/>
    <x v="0"/>
    <n v="3"/>
    <n v="80"/>
    <n v="0"/>
    <n v="11"/>
    <n v="2"/>
    <n v="2"/>
    <n v="11"/>
    <n v="9"/>
    <n v="4"/>
    <n v="10"/>
  </r>
  <r>
    <n v="29"/>
    <x v="1"/>
    <x v="0"/>
    <n v="144"/>
    <x v="0"/>
    <n v="10"/>
    <n v="1"/>
    <s v="Marketing"/>
    <n v="1"/>
    <n v="463"/>
    <n v="4"/>
    <x v="0"/>
    <n v="39"/>
    <x v="1"/>
    <n v="2"/>
    <x v="0"/>
    <n v="2"/>
    <x v="2"/>
    <n v="8268"/>
    <n v="11866"/>
    <n v="1"/>
    <s v="Y"/>
    <s v="Yes"/>
    <n v="14"/>
    <x v="0"/>
    <n v="1"/>
    <n v="80"/>
    <n v="2"/>
    <n v="7"/>
    <n v="2"/>
    <n v="3"/>
    <n v="7"/>
    <n v="7"/>
    <n v="1"/>
    <n v="7"/>
  </r>
  <r>
    <n v="35"/>
    <x v="1"/>
    <x v="0"/>
    <n v="1296"/>
    <x v="1"/>
    <n v="5"/>
    <n v="4"/>
    <s v="Technical Degree"/>
    <n v="1"/>
    <n v="464"/>
    <n v="3"/>
    <x v="1"/>
    <n v="62"/>
    <x v="0"/>
    <n v="3"/>
    <x v="3"/>
    <n v="2"/>
    <x v="0"/>
    <n v="8095"/>
    <n v="18264"/>
    <n v="0"/>
    <s v="Y"/>
    <s v="No"/>
    <n v="13"/>
    <x v="0"/>
    <n v="4"/>
    <n v="80"/>
    <n v="0"/>
    <n v="17"/>
    <n v="5"/>
    <n v="3"/>
    <n v="16"/>
    <n v="6"/>
    <n v="0"/>
    <n v="13"/>
  </r>
  <r>
    <n v="23"/>
    <x v="1"/>
    <x v="0"/>
    <n v="1309"/>
    <x v="1"/>
    <n v="26"/>
    <n v="1"/>
    <s v="Life Sciences"/>
    <n v="1"/>
    <n v="465"/>
    <n v="3"/>
    <x v="1"/>
    <n v="83"/>
    <x v="0"/>
    <n v="1"/>
    <x v="1"/>
    <n v="4"/>
    <x v="2"/>
    <n v="2904"/>
    <n v="16092"/>
    <n v="1"/>
    <s v="Y"/>
    <s v="No"/>
    <n v="12"/>
    <x v="0"/>
    <n v="3"/>
    <n v="80"/>
    <n v="2"/>
    <n v="4"/>
    <n v="2"/>
    <n v="2"/>
    <n v="4"/>
    <n v="2"/>
    <n v="0"/>
    <n v="2"/>
  </r>
  <r>
    <n v="41"/>
    <x v="1"/>
    <x v="0"/>
    <n v="483"/>
    <x v="1"/>
    <n v="6"/>
    <n v="3"/>
    <s v="Medical"/>
    <n v="1"/>
    <n v="466"/>
    <n v="4"/>
    <x v="1"/>
    <n v="95"/>
    <x v="1"/>
    <n v="2"/>
    <x v="3"/>
    <n v="2"/>
    <x v="0"/>
    <n v="6032"/>
    <n v="10110"/>
    <n v="6"/>
    <s v="Y"/>
    <s v="Yes"/>
    <n v="15"/>
    <x v="0"/>
    <n v="4"/>
    <n v="80"/>
    <n v="0"/>
    <n v="8"/>
    <n v="3"/>
    <n v="3"/>
    <n v="5"/>
    <n v="4"/>
    <n v="1"/>
    <n v="2"/>
  </r>
  <r>
    <n v="47"/>
    <x v="1"/>
    <x v="1"/>
    <n v="1309"/>
    <x v="0"/>
    <n v="4"/>
    <n v="1"/>
    <s v="Medical"/>
    <n v="1"/>
    <n v="467"/>
    <n v="2"/>
    <x v="1"/>
    <n v="99"/>
    <x v="0"/>
    <n v="2"/>
    <x v="6"/>
    <n v="3"/>
    <x v="0"/>
    <n v="2976"/>
    <n v="25751"/>
    <n v="3"/>
    <s v="Y"/>
    <s v="No"/>
    <n v="19"/>
    <x v="0"/>
    <n v="1"/>
    <n v="80"/>
    <n v="0"/>
    <n v="5"/>
    <n v="3"/>
    <n v="3"/>
    <n v="0"/>
    <n v="0"/>
    <n v="0"/>
    <n v="0"/>
  </r>
  <r>
    <n v="42"/>
    <x v="1"/>
    <x v="0"/>
    <n v="810"/>
    <x v="1"/>
    <n v="23"/>
    <n v="5"/>
    <s v="Life Sciences"/>
    <n v="1"/>
    <n v="468"/>
    <n v="1"/>
    <x v="0"/>
    <n v="44"/>
    <x v="0"/>
    <n v="4"/>
    <x v="7"/>
    <n v="4"/>
    <x v="0"/>
    <n v="15992"/>
    <n v="15901"/>
    <n v="2"/>
    <s v="Y"/>
    <s v="No"/>
    <n v="14"/>
    <x v="0"/>
    <n v="2"/>
    <n v="80"/>
    <n v="0"/>
    <n v="16"/>
    <n v="2"/>
    <n v="3"/>
    <n v="1"/>
    <n v="0"/>
    <n v="0"/>
    <n v="0"/>
  </r>
  <r>
    <n v="29"/>
    <x v="1"/>
    <x v="2"/>
    <n v="746"/>
    <x v="0"/>
    <n v="2"/>
    <n v="3"/>
    <s v="Life Sciences"/>
    <n v="1"/>
    <n v="469"/>
    <n v="4"/>
    <x v="1"/>
    <n v="61"/>
    <x v="0"/>
    <n v="2"/>
    <x v="0"/>
    <n v="3"/>
    <x v="1"/>
    <n v="4649"/>
    <n v="16928"/>
    <n v="1"/>
    <s v="Y"/>
    <s v="No"/>
    <n v="14"/>
    <x v="0"/>
    <n v="1"/>
    <n v="80"/>
    <n v="1"/>
    <n v="4"/>
    <n v="3"/>
    <n v="2"/>
    <n v="4"/>
    <n v="3"/>
    <n v="0"/>
    <n v="2"/>
  </r>
  <r>
    <n v="42"/>
    <x v="1"/>
    <x v="0"/>
    <n v="544"/>
    <x v="2"/>
    <n v="2"/>
    <n v="1"/>
    <s v="Technical Degree"/>
    <n v="1"/>
    <n v="470"/>
    <n v="3"/>
    <x v="1"/>
    <n v="52"/>
    <x v="0"/>
    <n v="1"/>
    <x v="8"/>
    <n v="3"/>
    <x v="2"/>
    <n v="2696"/>
    <n v="24017"/>
    <n v="0"/>
    <s v="Y"/>
    <s v="Yes"/>
    <n v="11"/>
    <x v="0"/>
    <n v="3"/>
    <n v="80"/>
    <n v="1"/>
    <n v="4"/>
    <n v="5"/>
    <n v="3"/>
    <n v="3"/>
    <n v="2"/>
    <n v="1"/>
    <n v="0"/>
  </r>
  <r>
    <n v="32"/>
    <x v="1"/>
    <x v="0"/>
    <n v="1062"/>
    <x v="1"/>
    <n v="2"/>
    <n v="3"/>
    <s v="Medical"/>
    <n v="1"/>
    <n v="471"/>
    <n v="3"/>
    <x v="0"/>
    <n v="75"/>
    <x v="0"/>
    <n v="1"/>
    <x v="2"/>
    <n v="2"/>
    <x v="1"/>
    <n v="2370"/>
    <n v="3956"/>
    <n v="1"/>
    <s v="Y"/>
    <s v="No"/>
    <n v="13"/>
    <x v="0"/>
    <n v="3"/>
    <n v="80"/>
    <n v="1"/>
    <n v="8"/>
    <n v="4"/>
    <n v="3"/>
    <n v="8"/>
    <n v="0"/>
    <n v="0"/>
    <n v="7"/>
  </r>
  <r>
    <n v="48"/>
    <x v="1"/>
    <x v="0"/>
    <n v="530"/>
    <x v="0"/>
    <n v="29"/>
    <n v="1"/>
    <s v="Medical"/>
    <n v="1"/>
    <n v="473"/>
    <n v="1"/>
    <x v="0"/>
    <n v="91"/>
    <x v="0"/>
    <n v="3"/>
    <x v="5"/>
    <n v="3"/>
    <x v="1"/>
    <n v="12504"/>
    <n v="23978"/>
    <n v="3"/>
    <s v="Y"/>
    <s v="No"/>
    <n v="21"/>
    <x v="1"/>
    <n v="2"/>
    <n v="80"/>
    <n v="1"/>
    <n v="15"/>
    <n v="3"/>
    <n v="1"/>
    <n v="0"/>
    <n v="0"/>
    <n v="0"/>
    <n v="0"/>
  </r>
  <r>
    <n v="37"/>
    <x v="1"/>
    <x v="0"/>
    <n v="1319"/>
    <x v="1"/>
    <n v="6"/>
    <n v="3"/>
    <s v="Medical"/>
    <n v="1"/>
    <n v="474"/>
    <n v="3"/>
    <x v="1"/>
    <n v="51"/>
    <x v="2"/>
    <n v="2"/>
    <x v="1"/>
    <n v="1"/>
    <x v="2"/>
    <n v="5974"/>
    <n v="17001"/>
    <n v="4"/>
    <s v="Y"/>
    <s v="Yes"/>
    <n v="13"/>
    <x v="0"/>
    <n v="1"/>
    <n v="80"/>
    <n v="2"/>
    <n v="13"/>
    <n v="2"/>
    <n v="3"/>
    <n v="7"/>
    <n v="7"/>
    <n v="6"/>
    <n v="7"/>
  </r>
  <r>
    <n v="30"/>
    <x v="1"/>
    <x v="2"/>
    <n v="641"/>
    <x v="0"/>
    <n v="25"/>
    <n v="2"/>
    <s v="Technical Degree"/>
    <n v="1"/>
    <n v="475"/>
    <n v="4"/>
    <x v="0"/>
    <n v="85"/>
    <x v="0"/>
    <n v="2"/>
    <x v="0"/>
    <n v="3"/>
    <x v="1"/>
    <n v="4736"/>
    <n v="6069"/>
    <n v="7"/>
    <s v="Y"/>
    <s v="Yes"/>
    <n v="12"/>
    <x v="0"/>
    <n v="2"/>
    <n v="80"/>
    <n v="1"/>
    <n v="4"/>
    <n v="2"/>
    <n v="4"/>
    <n v="2"/>
    <n v="2"/>
    <n v="2"/>
    <n v="2"/>
  </r>
  <r>
    <n v="26"/>
    <x v="1"/>
    <x v="0"/>
    <n v="933"/>
    <x v="0"/>
    <n v="1"/>
    <n v="3"/>
    <s v="Life Sciences"/>
    <n v="1"/>
    <n v="476"/>
    <n v="3"/>
    <x v="1"/>
    <n v="57"/>
    <x v="0"/>
    <n v="2"/>
    <x v="0"/>
    <n v="3"/>
    <x v="1"/>
    <n v="5296"/>
    <n v="20156"/>
    <n v="1"/>
    <s v="Y"/>
    <s v="No"/>
    <n v="17"/>
    <x v="0"/>
    <n v="2"/>
    <n v="80"/>
    <n v="1"/>
    <n v="8"/>
    <n v="3"/>
    <n v="3"/>
    <n v="8"/>
    <n v="7"/>
    <n v="7"/>
    <n v="7"/>
  </r>
  <r>
    <n v="42"/>
    <x v="1"/>
    <x v="0"/>
    <n v="1332"/>
    <x v="1"/>
    <n v="2"/>
    <n v="4"/>
    <s v="Other"/>
    <n v="1"/>
    <n v="477"/>
    <n v="1"/>
    <x v="1"/>
    <n v="98"/>
    <x v="1"/>
    <n v="2"/>
    <x v="4"/>
    <n v="4"/>
    <x v="0"/>
    <n v="6781"/>
    <n v="17078"/>
    <n v="3"/>
    <s v="Y"/>
    <s v="No"/>
    <n v="23"/>
    <x v="1"/>
    <n v="2"/>
    <n v="80"/>
    <n v="0"/>
    <n v="14"/>
    <n v="6"/>
    <n v="3"/>
    <n v="1"/>
    <n v="0"/>
    <n v="0"/>
    <n v="0"/>
  </r>
  <r>
    <n v="21"/>
    <x v="0"/>
    <x v="1"/>
    <n v="756"/>
    <x v="0"/>
    <n v="1"/>
    <n v="1"/>
    <s v="Technical Degree"/>
    <n v="1"/>
    <n v="478"/>
    <n v="1"/>
    <x v="0"/>
    <n v="99"/>
    <x v="1"/>
    <n v="1"/>
    <x v="6"/>
    <n v="2"/>
    <x v="0"/>
    <n v="2174"/>
    <n v="9150"/>
    <n v="1"/>
    <s v="Y"/>
    <s v="Yes"/>
    <n v="11"/>
    <x v="0"/>
    <n v="3"/>
    <n v="80"/>
    <n v="0"/>
    <n v="3"/>
    <n v="3"/>
    <n v="3"/>
    <n v="3"/>
    <n v="2"/>
    <n v="1"/>
    <n v="2"/>
  </r>
  <r>
    <n v="36"/>
    <x v="1"/>
    <x v="2"/>
    <n v="845"/>
    <x v="0"/>
    <n v="1"/>
    <n v="5"/>
    <s v="Medical"/>
    <n v="1"/>
    <n v="479"/>
    <n v="4"/>
    <x v="0"/>
    <n v="45"/>
    <x v="0"/>
    <n v="2"/>
    <x v="0"/>
    <n v="4"/>
    <x v="0"/>
    <n v="6653"/>
    <n v="15276"/>
    <n v="4"/>
    <s v="Y"/>
    <s v="No"/>
    <n v="15"/>
    <x v="0"/>
    <n v="2"/>
    <n v="80"/>
    <n v="0"/>
    <n v="7"/>
    <n v="6"/>
    <n v="3"/>
    <n v="1"/>
    <n v="0"/>
    <n v="0"/>
    <n v="0"/>
  </r>
  <r>
    <n v="36"/>
    <x v="1"/>
    <x v="1"/>
    <n v="541"/>
    <x v="0"/>
    <n v="3"/>
    <n v="4"/>
    <s v="Medical"/>
    <n v="1"/>
    <n v="481"/>
    <n v="1"/>
    <x v="1"/>
    <n v="48"/>
    <x v="1"/>
    <n v="3"/>
    <x v="0"/>
    <n v="4"/>
    <x v="1"/>
    <n v="9699"/>
    <n v="7246"/>
    <n v="4"/>
    <s v="Y"/>
    <s v="No"/>
    <n v="11"/>
    <x v="0"/>
    <n v="1"/>
    <n v="80"/>
    <n v="1"/>
    <n v="16"/>
    <n v="2"/>
    <n v="3"/>
    <n v="13"/>
    <n v="9"/>
    <n v="1"/>
    <n v="12"/>
  </r>
  <r>
    <n v="57"/>
    <x v="1"/>
    <x v="0"/>
    <n v="593"/>
    <x v="1"/>
    <n v="1"/>
    <n v="4"/>
    <s v="Medical"/>
    <n v="1"/>
    <n v="482"/>
    <n v="4"/>
    <x v="1"/>
    <n v="88"/>
    <x v="0"/>
    <n v="2"/>
    <x v="4"/>
    <n v="3"/>
    <x v="1"/>
    <n v="6755"/>
    <n v="2967"/>
    <n v="2"/>
    <s v="Y"/>
    <s v="No"/>
    <n v="11"/>
    <x v="0"/>
    <n v="3"/>
    <n v="80"/>
    <n v="0"/>
    <n v="15"/>
    <n v="2"/>
    <n v="3"/>
    <n v="3"/>
    <n v="2"/>
    <n v="1"/>
    <n v="2"/>
  </r>
  <r>
    <n v="40"/>
    <x v="1"/>
    <x v="0"/>
    <n v="1171"/>
    <x v="1"/>
    <n v="10"/>
    <n v="4"/>
    <s v="Life Sciences"/>
    <n v="1"/>
    <n v="483"/>
    <n v="4"/>
    <x v="0"/>
    <n v="46"/>
    <x v="2"/>
    <n v="1"/>
    <x v="2"/>
    <n v="3"/>
    <x v="1"/>
    <n v="2213"/>
    <n v="22495"/>
    <n v="3"/>
    <s v="Y"/>
    <s v="Yes"/>
    <n v="13"/>
    <x v="0"/>
    <n v="3"/>
    <n v="80"/>
    <n v="1"/>
    <n v="10"/>
    <n v="3"/>
    <n v="3"/>
    <n v="7"/>
    <n v="7"/>
    <n v="1"/>
    <n v="7"/>
  </r>
  <r>
    <n v="21"/>
    <x v="1"/>
    <x v="2"/>
    <n v="895"/>
    <x v="0"/>
    <n v="9"/>
    <n v="2"/>
    <s v="Medical"/>
    <n v="1"/>
    <n v="484"/>
    <n v="1"/>
    <x v="1"/>
    <n v="39"/>
    <x v="0"/>
    <n v="1"/>
    <x v="6"/>
    <n v="4"/>
    <x v="0"/>
    <n v="2610"/>
    <n v="2851"/>
    <n v="1"/>
    <s v="Y"/>
    <s v="No"/>
    <n v="24"/>
    <x v="1"/>
    <n v="3"/>
    <n v="80"/>
    <n v="0"/>
    <n v="3"/>
    <n v="3"/>
    <n v="2"/>
    <n v="3"/>
    <n v="2"/>
    <n v="2"/>
    <n v="2"/>
  </r>
  <r>
    <n v="33"/>
    <x v="0"/>
    <x v="0"/>
    <n v="350"/>
    <x v="0"/>
    <n v="5"/>
    <n v="3"/>
    <s v="Marketing"/>
    <n v="1"/>
    <n v="485"/>
    <n v="4"/>
    <x v="0"/>
    <n v="34"/>
    <x v="0"/>
    <n v="1"/>
    <x v="6"/>
    <n v="3"/>
    <x v="0"/>
    <n v="2851"/>
    <n v="9150"/>
    <n v="1"/>
    <s v="Y"/>
    <s v="Yes"/>
    <n v="13"/>
    <x v="0"/>
    <n v="2"/>
    <n v="80"/>
    <n v="0"/>
    <n v="1"/>
    <n v="2"/>
    <n v="3"/>
    <n v="1"/>
    <n v="0"/>
    <n v="0"/>
    <n v="0"/>
  </r>
  <r>
    <n v="37"/>
    <x v="1"/>
    <x v="0"/>
    <n v="921"/>
    <x v="1"/>
    <n v="10"/>
    <n v="3"/>
    <s v="Medical"/>
    <n v="1"/>
    <n v="486"/>
    <n v="3"/>
    <x v="0"/>
    <n v="98"/>
    <x v="0"/>
    <n v="1"/>
    <x v="2"/>
    <n v="1"/>
    <x v="1"/>
    <n v="3452"/>
    <n v="17663"/>
    <n v="6"/>
    <s v="Y"/>
    <s v="No"/>
    <n v="20"/>
    <x v="1"/>
    <n v="2"/>
    <n v="80"/>
    <n v="1"/>
    <n v="17"/>
    <n v="3"/>
    <n v="3"/>
    <n v="5"/>
    <n v="4"/>
    <n v="0"/>
    <n v="3"/>
  </r>
  <r>
    <n v="46"/>
    <x v="1"/>
    <x v="2"/>
    <n v="1144"/>
    <x v="1"/>
    <n v="7"/>
    <n v="4"/>
    <s v="Medical"/>
    <n v="1"/>
    <n v="487"/>
    <n v="3"/>
    <x v="0"/>
    <n v="30"/>
    <x v="0"/>
    <n v="2"/>
    <x v="3"/>
    <n v="3"/>
    <x v="1"/>
    <n v="5258"/>
    <n v="16044"/>
    <n v="2"/>
    <s v="Y"/>
    <s v="No"/>
    <n v="14"/>
    <x v="0"/>
    <n v="3"/>
    <n v="80"/>
    <n v="0"/>
    <n v="7"/>
    <n v="2"/>
    <n v="4"/>
    <n v="1"/>
    <n v="0"/>
    <n v="0"/>
    <n v="0"/>
  </r>
  <r>
    <n v="41"/>
    <x v="0"/>
    <x v="1"/>
    <n v="143"/>
    <x v="0"/>
    <n v="4"/>
    <n v="3"/>
    <s v="Marketing"/>
    <n v="1"/>
    <n v="488"/>
    <n v="1"/>
    <x v="1"/>
    <n v="56"/>
    <x v="0"/>
    <n v="2"/>
    <x v="0"/>
    <n v="2"/>
    <x v="0"/>
    <n v="9355"/>
    <n v="9558"/>
    <n v="1"/>
    <s v="Y"/>
    <s v="No"/>
    <n v="18"/>
    <x v="0"/>
    <n v="3"/>
    <n v="80"/>
    <n v="0"/>
    <n v="8"/>
    <n v="5"/>
    <n v="3"/>
    <n v="8"/>
    <n v="7"/>
    <n v="7"/>
    <n v="7"/>
  </r>
  <r>
    <n v="50"/>
    <x v="1"/>
    <x v="0"/>
    <n v="1046"/>
    <x v="1"/>
    <n v="10"/>
    <n v="3"/>
    <s v="Technical Degree"/>
    <n v="1"/>
    <n v="491"/>
    <n v="4"/>
    <x v="1"/>
    <n v="100"/>
    <x v="1"/>
    <n v="3"/>
    <x v="4"/>
    <n v="4"/>
    <x v="0"/>
    <n v="10496"/>
    <n v="2755"/>
    <n v="6"/>
    <s v="Y"/>
    <s v="No"/>
    <n v="15"/>
    <x v="0"/>
    <n v="4"/>
    <n v="80"/>
    <n v="0"/>
    <n v="20"/>
    <n v="2"/>
    <n v="3"/>
    <n v="4"/>
    <n v="3"/>
    <n v="1"/>
    <n v="3"/>
  </r>
  <r>
    <n v="40"/>
    <x v="0"/>
    <x v="0"/>
    <n v="575"/>
    <x v="0"/>
    <n v="22"/>
    <n v="2"/>
    <s v="Marketing"/>
    <n v="1"/>
    <n v="492"/>
    <n v="3"/>
    <x v="1"/>
    <n v="68"/>
    <x v="1"/>
    <n v="2"/>
    <x v="0"/>
    <n v="3"/>
    <x v="1"/>
    <n v="6380"/>
    <n v="6110"/>
    <n v="2"/>
    <s v="Y"/>
    <s v="Yes"/>
    <n v="12"/>
    <x v="0"/>
    <n v="1"/>
    <n v="80"/>
    <n v="2"/>
    <n v="8"/>
    <n v="6"/>
    <n v="3"/>
    <n v="6"/>
    <n v="4"/>
    <n v="1"/>
    <n v="0"/>
  </r>
  <r>
    <n v="31"/>
    <x v="1"/>
    <x v="0"/>
    <n v="408"/>
    <x v="1"/>
    <n v="9"/>
    <n v="4"/>
    <s v="Life Sciences"/>
    <n v="1"/>
    <n v="493"/>
    <n v="3"/>
    <x v="1"/>
    <n v="42"/>
    <x v="1"/>
    <n v="1"/>
    <x v="1"/>
    <n v="2"/>
    <x v="0"/>
    <n v="2657"/>
    <n v="7551"/>
    <n v="0"/>
    <s v="Y"/>
    <s v="Yes"/>
    <n v="16"/>
    <x v="0"/>
    <n v="4"/>
    <n v="80"/>
    <n v="0"/>
    <n v="3"/>
    <n v="5"/>
    <n v="3"/>
    <n v="2"/>
    <n v="2"/>
    <n v="2"/>
    <n v="2"/>
  </r>
  <r>
    <n v="21"/>
    <x v="0"/>
    <x v="0"/>
    <n v="156"/>
    <x v="0"/>
    <n v="12"/>
    <n v="3"/>
    <s v="Life Sciences"/>
    <n v="1"/>
    <n v="494"/>
    <n v="3"/>
    <x v="0"/>
    <n v="90"/>
    <x v="2"/>
    <n v="1"/>
    <x v="6"/>
    <n v="2"/>
    <x v="0"/>
    <n v="2716"/>
    <n v="25422"/>
    <n v="1"/>
    <s v="Y"/>
    <s v="No"/>
    <n v="15"/>
    <x v="0"/>
    <n v="4"/>
    <n v="80"/>
    <n v="0"/>
    <n v="1"/>
    <n v="0"/>
    <n v="3"/>
    <n v="1"/>
    <n v="0"/>
    <n v="0"/>
    <n v="0"/>
  </r>
  <r>
    <n v="29"/>
    <x v="1"/>
    <x v="0"/>
    <n v="1283"/>
    <x v="1"/>
    <n v="23"/>
    <n v="3"/>
    <s v="Life Sciences"/>
    <n v="1"/>
    <n v="495"/>
    <n v="4"/>
    <x v="1"/>
    <n v="54"/>
    <x v="0"/>
    <n v="1"/>
    <x v="1"/>
    <n v="4"/>
    <x v="0"/>
    <n v="2201"/>
    <n v="18168"/>
    <n v="9"/>
    <s v="Y"/>
    <s v="No"/>
    <n v="16"/>
    <x v="0"/>
    <n v="4"/>
    <n v="80"/>
    <n v="0"/>
    <n v="6"/>
    <n v="4"/>
    <n v="3"/>
    <n v="3"/>
    <n v="2"/>
    <n v="1"/>
    <n v="2"/>
  </r>
  <r>
    <n v="35"/>
    <x v="1"/>
    <x v="0"/>
    <n v="755"/>
    <x v="1"/>
    <n v="9"/>
    <n v="4"/>
    <s v="Life Sciences"/>
    <n v="1"/>
    <n v="496"/>
    <n v="3"/>
    <x v="1"/>
    <n v="97"/>
    <x v="1"/>
    <n v="2"/>
    <x v="4"/>
    <n v="2"/>
    <x v="0"/>
    <n v="6540"/>
    <n v="19394"/>
    <n v="9"/>
    <s v="Y"/>
    <s v="No"/>
    <n v="19"/>
    <x v="0"/>
    <n v="3"/>
    <n v="80"/>
    <n v="0"/>
    <n v="10"/>
    <n v="5"/>
    <n v="3"/>
    <n v="1"/>
    <n v="1"/>
    <n v="0"/>
    <n v="0"/>
  </r>
  <r>
    <n v="27"/>
    <x v="1"/>
    <x v="0"/>
    <n v="1469"/>
    <x v="1"/>
    <n v="1"/>
    <n v="2"/>
    <s v="Medical"/>
    <n v="1"/>
    <n v="497"/>
    <n v="4"/>
    <x v="1"/>
    <n v="82"/>
    <x v="0"/>
    <n v="1"/>
    <x v="2"/>
    <n v="2"/>
    <x v="2"/>
    <n v="3816"/>
    <n v="17881"/>
    <n v="1"/>
    <s v="Y"/>
    <s v="No"/>
    <n v="11"/>
    <x v="0"/>
    <n v="2"/>
    <n v="80"/>
    <n v="1"/>
    <n v="5"/>
    <n v="2"/>
    <n v="3"/>
    <n v="5"/>
    <n v="2"/>
    <n v="0"/>
    <n v="4"/>
  </r>
  <r>
    <n v="28"/>
    <x v="1"/>
    <x v="0"/>
    <n v="304"/>
    <x v="0"/>
    <n v="9"/>
    <n v="4"/>
    <s v="Life Sciences"/>
    <n v="1"/>
    <n v="498"/>
    <n v="2"/>
    <x v="1"/>
    <n v="92"/>
    <x v="0"/>
    <n v="2"/>
    <x v="0"/>
    <n v="4"/>
    <x v="0"/>
    <n v="5253"/>
    <n v="20750"/>
    <n v="1"/>
    <s v="Y"/>
    <s v="No"/>
    <n v="16"/>
    <x v="0"/>
    <n v="4"/>
    <n v="80"/>
    <n v="0"/>
    <n v="7"/>
    <n v="1"/>
    <n v="3"/>
    <n v="7"/>
    <n v="5"/>
    <n v="0"/>
    <n v="7"/>
  </r>
  <r>
    <n v="49"/>
    <x v="1"/>
    <x v="0"/>
    <n v="1261"/>
    <x v="1"/>
    <n v="7"/>
    <n v="3"/>
    <s v="Other"/>
    <n v="1"/>
    <n v="499"/>
    <n v="2"/>
    <x v="1"/>
    <n v="31"/>
    <x v="1"/>
    <n v="3"/>
    <x v="4"/>
    <n v="3"/>
    <x v="0"/>
    <n v="10965"/>
    <n v="12066"/>
    <n v="8"/>
    <s v="Y"/>
    <s v="No"/>
    <n v="24"/>
    <x v="1"/>
    <n v="3"/>
    <n v="80"/>
    <n v="0"/>
    <n v="26"/>
    <n v="2"/>
    <n v="3"/>
    <n v="5"/>
    <n v="2"/>
    <n v="0"/>
    <n v="0"/>
  </r>
  <r>
    <n v="51"/>
    <x v="1"/>
    <x v="0"/>
    <n v="1178"/>
    <x v="0"/>
    <n v="14"/>
    <n v="2"/>
    <s v="Life Sciences"/>
    <n v="1"/>
    <n v="500"/>
    <n v="3"/>
    <x v="0"/>
    <n v="87"/>
    <x v="0"/>
    <n v="2"/>
    <x v="0"/>
    <n v="4"/>
    <x v="1"/>
    <n v="4936"/>
    <n v="14862"/>
    <n v="4"/>
    <s v="Y"/>
    <s v="No"/>
    <n v="11"/>
    <x v="0"/>
    <n v="3"/>
    <n v="80"/>
    <n v="1"/>
    <n v="18"/>
    <n v="2"/>
    <n v="2"/>
    <n v="7"/>
    <n v="7"/>
    <n v="0"/>
    <n v="7"/>
  </r>
  <r>
    <n v="36"/>
    <x v="1"/>
    <x v="0"/>
    <n v="329"/>
    <x v="1"/>
    <n v="2"/>
    <n v="3"/>
    <s v="Life Sciences"/>
    <n v="1"/>
    <n v="501"/>
    <n v="4"/>
    <x v="0"/>
    <n v="96"/>
    <x v="0"/>
    <n v="1"/>
    <x v="1"/>
    <n v="3"/>
    <x v="1"/>
    <n v="2543"/>
    <n v="11868"/>
    <n v="4"/>
    <s v="Y"/>
    <s v="No"/>
    <n v="13"/>
    <x v="0"/>
    <n v="2"/>
    <n v="80"/>
    <n v="1"/>
    <n v="6"/>
    <n v="3"/>
    <n v="3"/>
    <n v="2"/>
    <n v="2"/>
    <n v="2"/>
    <n v="2"/>
  </r>
  <r>
    <n v="34"/>
    <x v="0"/>
    <x v="2"/>
    <n v="1362"/>
    <x v="0"/>
    <n v="19"/>
    <n v="3"/>
    <s v="Marketing"/>
    <n v="1"/>
    <n v="502"/>
    <n v="1"/>
    <x v="1"/>
    <n v="67"/>
    <x v="2"/>
    <n v="2"/>
    <x v="0"/>
    <n v="4"/>
    <x v="0"/>
    <n v="5304"/>
    <n v="4652"/>
    <n v="8"/>
    <s v="Y"/>
    <s v="Yes"/>
    <n v="13"/>
    <x v="0"/>
    <n v="2"/>
    <n v="80"/>
    <n v="0"/>
    <n v="9"/>
    <n v="3"/>
    <n v="2"/>
    <n v="5"/>
    <n v="2"/>
    <n v="0"/>
    <n v="4"/>
  </r>
  <r>
    <n v="55"/>
    <x v="1"/>
    <x v="0"/>
    <n v="1311"/>
    <x v="1"/>
    <n v="2"/>
    <n v="3"/>
    <s v="Life Sciences"/>
    <n v="1"/>
    <n v="505"/>
    <n v="3"/>
    <x v="0"/>
    <n v="97"/>
    <x v="0"/>
    <n v="4"/>
    <x v="5"/>
    <n v="4"/>
    <x v="0"/>
    <n v="16659"/>
    <n v="23258"/>
    <n v="2"/>
    <s v="Y"/>
    <s v="Yes"/>
    <n v="13"/>
    <x v="0"/>
    <n v="3"/>
    <n v="80"/>
    <n v="0"/>
    <n v="30"/>
    <n v="2"/>
    <n v="3"/>
    <n v="5"/>
    <n v="4"/>
    <n v="1"/>
    <n v="2"/>
  </r>
  <r>
    <n v="24"/>
    <x v="1"/>
    <x v="0"/>
    <n v="1371"/>
    <x v="0"/>
    <n v="10"/>
    <n v="4"/>
    <s v="Marketing"/>
    <n v="1"/>
    <n v="507"/>
    <n v="4"/>
    <x v="0"/>
    <n v="77"/>
    <x v="0"/>
    <n v="2"/>
    <x v="0"/>
    <n v="3"/>
    <x v="2"/>
    <n v="4260"/>
    <n v="5915"/>
    <n v="1"/>
    <s v="Y"/>
    <s v="Yes"/>
    <n v="12"/>
    <x v="0"/>
    <n v="4"/>
    <n v="80"/>
    <n v="1"/>
    <n v="5"/>
    <n v="2"/>
    <n v="4"/>
    <n v="5"/>
    <n v="2"/>
    <n v="0"/>
    <n v="3"/>
  </r>
  <r>
    <n v="30"/>
    <x v="1"/>
    <x v="0"/>
    <n v="202"/>
    <x v="0"/>
    <n v="2"/>
    <n v="1"/>
    <s v="Technical Degree"/>
    <n v="1"/>
    <n v="508"/>
    <n v="3"/>
    <x v="1"/>
    <n v="72"/>
    <x v="0"/>
    <n v="1"/>
    <x v="6"/>
    <n v="2"/>
    <x v="1"/>
    <n v="2476"/>
    <n v="17434"/>
    <n v="1"/>
    <s v="Y"/>
    <s v="No"/>
    <n v="18"/>
    <x v="0"/>
    <n v="1"/>
    <n v="80"/>
    <n v="1"/>
    <n v="1"/>
    <n v="3"/>
    <n v="3"/>
    <n v="1"/>
    <n v="0"/>
    <n v="0"/>
    <n v="0"/>
  </r>
  <r>
    <n v="26"/>
    <x v="0"/>
    <x v="1"/>
    <n v="575"/>
    <x v="1"/>
    <n v="3"/>
    <n v="1"/>
    <s v="Technical Degree"/>
    <n v="1"/>
    <n v="510"/>
    <n v="3"/>
    <x v="1"/>
    <n v="73"/>
    <x v="0"/>
    <n v="1"/>
    <x v="1"/>
    <n v="1"/>
    <x v="0"/>
    <n v="3102"/>
    <n v="6582"/>
    <n v="0"/>
    <s v="Y"/>
    <s v="No"/>
    <n v="22"/>
    <x v="1"/>
    <n v="3"/>
    <n v="80"/>
    <n v="0"/>
    <n v="7"/>
    <n v="2"/>
    <n v="3"/>
    <n v="6"/>
    <n v="4"/>
    <n v="0"/>
    <n v="4"/>
  </r>
  <r>
    <n v="22"/>
    <x v="1"/>
    <x v="0"/>
    <n v="253"/>
    <x v="1"/>
    <n v="11"/>
    <n v="3"/>
    <s v="Medical"/>
    <n v="1"/>
    <n v="511"/>
    <n v="1"/>
    <x v="0"/>
    <n v="43"/>
    <x v="0"/>
    <n v="1"/>
    <x v="1"/>
    <n v="2"/>
    <x v="1"/>
    <n v="2244"/>
    <n v="24440"/>
    <n v="1"/>
    <s v="Y"/>
    <s v="No"/>
    <n v="13"/>
    <x v="0"/>
    <n v="4"/>
    <n v="80"/>
    <n v="1"/>
    <n v="2"/>
    <n v="1"/>
    <n v="3"/>
    <n v="2"/>
    <n v="1"/>
    <n v="1"/>
    <n v="2"/>
  </r>
  <r>
    <n v="36"/>
    <x v="1"/>
    <x v="0"/>
    <n v="164"/>
    <x v="0"/>
    <n v="2"/>
    <n v="2"/>
    <s v="Medical"/>
    <n v="1"/>
    <n v="513"/>
    <n v="2"/>
    <x v="1"/>
    <n v="61"/>
    <x v="1"/>
    <n v="3"/>
    <x v="0"/>
    <n v="3"/>
    <x v="1"/>
    <n v="7596"/>
    <n v="3809"/>
    <n v="1"/>
    <s v="Y"/>
    <s v="No"/>
    <n v="13"/>
    <x v="0"/>
    <n v="2"/>
    <n v="80"/>
    <n v="2"/>
    <n v="10"/>
    <n v="2"/>
    <n v="3"/>
    <n v="10"/>
    <n v="9"/>
    <n v="9"/>
    <n v="0"/>
  </r>
  <r>
    <n v="30"/>
    <x v="0"/>
    <x v="1"/>
    <n v="464"/>
    <x v="1"/>
    <n v="4"/>
    <n v="3"/>
    <s v="Technical Degree"/>
    <n v="1"/>
    <n v="514"/>
    <n v="3"/>
    <x v="1"/>
    <n v="40"/>
    <x v="0"/>
    <n v="1"/>
    <x v="1"/>
    <n v="4"/>
    <x v="0"/>
    <n v="2285"/>
    <n v="3427"/>
    <n v="9"/>
    <s v="Y"/>
    <s v="Yes"/>
    <n v="23"/>
    <x v="1"/>
    <n v="3"/>
    <n v="80"/>
    <n v="0"/>
    <n v="3"/>
    <n v="4"/>
    <n v="3"/>
    <n v="1"/>
    <n v="0"/>
    <n v="0"/>
    <n v="0"/>
  </r>
  <r>
    <n v="37"/>
    <x v="1"/>
    <x v="0"/>
    <n v="1107"/>
    <x v="1"/>
    <n v="14"/>
    <n v="3"/>
    <s v="Life Sciences"/>
    <n v="1"/>
    <n v="515"/>
    <n v="4"/>
    <x v="0"/>
    <n v="95"/>
    <x v="0"/>
    <n v="1"/>
    <x v="2"/>
    <n v="1"/>
    <x v="2"/>
    <n v="3034"/>
    <n v="26914"/>
    <n v="1"/>
    <s v="Y"/>
    <s v="No"/>
    <n v="12"/>
    <x v="0"/>
    <n v="3"/>
    <n v="80"/>
    <n v="1"/>
    <n v="18"/>
    <n v="2"/>
    <n v="2"/>
    <n v="18"/>
    <n v="7"/>
    <n v="12"/>
    <n v="17"/>
  </r>
  <r>
    <n v="40"/>
    <x v="1"/>
    <x v="0"/>
    <n v="759"/>
    <x v="0"/>
    <n v="2"/>
    <n v="2"/>
    <s v="Marketing"/>
    <n v="1"/>
    <n v="516"/>
    <n v="4"/>
    <x v="0"/>
    <n v="46"/>
    <x v="0"/>
    <n v="2"/>
    <x v="0"/>
    <n v="2"/>
    <x v="2"/>
    <n v="5715"/>
    <n v="22553"/>
    <n v="7"/>
    <s v="Y"/>
    <s v="No"/>
    <n v="12"/>
    <x v="0"/>
    <n v="3"/>
    <n v="80"/>
    <n v="2"/>
    <n v="8"/>
    <n v="5"/>
    <n v="3"/>
    <n v="5"/>
    <n v="4"/>
    <n v="1"/>
    <n v="3"/>
  </r>
  <r>
    <n v="42"/>
    <x v="1"/>
    <x v="0"/>
    <n v="201"/>
    <x v="1"/>
    <n v="1"/>
    <n v="4"/>
    <s v="Life Sciences"/>
    <n v="1"/>
    <n v="517"/>
    <n v="2"/>
    <x v="0"/>
    <n v="95"/>
    <x v="0"/>
    <n v="1"/>
    <x v="2"/>
    <n v="1"/>
    <x v="2"/>
    <n v="2576"/>
    <n v="20490"/>
    <n v="3"/>
    <s v="Y"/>
    <s v="No"/>
    <n v="16"/>
    <x v="0"/>
    <n v="2"/>
    <n v="80"/>
    <n v="1"/>
    <n v="8"/>
    <n v="5"/>
    <n v="3"/>
    <n v="5"/>
    <n v="2"/>
    <n v="1"/>
    <n v="2"/>
  </r>
  <r>
    <n v="37"/>
    <x v="1"/>
    <x v="0"/>
    <n v="1305"/>
    <x v="1"/>
    <n v="10"/>
    <n v="4"/>
    <s v="Life Sciences"/>
    <n v="1"/>
    <n v="518"/>
    <n v="3"/>
    <x v="1"/>
    <n v="49"/>
    <x v="0"/>
    <n v="2"/>
    <x v="3"/>
    <n v="2"/>
    <x v="0"/>
    <n v="4197"/>
    <n v="21123"/>
    <n v="2"/>
    <s v="Y"/>
    <s v="Yes"/>
    <n v="12"/>
    <x v="0"/>
    <n v="4"/>
    <n v="80"/>
    <n v="0"/>
    <n v="18"/>
    <n v="2"/>
    <n v="2"/>
    <n v="1"/>
    <n v="0"/>
    <n v="0"/>
    <n v="1"/>
  </r>
  <r>
    <n v="43"/>
    <x v="1"/>
    <x v="0"/>
    <n v="982"/>
    <x v="1"/>
    <n v="12"/>
    <n v="3"/>
    <s v="Life Sciences"/>
    <n v="1"/>
    <n v="520"/>
    <n v="1"/>
    <x v="1"/>
    <n v="59"/>
    <x v="1"/>
    <n v="4"/>
    <x v="7"/>
    <n v="2"/>
    <x v="2"/>
    <n v="14336"/>
    <n v="4345"/>
    <n v="1"/>
    <s v="Y"/>
    <s v="No"/>
    <n v="11"/>
    <x v="0"/>
    <n v="3"/>
    <n v="80"/>
    <n v="1"/>
    <n v="25"/>
    <n v="3"/>
    <n v="3"/>
    <n v="25"/>
    <n v="10"/>
    <n v="3"/>
    <n v="9"/>
  </r>
  <r>
    <n v="40"/>
    <x v="1"/>
    <x v="0"/>
    <n v="555"/>
    <x v="1"/>
    <n v="2"/>
    <n v="3"/>
    <s v="Medical"/>
    <n v="1"/>
    <n v="521"/>
    <n v="2"/>
    <x v="0"/>
    <n v="78"/>
    <x v="1"/>
    <n v="2"/>
    <x v="2"/>
    <n v="3"/>
    <x v="1"/>
    <n v="3448"/>
    <n v="13436"/>
    <n v="6"/>
    <s v="Y"/>
    <s v="No"/>
    <n v="22"/>
    <x v="1"/>
    <n v="2"/>
    <n v="80"/>
    <n v="1"/>
    <n v="20"/>
    <n v="3"/>
    <n v="3"/>
    <n v="1"/>
    <n v="0"/>
    <n v="0"/>
    <n v="0"/>
  </r>
  <r>
    <n v="54"/>
    <x v="1"/>
    <x v="0"/>
    <n v="821"/>
    <x v="1"/>
    <n v="5"/>
    <n v="2"/>
    <s v="Medical"/>
    <n v="1"/>
    <n v="522"/>
    <n v="1"/>
    <x v="1"/>
    <n v="86"/>
    <x v="0"/>
    <n v="5"/>
    <x v="7"/>
    <n v="1"/>
    <x v="1"/>
    <n v="19406"/>
    <n v="8509"/>
    <n v="4"/>
    <s v="Y"/>
    <s v="No"/>
    <n v="11"/>
    <x v="0"/>
    <n v="3"/>
    <n v="80"/>
    <n v="1"/>
    <n v="24"/>
    <n v="4"/>
    <n v="2"/>
    <n v="4"/>
    <n v="2"/>
    <n v="1"/>
    <n v="2"/>
  </r>
  <r>
    <n v="34"/>
    <x v="1"/>
    <x v="2"/>
    <n v="1381"/>
    <x v="0"/>
    <n v="4"/>
    <n v="4"/>
    <s v="Marketing"/>
    <n v="1"/>
    <n v="523"/>
    <n v="3"/>
    <x v="0"/>
    <n v="72"/>
    <x v="0"/>
    <n v="2"/>
    <x v="0"/>
    <n v="3"/>
    <x v="1"/>
    <n v="6538"/>
    <n v="12740"/>
    <n v="9"/>
    <s v="Y"/>
    <s v="No"/>
    <n v="15"/>
    <x v="0"/>
    <n v="1"/>
    <n v="80"/>
    <n v="1"/>
    <n v="6"/>
    <n v="3"/>
    <n v="3"/>
    <n v="3"/>
    <n v="2"/>
    <n v="1"/>
    <n v="2"/>
  </r>
  <r>
    <n v="31"/>
    <x v="1"/>
    <x v="0"/>
    <n v="480"/>
    <x v="1"/>
    <n v="7"/>
    <n v="2"/>
    <s v="Medical"/>
    <n v="1"/>
    <n v="524"/>
    <n v="2"/>
    <x v="0"/>
    <n v="31"/>
    <x v="0"/>
    <n v="2"/>
    <x v="3"/>
    <n v="1"/>
    <x v="1"/>
    <n v="4306"/>
    <n v="4156"/>
    <n v="1"/>
    <s v="Y"/>
    <s v="No"/>
    <n v="12"/>
    <x v="0"/>
    <n v="2"/>
    <n v="80"/>
    <n v="1"/>
    <n v="13"/>
    <n v="5"/>
    <n v="1"/>
    <n v="13"/>
    <n v="10"/>
    <n v="3"/>
    <n v="12"/>
  </r>
  <r>
    <n v="43"/>
    <x v="1"/>
    <x v="1"/>
    <n v="313"/>
    <x v="1"/>
    <n v="21"/>
    <n v="3"/>
    <s v="Medical"/>
    <n v="1"/>
    <n v="525"/>
    <n v="4"/>
    <x v="1"/>
    <n v="61"/>
    <x v="0"/>
    <n v="1"/>
    <x v="2"/>
    <n v="4"/>
    <x v="1"/>
    <n v="2258"/>
    <n v="15238"/>
    <n v="7"/>
    <s v="Y"/>
    <s v="No"/>
    <n v="20"/>
    <x v="1"/>
    <n v="1"/>
    <n v="80"/>
    <n v="1"/>
    <n v="8"/>
    <n v="1"/>
    <n v="3"/>
    <n v="3"/>
    <n v="2"/>
    <n v="1"/>
    <n v="2"/>
  </r>
  <r>
    <n v="43"/>
    <x v="1"/>
    <x v="0"/>
    <n v="1473"/>
    <x v="1"/>
    <n v="8"/>
    <n v="4"/>
    <s v="Other"/>
    <n v="1"/>
    <n v="526"/>
    <n v="3"/>
    <x v="0"/>
    <n v="74"/>
    <x v="0"/>
    <n v="2"/>
    <x v="4"/>
    <n v="3"/>
    <x v="2"/>
    <n v="4522"/>
    <n v="2227"/>
    <n v="4"/>
    <s v="Y"/>
    <s v="Yes"/>
    <n v="14"/>
    <x v="0"/>
    <n v="4"/>
    <n v="80"/>
    <n v="0"/>
    <n v="8"/>
    <n v="3"/>
    <n v="3"/>
    <n v="5"/>
    <n v="2"/>
    <n v="0"/>
    <n v="2"/>
  </r>
  <r>
    <n v="25"/>
    <x v="1"/>
    <x v="0"/>
    <n v="891"/>
    <x v="0"/>
    <n v="4"/>
    <n v="2"/>
    <s v="Life Sciences"/>
    <n v="1"/>
    <n v="527"/>
    <n v="2"/>
    <x v="0"/>
    <n v="99"/>
    <x v="1"/>
    <n v="2"/>
    <x v="0"/>
    <n v="4"/>
    <x v="0"/>
    <n v="4487"/>
    <n v="12090"/>
    <n v="1"/>
    <s v="Y"/>
    <s v="Yes"/>
    <n v="11"/>
    <x v="0"/>
    <n v="2"/>
    <n v="80"/>
    <n v="0"/>
    <n v="5"/>
    <n v="3"/>
    <n v="3"/>
    <n v="5"/>
    <n v="4"/>
    <n v="1"/>
    <n v="3"/>
  </r>
  <r>
    <n v="37"/>
    <x v="1"/>
    <x v="2"/>
    <n v="1063"/>
    <x v="1"/>
    <n v="25"/>
    <n v="5"/>
    <s v="Medical"/>
    <n v="1"/>
    <n v="529"/>
    <n v="2"/>
    <x v="0"/>
    <n v="72"/>
    <x v="0"/>
    <n v="2"/>
    <x v="1"/>
    <n v="3"/>
    <x v="1"/>
    <n v="4449"/>
    <n v="23866"/>
    <n v="3"/>
    <s v="Y"/>
    <s v="Yes"/>
    <n v="15"/>
    <x v="0"/>
    <n v="1"/>
    <n v="80"/>
    <n v="2"/>
    <n v="15"/>
    <n v="2"/>
    <n v="3"/>
    <n v="13"/>
    <n v="11"/>
    <n v="10"/>
    <n v="7"/>
  </r>
  <r>
    <n v="31"/>
    <x v="1"/>
    <x v="0"/>
    <n v="329"/>
    <x v="1"/>
    <n v="1"/>
    <n v="2"/>
    <s v="Life Sciences"/>
    <n v="1"/>
    <n v="530"/>
    <n v="4"/>
    <x v="1"/>
    <n v="98"/>
    <x v="1"/>
    <n v="1"/>
    <x v="2"/>
    <n v="1"/>
    <x v="1"/>
    <n v="2218"/>
    <n v="16193"/>
    <n v="1"/>
    <s v="Y"/>
    <s v="No"/>
    <n v="12"/>
    <x v="0"/>
    <n v="3"/>
    <n v="80"/>
    <n v="1"/>
    <n v="4"/>
    <n v="3"/>
    <n v="3"/>
    <n v="4"/>
    <n v="2"/>
    <n v="3"/>
    <n v="2"/>
  </r>
  <r>
    <n v="39"/>
    <x v="1"/>
    <x v="1"/>
    <n v="1218"/>
    <x v="1"/>
    <n v="1"/>
    <n v="1"/>
    <s v="Life Sciences"/>
    <n v="1"/>
    <n v="531"/>
    <n v="2"/>
    <x v="1"/>
    <n v="52"/>
    <x v="0"/>
    <n v="5"/>
    <x v="5"/>
    <n v="3"/>
    <x v="2"/>
    <n v="19197"/>
    <n v="8213"/>
    <n v="1"/>
    <s v="Y"/>
    <s v="Yes"/>
    <n v="14"/>
    <x v="0"/>
    <n v="3"/>
    <n v="80"/>
    <n v="1"/>
    <n v="21"/>
    <n v="3"/>
    <n v="3"/>
    <n v="21"/>
    <n v="8"/>
    <n v="1"/>
    <n v="6"/>
  </r>
  <r>
    <n v="56"/>
    <x v="1"/>
    <x v="1"/>
    <n v="906"/>
    <x v="0"/>
    <n v="6"/>
    <n v="3"/>
    <s v="Life Sciences"/>
    <n v="1"/>
    <n v="532"/>
    <n v="3"/>
    <x v="0"/>
    <n v="86"/>
    <x v="2"/>
    <n v="4"/>
    <x v="0"/>
    <n v="1"/>
    <x v="1"/>
    <n v="13212"/>
    <n v="18256"/>
    <n v="9"/>
    <s v="Y"/>
    <s v="No"/>
    <n v="11"/>
    <x v="0"/>
    <n v="4"/>
    <n v="80"/>
    <n v="3"/>
    <n v="36"/>
    <n v="0"/>
    <n v="2"/>
    <n v="7"/>
    <n v="7"/>
    <n v="7"/>
    <n v="7"/>
  </r>
  <r>
    <n v="30"/>
    <x v="1"/>
    <x v="0"/>
    <n v="1082"/>
    <x v="0"/>
    <n v="12"/>
    <n v="3"/>
    <s v="Technical Degree"/>
    <n v="1"/>
    <n v="533"/>
    <n v="2"/>
    <x v="0"/>
    <n v="83"/>
    <x v="0"/>
    <n v="2"/>
    <x v="0"/>
    <n v="3"/>
    <x v="0"/>
    <n v="6577"/>
    <n v="19558"/>
    <n v="0"/>
    <s v="Y"/>
    <s v="No"/>
    <n v="11"/>
    <x v="0"/>
    <n v="2"/>
    <n v="80"/>
    <n v="0"/>
    <n v="6"/>
    <n v="6"/>
    <n v="3"/>
    <n v="5"/>
    <n v="4"/>
    <n v="4"/>
    <n v="4"/>
  </r>
  <r>
    <n v="41"/>
    <x v="1"/>
    <x v="0"/>
    <n v="645"/>
    <x v="0"/>
    <n v="1"/>
    <n v="3"/>
    <s v="Marketing"/>
    <n v="1"/>
    <n v="534"/>
    <n v="2"/>
    <x v="1"/>
    <n v="49"/>
    <x v="2"/>
    <n v="3"/>
    <x v="0"/>
    <n v="1"/>
    <x v="1"/>
    <n v="8392"/>
    <n v="19566"/>
    <n v="1"/>
    <s v="Y"/>
    <s v="No"/>
    <n v="16"/>
    <x v="0"/>
    <n v="3"/>
    <n v="80"/>
    <n v="1"/>
    <n v="10"/>
    <n v="2"/>
    <n v="3"/>
    <n v="10"/>
    <n v="7"/>
    <n v="0"/>
    <n v="7"/>
  </r>
  <r>
    <n v="28"/>
    <x v="1"/>
    <x v="0"/>
    <n v="1300"/>
    <x v="1"/>
    <n v="17"/>
    <n v="2"/>
    <s v="Medical"/>
    <n v="1"/>
    <n v="536"/>
    <n v="3"/>
    <x v="1"/>
    <n v="79"/>
    <x v="0"/>
    <n v="2"/>
    <x v="2"/>
    <n v="1"/>
    <x v="2"/>
    <n v="4558"/>
    <n v="13535"/>
    <n v="1"/>
    <s v="Y"/>
    <s v="No"/>
    <n v="12"/>
    <x v="0"/>
    <n v="4"/>
    <n v="80"/>
    <n v="1"/>
    <n v="10"/>
    <n v="2"/>
    <n v="3"/>
    <n v="10"/>
    <n v="0"/>
    <n v="1"/>
    <n v="8"/>
  </r>
  <r>
    <n v="25"/>
    <x v="0"/>
    <x v="0"/>
    <n v="688"/>
    <x v="1"/>
    <n v="3"/>
    <n v="3"/>
    <s v="Medical"/>
    <n v="1"/>
    <n v="538"/>
    <n v="1"/>
    <x v="1"/>
    <n v="91"/>
    <x v="0"/>
    <n v="1"/>
    <x v="2"/>
    <n v="1"/>
    <x v="1"/>
    <n v="4031"/>
    <n v="9396"/>
    <n v="5"/>
    <s v="Y"/>
    <s v="No"/>
    <n v="13"/>
    <x v="0"/>
    <n v="3"/>
    <n v="80"/>
    <n v="1"/>
    <n v="6"/>
    <n v="5"/>
    <n v="3"/>
    <n v="2"/>
    <n v="2"/>
    <n v="0"/>
    <n v="2"/>
  </r>
  <r>
    <n v="52"/>
    <x v="1"/>
    <x v="0"/>
    <n v="319"/>
    <x v="1"/>
    <n v="3"/>
    <n v="3"/>
    <s v="Medical"/>
    <n v="1"/>
    <n v="543"/>
    <n v="4"/>
    <x v="1"/>
    <n v="39"/>
    <x v="1"/>
    <n v="3"/>
    <x v="3"/>
    <n v="3"/>
    <x v="1"/>
    <n v="7969"/>
    <n v="19609"/>
    <n v="2"/>
    <s v="Y"/>
    <s v="Yes"/>
    <n v="14"/>
    <x v="0"/>
    <n v="3"/>
    <n v="80"/>
    <n v="0"/>
    <n v="28"/>
    <n v="4"/>
    <n v="3"/>
    <n v="5"/>
    <n v="4"/>
    <n v="0"/>
    <n v="4"/>
  </r>
  <r>
    <n v="45"/>
    <x v="1"/>
    <x v="0"/>
    <n v="192"/>
    <x v="1"/>
    <n v="10"/>
    <n v="2"/>
    <s v="Life Sciences"/>
    <n v="1"/>
    <n v="544"/>
    <n v="1"/>
    <x v="1"/>
    <n v="69"/>
    <x v="0"/>
    <n v="1"/>
    <x v="1"/>
    <n v="4"/>
    <x v="1"/>
    <n v="2654"/>
    <n v="9655"/>
    <n v="3"/>
    <s v="Y"/>
    <s v="No"/>
    <n v="21"/>
    <x v="1"/>
    <n v="4"/>
    <n v="80"/>
    <n v="2"/>
    <n v="8"/>
    <n v="3"/>
    <n v="2"/>
    <n v="2"/>
    <n v="2"/>
    <n v="0"/>
    <n v="2"/>
  </r>
  <r>
    <n v="52"/>
    <x v="1"/>
    <x v="0"/>
    <n v="1490"/>
    <x v="1"/>
    <n v="4"/>
    <n v="2"/>
    <s v="Life Sciences"/>
    <n v="1"/>
    <n v="546"/>
    <n v="4"/>
    <x v="0"/>
    <n v="30"/>
    <x v="0"/>
    <n v="4"/>
    <x v="5"/>
    <n v="4"/>
    <x v="1"/>
    <n v="16555"/>
    <n v="10310"/>
    <n v="2"/>
    <s v="Y"/>
    <s v="No"/>
    <n v="13"/>
    <x v="0"/>
    <n v="4"/>
    <n v="80"/>
    <n v="0"/>
    <n v="31"/>
    <n v="2"/>
    <n v="1"/>
    <n v="5"/>
    <n v="2"/>
    <n v="1"/>
    <n v="4"/>
  </r>
  <r>
    <n v="42"/>
    <x v="1"/>
    <x v="1"/>
    <n v="532"/>
    <x v="1"/>
    <n v="29"/>
    <n v="2"/>
    <s v="Life Sciences"/>
    <n v="1"/>
    <n v="547"/>
    <n v="1"/>
    <x v="0"/>
    <n v="92"/>
    <x v="0"/>
    <n v="2"/>
    <x v="1"/>
    <n v="3"/>
    <x v="2"/>
    <n v="4556"/>
    <n v="12932"/>
    <n v="2"/>
    <s v="Y"/>
    <s v="No"/>
    <n v="11"/>
    <x v="0"/>
    <n v="2"/>
    <n v="80"/>
    <n v="1"/>
    <n v="19"/>
    <n v="3"/>
    <n v="3"/>
    <n v="5"/>
    <n v="4"/>
    <n v="0"/>
    <n v="2"/>
  </r>
  <r>
    <n v="30"/>
    <x v="1"/>
    <x v="0"/>
    <n v="317"/>
    <x v="1"/>
    <n v="2"/>
    <n v="3"/>
    <s v="Life Sciences"/>
    <n v="1"/>
    <n v="548"/>
    <n v="3"/>
    <x v="0"/>
    <n v="43"/>
    <x v="3"/>
    <n v="2"/>
    <x v="3"/>
    <n v="4"/>
    <x v="0"/>
    <n v="6091"/>
    <n v="24793"/>
    <n v="2"/>
    <s v="Y"/>
    <s v="No"/>
    <n v="20"/>
    <x v="1"/>
    <n v="3"/>
    <n v="80"/>
    <n v="0"/>
    <n v="11"/>
    <n v="2"/>
    <n v="3"/>
    <n v="5"/>
    <n v="4"/>
    <n v="0"/>
    <n v="2"/>
  </r>
  <r>
    <n v="60"/>
    <x v="1"/>
    <x v="0"/>
    <n v="422"/>
    <x v="1"/>
    <n v="7"/>
    <n v="3"/>
    <s v="Life Sciences"/>
    <n v="1"/>
    <n v="549"/>
    <n v="1"/>
    <x v="0"/>
    <n v="41"/>
    <x v="0"/>
    <n v="5"/>
    <x v="5"/>
    <n v="1"/>
    <x v="1"/>
    <n v="19566"/>
    <n v="3854"/>
    <n v="5"/>
    <s v="Y"/>
    <s v="No"/>
    <n v="11"/>
    <x v="0"/>
    <n v="4"/>
    <n v="80"/>
    <n v="0"/>
    <n v="33"/>
    <n v="5"/>
    <n v="1"/>
    <n v="29"/>
    <n v="8"/>
    <n v="11"/>
    <n v="10"/>
  </r>
  <r>
    <n v="46"/>
    <x v="1"/>
    <x v="0"/>
    <n v="1485"/>
    <x v="1"/>
    <n v="18"/>
    <n v="3"/>
    <s v="Medical"/>
    <n v="1"/>
    <n v="550"/>
    <n v="3"/>
    <x v="0"/>
    <n v="87"/>
    <x v="0"/>
    <n v="2"/>
    <x v="3"/>
    <n v="3"/>
    <x v="2"/>
    <n v="4810"/>
    <n v="26314"/>
    <n v="2"/>
    <s v="Y"/>
    <s v="No"/>
    <n v="14"/>
    <x v="0"/>
    <n v="3"/>
    <n v="80"/>
    <n v="1"/>
    <n v="19"/>
    <n v="5"/>
    <n v="2"/>
    <n v="10"/>
    <n v="7"/>
    <n v="0"/>
    <n v="8"/>
  </r>
  <r>
    <n v="42"/>
    <x v="1"/>
    <x v="1"/>
    <n v="1368"/>
    <x v="1"/>
    <n v="28"/>
    <n v="4"/>
    <s v="Technical Degree"/>
    <n v="1"/>
    <n v="551"/>
    <n v="4"/>
    <x v="0"/>
    <n v="88"/>
    <x v="1"/>
    <n v="2"/>
    <x v="4"/>
    <n v="4"/>
    <x v="1"/>
    <n v="4523"/>
    <n v="4386"/>
    <n v="0"/>
    <s v="Y"/>
    <s v="No"/>
    <n v="11"/>
    <x v="0"/>
    <n v="4"/>
    <n v="80"/>
    <n v="3"/>
    <n v="7"/>
    <n v="4"/>
    <n v="4"/>
    <n v="6"/>
    <n v="5"/>
    <n v="0"/>
    <n v="4"/>
  </r>
  <r>
    <n v="24"/>
    <x v="0"/>
    <x v="0"/>
    <n v="1448"/>
    <x v="0"/>
    <n v="1"/>
    <n v="1"/>
    <s v="Technical Degree"/>
    <n v="1"/>
    <n v="554"/>
    <n v="1"/>
    <x v="0"/>
    <n v="62"/>
    <x v="0"/>
    <n v="1"/>
    <x v="6"/>
    <n v="2"/>
    <x v="0"/>
    <n v="3202"/>
    <n v="21972"/>
    <n v="1"/>
    <s v="Y"/>
    <s v="Yes"/>
    <n v="16"/>
    <x v="0"/>
    <n v="2"/>
    <n v="80"/>
    <n v="0"/>
    <n v="6"/>
    <n v="4"/>
    <n v="3"/>
    <n v="5"/>
    <n v="3"/>
    <n v="1"/>
    <n v="4"/>
  </r>
  <r>
    <n v="34"/>
    <x v="0"/>
    <x v="1"/>
    <n v="296"/>
    <x v="0"/>
    <n v="6"/>
    <n v="2"/>
    <s v="Marketing"/>
    <n v="1"/>
    <n v="555"/>
    <n v="4"/>
    <x v="0"/>
    <n v="33"/>
    <x v="3"/>
    <n v="1"/>
    <x v="6"/>
    <n v="3"/>
    <x v="2"/>
    <n v="2351"/>
    <n v="12253"/>
    <n v="0"/>
    <s v="Y"/>
    <s v="No"/>
    <n v="16"/>
    <x v="0"/>
    <n v="4"/>
    <n v="80"/>
    <n v="1"/>
    <n v="3"/>
    <n v="3"/>
    <n v="2"/>
    <n v="2"/>
    <n v="2"/>
    <n v="1"/>
    <n v="0"/>
  </r>
  <r>
    <n v="38"/>
    <x v="1"/>
    <x v="1"/>
    <n v="1490"/>
    <x v="1"/>
    <n v="2"/>
    <n v="2"/>
    <s v="Life Sciences"/>
    <n v="1"/>
    <n v="556"/>
    <n v="4"/>
    <x v="1"/>
    <n v="42"/>
    <x v="0"/>
    <n v="1"/>
    <x v="2"/>
    <n v="4"/>
    <x v="1"/>
    <n v="1702"/>
    <n v="12106"/>
    <n v="1"/>
    <s v="Y"/>
    <s v="Yes"/>
    <n v="23"/>
    <x v="1"/>
    <n v="3"/>
    <n v="80"/>
    <n v="1"/>
    <n v="1"/>
    <n v="3"/>
    <n v="3"/>
    <n v="1"/>
    <n v="0"/>
    <n v="0"/>
    <n v="0"/>
  </r>
  <r>
    <n v="40"/>
    <x v="1"/>
    <x v="0"/>
    <n v="1398"/>
    <x v="0"/>
    <n v="2"/>
    <n v="4"/>
    <s v="Life Sciences"/>
    <n v="1"/>
    <n v="558"/>
    <n v="3"/>
    <x v="0"/>
    <n v="79"/>
    <x v="0"/>
    <n v="5"/>
    <x v="5"/>
    <n v="3"/>
    <x v="1"/>
    <n v="18041"/>
    <n v="13022"/>
    <n v="0"/>
    <s v="Y"/>
    <s v="No"/>
    <n v="14"/>
    <x v="0"/>
    <n v="4"/>
    <n v="80"/>
    <n v="0"/>
    <n v="21"/>
    <n v="2"/>
    <n v="3"/>
    <n v="20"/>
    <n v="15"/>
    <n v="1"/>
    <n v="12"/>
  </r>
  <r>
    <n v="26"/>
    <x v="1"/>
    <x v="0"/>
    <n v="1349"/>
    <x v="1"/>
    <n v="23"/>
    <n v="3"/>
    <s v="Life Sciences"/>
    <n v="1"/>
    <n v="560"/>
    <n v="1"/>
    <x v="0"/>
    <n v="90"/>
    <x v="0"/>
    <n v="1"/>
    <x v="1"/>
    <n v="4"/>
    <x v="2"/>
    <n v="2886"/>
    <n v="3032"/>
    <n v="1"/>
    <s v="Y"/>
    <s v="No"/>
    <n v="22"/>
    <x v="1"/>
    <n v="2"/>
    <n v="80"/>
    <n v="2"/>
    <n v="3"/>
    <n v="3"/>
    <n v="1"/>
    <n v="3"/>
    <n v="2"/>
    <n v="0"/>
    <n v="2"/>
  </r>
  <r>
    <n v="30"/>
    <x v="1"/>
    <x v="2"/>
    <n v="1400"/>
    <x v="1"/>
    <n v="3"/>
    <n v="3"/>
    <s v="Life Sciences"/>
    <n v="1"/>
    <n v="562"/>
    <n v="3"/>
    <x v="1"/>
    <n v="53"/>
    <x v="0"/>
    <n v="1"/>
    <x v="2"/>
    <n v="4"/>
    <x v="1"/>
    <n v="2097"/>
    <n v="16734"/>
    <n v="4"/>
    <s v="Y"/>
    <s v="No"/>
    <n v="15"/>
    <x v="0"/>
    <n v="3"/>
    <n v="80"/>
    <n v="1"/>
    <n v="9"/>
    <n v="3"/>
    <n v="1"/>
    <n v="5"/>
    <n v="3"/>
    <n v="1"/>
    <n v="4"/>
  </r>
  <r>
    <n v="29"/>
    <x v="1"/>
    <x v="0"/>
    <n v="986"/>
    <x v="1"/>
    <n v="3"/>
    <n v="4"/>
    <s v="Medical"/>
    <n v="1"/>
    <n v="564"/>
    <n v="2"/>
    <x v="1"/>
    <n v="93"/>
    <x v="1"/>
    <n v="3"/>
    <x v="7"/>
    <n v="3"/>
    <x v="1"/>
    <n v="11935"/>
    <n v="21526"/>
    <n v="1"/>
    <s v="Y"/>
    <s v="No"/>
    <n v="18"/>
    <x v="0"/>
    <n v="3"/>
    <n v="80"/>
    <n v="0"/>
    <n v="10"/>
    <n v="2"/>
    <n v="3"/>
    <n v="10"/>
    <n v="2"/>
    <n v="0"/>
    <n v="7"/>
  </r>
  <r>
    <n v="29"/>
    <x v="0"/>
    <x v="0"/>
    <n v="408"/>
    <x v="1"/>
    <n v="25"/>
    <n v="5"/>
    <s v="Technical Degree"/>
    <n v="1"/>
    <n v="565"/>
    <n v="3"/>
    <x v="0"/>
    <n v="71"/>
    <x v="1"/>
    <n v="1"/>
    <x v="1"/>
    <n v="2"/>
    <x v="1"/>
    <n v="2546"/>
    <n v="18300"/>
    <n v="5"/>
    <s v="Y"/>
    <s v="No"/>
    <n v="16"/>
    <x v="0"/>
    <n v="2"/>
    <n v="80"/>
    <n v="0"/>
    <n v="6"/>
    <n v="2"/>
    <n v="4"/>
    <n v="2"/>
    <n v="2"/>
    <n v="1"/>
    <n v="1"/>
  </r>
  <r>
    <n v="19"/>
    <x v="0"/>
    <x v="0"/>
    <n v="489"/>
    <x v="2"/>
    <n v="2"/>
    <n v="2"/>
    <s v="Technical Degree"/>
    <n v="1"/>
    <n v="566"/>
    <n v="1"/>
    <x v="1"/>
    <n v="52"/>
    <x v="1"/>
    <n v="1"/>
    <x v="8"/>
    <n v="4"/>
    <x v="0"/>
    <n v="2564"/>
    <n v="18437"/>
    <n v="1"/>
    <s v="Y"/>
    <s v="No"/>
    <n v="12"/>
    <x v="0"/>
    <n v="3"/>
    <n v="80"/>
    <n v="0"/>
    <n v="1"/>
    <n v="3"/>
    <n v="4"/>
    <n v="1"/>
    <n v="0"/>
    <n v="0"/>
    <n v="0"/>
  </r>
  <r>
    <n v="30"/>
    <x v="1"/>
    <x v="2"/>
    <n v="1398"/>
    <x v="0"/>
    <n v="22"/>
    <n v="4"/>
    <s v="Other"/>
    <n v="1"/>
    <n v="567"/>
    <n v="3"/>
    <x v="0"/>
    <n v="69"/>
    <x v="0"/>
    <n v="3"/>
    <x v="0"/>
    <n v="1"/>
    <x v="1"/>
    <n v="8412"/>
    <n v="2890"/>
    <n v="0"/>
    <s v="Y"/>
    <s v="No"/>
    <n v="11"/>
    <x v="0"/>
    <n v="3"/>
    <n v="80"/>
    <n v="0"/>
    <n v="10"/>
    <n v="3"/>
    <n v="3"/>
    <n v="9"/>
    <n v="8"/>
    <n v="7"/>
    <n v="8"/>
  </r>
  <r>
    <n v="57"/>
    <x v="1"/>
    <x v="0"/>
    <n v="210"/>
    <x v="0"/>
    <n v="29"/>
    <n v="3"/>
    <s v="Marketing"/>
    <n v="1"/>
    <n v="568"/>
    <n v="1"/>
    <x v="1"/>
    <n v="56"/>
    <x v="1"/>
    <n v="4"/>
    <x v="5"/>
    <n v="4"/>
    <x v="2"/>
    <n v="14118"/>
    <n v="22102"/>
    <n v="3"/>
    <s v="Y"/>
    <s v="No"/>
    <n v="12"/>
    <x v="0"/>
    <n v="3"/>
    <n v="80"/>
    <n v="1"/>
    <n v="32"/>
    <n v="3"/>
    <n v="2"/>
    <n v="1"/>
    <n v="0"/>
    <n v="0"/>
    <n v="0"/>
  </r>
  <r>
    <n v="50"/>
    <x v="1"/>
    <x v="0"/>
    <n v="1099"/>
    <x v="1"/>
    <n v="29"/>
    <n v="4"/>
    <s v="Life Sciences"/>
    <n v="1"/>
    <n v="569"/>
    <n v="2"/>
    <x v="1"/>
    <n v="88"/>
    <x v="1"/>
    <n v="4"/>
    <x v="5"/>
    <n v="3"/>
    <x v="1"/>
    <n v="17046"/>
    <n v="9314"/>
    <n v="0"/>
    <s v="Y"/>
    <s v="No"/>
    <n v="15"/>
    <x v="0"/>
    <n v="2"/>
    <n v="80"/>
    <n v="1"/>
    <n v="28"/>
    <n v="2"/>
    <n v="3"/>
    <n v="27"/>
    <n v="10"/>
    <n v="15"/>
    <n v="7"/>
  </r>
  <r>
    <n v="30"/>
    <x v="1"/>
    <x v="2"/>
    <n v="1116"/>
    <x v="1"/>
    <n v="2"/>
    <n v="3"/>
    <s v="Medical"/>
    <n v="1"/>
    <n v="571"/>
    <n v="3"/>
    <x v="0"/>
    <n v="49"/>
    <x v="0"/>
    <n v="1"/>
    <x v="2"/>
    <n v="4"/>
    <x v="0"/>
    <n v="2564"/>
    <n v="7181"/>
    <n v="0"/>
    <s v="Y"/>
    <s v="No"/>
    <n v="14"/>
    <x v="0"/>
    <n v="3"/>
    <n v="80"/>
    <n v="0"/>
    <n v="12"/>
    <n v="2"/>
    <n v="2"/>
    <n v="11"/>
    <n v="7"/>
    <n v="6"/>
    <n v="7"/>
  </r>
  <r>
    <n v="60"/>
    <x v="1"/>
    <x v="1"/>
    <n v="1499"/>
    <x v="0"/>
    <n v="28"/>
    <n v="3"/>
    <s v="Marketing"/>
    <n v="1"/>
    <n v="573"/>
    <n v="3"/>
    <x v="0"/>
    <n v="80"/>
    <x v="1"/>
    <n v="3"/>
    <x v="0"/>
    <n v="1"/>
    <x v="1"/>
    <n v="10266"/>
    <n v="2845"/>
    <n v="4"/>
    <s v="Y"/>
    <s v="No"/>
    <n v="19"/>
    <x v="0"/>
    <n v="4"/>
    <n v="80"/>
    <n v="0"/>
    <n v="22"/>
    <n v="5"/>
    <n v="4"/>
    <n v="18"/>
    <n v="13"/>
    <n v="13"/>
    <n v="11"/>
  </r>
  <r>
    <n v="47"/>
    <x v="1"/>
    <x v="0"/>
    <n v="983"/>
    <x v="1"/>
    <n v="2"/>
    <n v="2"/>
    <s v="Medical"/>
    <n v="1"/>
    <n v="574"/>
    <n v="1"/>
    <x v="0"/>
    <n v="65"/>
    <x v="0"/>
    <n v="2"/>
    <x v="3"/>
    <n v="4"/>
    <x v="2"/>
    <n v="5070"/>
    <n v="7389"/>
    <n v="5"/>
    <s v="Y"/>
    <s v="No"/>
    <n v="13"/>
    <x v="0"/>
    <n v="3"/>
    <n v="80"/>
    <n v="3"/>
    <n v="20"/>
    <n v="2"/>
    <n v="3"/>
    <n v="5"/>
    <n v="0"/>
    <n v="0"/>
    <n v="4"/>
  </r>
  <r>
    <n v="46"/>
    <x v="1"/>
    <x v="0"/>
    <n v="1009"/>
    <x v="1"/>
    <n v="2"/>
    <n v="3"/>
    <s v="Life Sciences"/>
    <n v="1"/>
    <n v="575"/>
    <n v="1"/>
    <x v="1"/>
    <n v="51"/>
    <x v="0"/>
    <n v="4"/>
    <x v="7"/>
    <n v="3"/>
    <x v="1"/>
    <n v="17861"/>
    <n v="2288"/>
    <n v="6"/>
    <s v="Y"/>
    <s v="No"/>
    <n v="13"/>
    <x v="0"/>
    <n v="3"/>
    <n v="80"/>
    <n v="0"/>
    <n v="26"/>
    <n v="2"/>
    <n v="1"/>
    <n v="3"/>
    <n v="2"/>
    <n v="0"/>
    <n v="1"/>
  </r>
  <r>
    <n v="35"/>
    <x v="1"/>
    <x v="0"/>
    <n v="144"/>
    <x v="1"/>
    <n v="22"/>
    <n v="3"/>
    <s v="Life Sciences"/>
    <n v="1"/>
    <n v="577"/>
    <n v="4"/>
    <x v="1"/>
    <n v="46"/>
    <x v="3"/>
    <n v="1"/>
    <x v="2"/>
    <n v="3"/>
    <x v="0"/>
    <n v="4230"/>
    <n v="19225"/>
    <n v="0"/>
    <s v="Y"/>
    <s v="No"/>
    <n v="15"/>
    <x v="0"/>
    <n v="3"/>
    <n v="80"/>
    <n v="0"/>
    <n v="6"/>
    <n v="2"/>
    <n v="3"/>
    <n v="5"/>
    <n v="4"/>
    <n v="4"/>
    <n v="3"/>
  </r>
  <r>
    <n v="54"/>
    <x v="1"/>
    <x v="0"/>
    <n v="548"/>
    <x v="1"/>
    <n v="8"/>
    <n v="4"/>
    <s v="Life Sciences"/>
    <n v="1"/>
    <n v="578"/>
    <n v="3"/>
    <x v="0"/>
    <n v="42"/>
    <x v="0"/>
    <n v="2"/>
    <x v="2"/>
    <n v="3"/>
    <x v="0"/>
    <n v="3780"/>
    <n v="23428"/>
    <n v="7"/>
    <s v="Y"/>
    <s v="No"/>
    <n v="11"/>
    <x v="0"/>
    <n v="3"/>
    <n v="80"/>
    <n v="0"/>
    <n v="19"/>
    <n v="3"/>
    <n v="3"/>
    <n v="1"/>
    <n v="0"/>
    <n v="0"/>
    <n v="0"/>
  </r>
  <r>
    <n v="34"/>
    <x v="1"/>
    <x v="0"/>
    <n v="1303"/>
    <x v="1"/>
    <n v="2"/>
    <n v="4"/>
    <s v="Life Sciences"/>
    <n v="1"/>
    <n v="579"/>
    <n v="4"/>
    <x v="1"/>
    <n v="62"/>
    <x v="1"/>
    <n v="1"/>
    <x v="1"/>
    <n v="3"/>
    <x v="2"/>
    <n v="2768"/>
    <n v="8416"/>
    <n v="3"/>
    <s v="Y"/>
    <s v="No"/>
    <n v="12"/>
    <x v="0"/>
    <n v="3"/>
    <n v="80"/>
    <n v="1"/>
    <n v="14"/>
    <n v="3"/>
    <n v="3"/>
    <n v="7"/>
    <n v="3"/>
    <n v="5"/>
    <n v="7"/>
  </r>
  <r>
    <n v="46"/>
    <x v="1"/>
    <x v="0"/>
    <n v="1125"/>
    <x v="0"/>
    <n v="10"/>
    <n v="3"/>
    <s v="Marketing"/>
    <n v="1"/>
    <n v="580"/>
    <n v="3"/>
    <x v="0"/>
    <n v="94"/>
    <x v="1"/>
    <n v="3"/>
    <x v="0"/>
    <n v="4"/>
    <x v="1"/>
    <n v="9071"/>
    <n v="11563"/>
    <n v="2"/>
    <s v="Y"/>
    <s v="Yes"/>
    <n v="19"/>
    <x v="0"/>
    <n v="3"/>
    <n v="80"/>
    <n v="1"/>
    <n v="15"/>
    <n v="3"/>
    <n v="3"/>
    <n v="3"/>
    <n v="2"/>
    <n v="1"/>
    <n v="2"/>
  </r>
  <r>
    <n v="31"/>
    <x v="1"/>
    <x v="0"/>
    <n v="1274"/>
    <x v="1"/>
    <n v="9"/>
    <n v="1"/>
    <s v="Life Sciences"/>
    <n v="1"/>
    <n v="581"/>
    <n v="3"/>
    <x v="1"/>
    <n v="33"/>
    <x v="0"/>
    <n v="3"/>
    <x v="3"/>
    <n v="2"/>
    <x v="2"/>
    <n v="10648"/>
    <n v="14394"/>
    <n v="1"/>
    <s v="Y"/>
    <s v="No"/>
    <n v="25"/>
    <x v="1"/>
    <n v="4"/>
    <n v="80"/>
    <n v="1"/>
    <n v="13"/>
    <n v="6"/>
    <n v="4"/>
    <n v="13"/>
    <n v="8"/>
    <n v="0"/>
    <n v="8"/>
  </r>
  <r>
    <n v="33"/>
    <x v="0"/>
    <x v="0"/>
    <n v="1277"/>
    <x v="1"/>
    <n v="15"/>
    <n v="1"/>
    <s v="Medical"/>
    <n v="1"/>
    <n v="582"/>
    <n v="2"/>
    <x v="1"/>
    <n v="56"/>
    <x v="0"/>
    <n v="3"/>
    <x v="5"/>
    <n v="3"/>
    <x v="1"/>
    <n v="13610"/>
    <n v="24619"/>
    <n v="7"/>
    <s v="Y"/>
    <s v="Yes"/>
    <n v="12"/>
    <x v="0"/>
    <n v="4"/>
    <n v="80"/>
    <n v="0"/>
    <n v="15"/>
    <n v="2"/>
    <n v="4"/>
    <n v="7"/>
    <n v="6"/>
    <n v="7"/>
    <n v="7"/>
  </r>
  <r>
    <n v="33"/>
    <x v="0"/>
    <x v="0"/>
    <n v="587"/>
    <x v="1"/>
    <n v="10"/>
    <n v="1"/>
    <s v="Medical"/>
    <n v="1"/>
    <n v="584"/>
    <n v="1"/>
    <x v="1"/>
    <n v="38"/>
    <x v="3"/>
    <n v="1"/>
    <x v="2"/>
    <n v="4"/>
    <x v="2"/>
    <n v="3408"/>
    <n v="6705"/>
    <n v="7"/>
    <s v="Y"/>
    <s v="No"/>
    <n v="13"/>
    <x v="0"/>
    <n v="1"/>
    <n v="80"/>
    <n v="3"/>
    <n v="8"/>
    <n v="2"/>
    <n v="3"/>
    <n v="4"/>
    <n v="3"/>
    <n v="1"/>
    <n v="3"/>
  </r>
  <r>
    <n v="30"/>
    <x v="1"/>
    <x v="0"/>
    <n v="413"/>
    <x v="0"/>
    <n v="7"/>
    <n v="1"/>
    <s v="Marketing"/>
    <n v="1"/>
    <n v="585"/>
    <n v="4"/>
    <x v="1"/>
    <n v="57"/>
    <x v="0"/>
    <n v="1"/>
    <x v="6"/>
    <n v="2"/>
    <x v="0"/>
    <n v="2983"/>
    <n v="18398"/>
    <n v="0"/>
    <s v="Y"/>
    <s v="No"/>
    <n v="14"/>
    <x v="0"/>
    <n v="1"/>
    <n v="80"/>
    <n v="0"/>
    <n v="4"/>
    <n v="3"/>
    <n v="3"/>
    <n v="3"/>
    <n v="2"/>
    <n v="1"/>
    <n v="2"/>
  </r>
  <r>
    <n v="35"/>
    <x v="1"/>
    <x v="0"/>
    <n v="1276"/>
    <x v="1"/>
    <n v="16"/>
    <n v="3"/>
    <s v="Life Sciences"/>
    <n v="1"/>
    <n v="586"/>
    <n v="4"/>
    <x v="1"/>
    <n v="72"/>
    <x v="0"/>
    <n v="3"/>
    <x v="4"/>
    <n v="3"/>
    <x v="1"/>
    <n v="7632"/>
    <n v="14295"/>
    <n v="4"/>
    <s v="Y"/>
    <s v="Yes"/>
    <n v="12"/>
    <x v="0"/>
    <n v="3"/>
    <n v="80"/>
    <n v="0"/>
    <n v="10"/>
    <n v="2"/>
    <n v="3"/>
    <n v="8"/>
    <n v="7"/>
    <n v="0"/>
    <n v="0"/>
  </r>
  <r>
    <n v="31"/>
    <x v="0"/>
    <x v="1"/>
    <n v="534"/>
    <x v="1"/>
    <n v="20"/>
    <n v="3"/>
    <s v="Life Sciences"/>
    <n v="1"/>
    <n v="587"/>
    <n v="1"/>
    <x v="1"/>
    <n v="66"/>
    <x v="0"/>
    <n v="3"/>
    <x v="4"/>
    <n v="3"/>
    <x v="1"/>
    <n v="9824"/>
    <n v="22908"/>
    <n v="3"/>
    <s v="Y"/>
    <s v="No"/>
    <n v="12"/>
    <x v="0"/>
    <n v="1"/>
    <n v="80"/>
    <n v="0"/>
    <n v="12"/>
    <n v="2"/>
    <n v="3"/>
    <n v="1"/>
    <n v="0"/>
    <n v="0"/>
    <n v="0"/>
  </r>
  <r>
    <n v="34"/>
    <x v="0"/>
    <x v="1"/>
    <n v="988"/>
    <x v="2"/>
    <n v="23"/>
    <n v="3"/>
    <s v="Human Resources"/>
    <n v="1"/>
    <n v="590"/>
    <n v="2"/>
    <x v="0"/>
    <n v="43"/>
    <x v="0"/>
    <n v="3"/>
    <x v="8"/>
    <n v="1"/>
    <x v="2"/>
    <n v="9950"/>
    <n v="11533"/>
    <n v="9"/>
    <s v="Y"/>
    <s v="Yes"/>
    <n v="15"/>
    <x v="0"/>
    <n v="3"/>
    <n v="80"/>
    <n v="3"/>
    <n v="11"/>
    <n v="2"/>
    <n v="3"/>
    <n v="3"/>
    <n v="2"/>
    <n v="0"/>
    <n v="2"/>
  </r>
  <r>
    <n v="42"/>
    <x v="1"/>
    <x v="1"/>
    <n v="1474"/>
    <x v="1"/>
    <n v="5"/>
    <n v="2"/>
    <s v="Other"/>
    <n v="1"/>
    <n v="591"/>
    <n v="2"/>
    <x v="1"/>
    <n v="97"/>
    <x v="0"/>
    <n v="1"/>
    <x v="2"/>
    <n v="3"/>
    <x v="1"/>
    <n v="2093"/>
    <n v="9260"/>
    <n v="4"/>
    <s v="Y"/>
    <s v="No"/>
    <n v="17"/>
    <x v="0"/>
    <n v="4"/>
    <n v="80"/>
    <n v="1"/>
    <n v="8"/>
    <n v="4"/>
    <n v="3"/>
    <n v="2"/>
    <n v="2"/>
    <n v="2"/>
    <n v="0"/>
  </r>
  <r>
    <n v="36"/>
    <x v="1"/>
    <x v="2"/>
    <n v="635"/>
    <x v="0"/>
    <n v="10"/>
    <n v="4"/>
    <s v="Medical"/>
    <n v="1"/>
    <n v="592"/>
    <n v="2"/>
    <x v="1"/>
    <n v="32"/>
    <x v="0"/>
    <n v="3"/>
    <x v="0"/>
    <n v="4"/>
    <x v="0"/>
    <n v="9980"/>
    <n v="15318"/>
    <n v="1"/>
    <s v="Y"/>
    <s v="No"/>
    <n v="14"/>
    <x v="0"/>
    <n v="4"/>
    <n v="80"/>
    <n v="0"/>
    <n v="10"/>
    <n v="3"/>
    <n v="2"/>
    <n v="10"/>
    <n v="3"/>
    <n v="9"/>
    <n v="7"/>
  </r>
  <r>
    <n v="22"/>
    <x v="0"/>
    <x v="1"/>
    <n v="1368"/>
    <x v="1"/>
    <n v="4"/>
    <n v="1"/>
    <s v="Technical Degree"/>
    <n v="1"/>
    <n v="593"/>
    <n v="3"/>
    <x v="1"/>
    <n v="99"/>
    <x v="1"/>
    <n v="1"/>
    <x v="2"/>
    <n v="3"/>
    <x v="0"/>
    <n v="3894"/>
    <n v="9129"/>
    <n v="5"/>
    <s v="Y"/>
    <s v="No"/>
    <n v="16"/>
    <x v="0"/>
    <n v="3"/>
    <n v="80"/>
    <n v="0"/>
    <n v="4"/>
    <n v="3"/>
    <n v="3"/>
    <n v="2"/>
    <n v="2"/>
    <n v="1"/>
    <n v="2"/>
  </r>
  <r>
    <n v="48"/>
    <x v="1"/>
    <x v="0"/>
    <n v="163"/>
    <x v="0"/>
    <n v="2"/>
    <n v="5"/>
    <s v="Marketing"/>
    <n v="1"/>
    <n v="595"/>
    <n v="2"/>
    <x v="0"/>
    <n v="37"/>
    <x v="0"/>
    <n v="2"/>
    <x v="0"/>
    <n v="4"/>
    <x v="1"/>
    <n v="4051"/>
    <n v="19658"/>
    <n v="2"/>
    <s v="Y"/>
    <s v="No"/>
    <n v="14"/>
    <x v="0"/>
    <n v="1"/>
    <n v="80"/>
    <n v="1"/>
    <n v="14"/>
    <n v="2"/>
    <n v="3"/>
    <n v="9"/>
    <n v="7"/>
    <n v="6"/>
    <n v="7"/>
  </r>
  <r>
    <n v="55"/>
    <x v="1"/>
    <x v="0"/>
    <n v="1117"/>
    <x v="0"/>
    <n v="18"/>
    <n v="5"/>
    <s v="Life Sciences"/>
    <n v="1"/>
    <n v="597"/>
    <n v="1"/>
    <x v="0"/>
    <n v="83"/>
    <x v="0"/>
    <n v="4"/>
    <x v="5"/>
    <n v="2"/>
    <x v="0"/>
    <n v="16835"/>
    <n v="9873"/>
    <n v="3"/>
    <s v="Y"/>
    <s v="No"/>
    <n v="23"/>
    <x v="1"/>
    <n v="4"/>
    <n v="80"/>
    <n v="0"/>
    <n v="37"/>
    <n v="2"/>
    <n v="3"/>
    <n v="10"/>
    <n v="9"/>
    <n v="7"/>
    <n v="7"/>
  </r>
  <r>
    <n v="41"/>
    <x v="1"/>
    <x v="2"/>
    <n v="267"/>
    <x v="0"/>
    <n v="10"/>
    <n v="2"/>
    <s v="Life Sciences"/>
    <n v="1"/>
    <n v="599"/>
    <n v="4"/>
    <x v="1"/>
    <n v="56"/>
    <x v="0"/>
    <n v="2"/>
    <x v="0"/>
    <n v="4"/>
    <x v="0"/>
    <n v="6230"/>
    <n v="13430"/>
    <n v="7"/>
    <s v="Y"/>
    <s v="No"/>
    <n v="14"/>
    <x v="0"/>
    <n v="4"/>
    <n v="80"/>
    <n v="0"/>
    <n v="16"/>
    <n v="3"/>
    <n v="3"/>
    <n v="14"/>
    <n v="3"/>
    <n v="1"/>
    <n v="10"/>
  </r>
  <r>
    <n v="35"/>
    <x v="1"/>
    <x v="0"/>
    <n v="619"/>
    <x v="0"/>
    <n v="1"/>
    <n v="3"/>
    <s v="Marketing"/>
    <n v="1"/>
    <n v="600"/>
    <n v="2"/>
    <x v="1"/>
    <n v="85"/>
    <x v="0"/>
    <n v="2"/>
    <x v="0"/>
    <n v="3"/>
    <x v="1"/>
    <n v="4717"/>
    <n v="18659"/>
    <n v="9"/>
    <s v="Y"/>
    <s v="No"/>
    <n v="11"/>
    <x v="0"/>
    <n v="3"/>
    <n v="80"/>
    <n v="0"/>
    <n v="15"/>
    <n v="2"/>
    <n v="3"/>
    <n v="11"/>
    <n v="9"/>
    <n v="6"/>
    <n v="9"/>
  </r>
  <r>
    <n v="40"/>
    <x v="1"/>
    <x v="0"/>
    <n v="302"/>
    <x v="1"/>
    <n v="6"/>
    <n v="3"/>
    <s v="Life Sciences"/>
    <n v="1"/>
    <n v="601"/>
    <n v="2"/>
    <x v="0"/>
    <n v="75"/>
    <x v="0"/>
    <n v="4"/>
    <x v="3"/>
    <n v="3"/>
    <x v="0"/>
    <n v="13237"/>
    <n v="20364"/>
    <n v="7"/>
    <s v="Y"/>
    <s v="No"/>
    <n v="15"/>
    <x v="0"/>
    <n v="3"/>
    <n v="80"/>
    <n v="0"/>
    <n v="22"/>
    <n v="3"/>
    <n v="3"/>
    <n v="20"/>
    <n v="6"/>
    <n v="5"/>
    <n v="13"/>
  </r>
  <r>
    <n v="39"/>
    <x v="1"/>
    <x v="1"/>
    <n v="443"/>
    <x v="1"/>
    <n v="8"/>
    <n v="1"/>
    <s v="Life Sciences"/>
    <n v="1"/>
    <n v="602"/>
    <n v="3"/>
    <x v="0"/>
    <n v="48"/>
    <x v="0"/>
    <n v="1"/>
    <x v="2"/>
    <n v="3"/>
    <x v="1"/>
    <n v="3755"/>
    <n v="17872"/>
    <n v="1"/>
    <s v="Y"/>
    <s v="No"/>
    <n v="11"/>
    <x v="0"/>
    <n v="1"/>
    <n v="80"/>
    <n v="1"/>
    <n v="8"/>
    <n v="3"/>
    <n v="3"/>
    <n v="8"/>
    <n v="3"/>
    <n v="0"/>
    <n v="7"/>
  </r>
  <r>
    <n v="31"/>
    <x v="1"/>
    <x v="0"/>
    <n v="828"/>
    <x v="0"/>
    <n v="2"/>
    <n v="1"/>
    <s v="Life Sciences"/>
    <n v="1"/>
    <n v="604"/>
    <n v="2"/>
    <x v="1"/>
    <n v="77"/>
    <x v="0"/>
    <n v="2"/>
    <x v="0"/>
    <n v="4"/>
    <x v="0"/>
    <n v="6582"/>
    <n v="8346"/>
    <n v="4"/>
    <s v="Y"/>
    <s v="Yes"/>
    <n v="13"/>
    <x v="0"/>
    <n v="3"/>
    <n v="80"/>
    <n v="0"/>
    <n v="10"/>
    <n v="2"/>
    <n v="4"/>
    <n v="6"/>
    <n v="5"/>
    <n v="0"/>
    <n v="5"/>
  </r>
  <r>
    <n v="42"/>
    <x v="1"/>
    <x v="0"/>
    <n v="319"/>
    <x v="1"/>
    <n v="24"/>
    <n v="3"/>
    <s v="Medical"/>
    <n v="1"/>
    <n v="605"/>
    <n v="4"/>
    <x v="1"/>
    <n v="56"/>
    <x v="0"/>
    <n v="3"/>
    <x v="3"/>
    <n v="1"/>
    <x v="1"/>
    <n v="7406"/>
    <n v="6950"/>
    <n v="1"/>
    <s v="Y"/>
    <s v="Yes"/>
    <n v="21"/>
    <x v="1"/>
    <n v="4"/>
    <n v="80"/>
    <n v="1"/>
    <n v="10"/>
    <n v="5"/>
    <n v="2"/>
    <n v="10"/>
    <n v="9"/>
    <n v="5"/>
    <n v="8"/>
  </r>
  <r>
    <n v="45"/>
    <x v="1"/>
    <x v="0"/>
    <n v="561"/>
    <x v="0"/>
    <n v="2"/>
    <n v="3"/>
    <s v="Other"/>
    <n v="1"/>
    <n v="606"/>
    <n v="4"/>
    <x v="1"/>
    <n v="61"/>
    <x v="0"/>
    <n v="2"/>
    <x v="0"/>
    <n v="2"/>
    <x v="1"/>
    <n v="4805"/>
    <n v="16177"/>
    <n v="0"/>
    <s v="Y"/>
    <s v="No"/>
    <n v="19"/>
    <x v="0"/>
    <n v="2"/>
    <n v="80"/>
    <n v="1"/>
    <n v="9"/>
    <n v="3"/>
    <n v="4"/>
    <n v="8"/>
    <n v="7"/>
    <n v="3"/>
    <n v="7"/>
  </r>
  <r>
    <n v="26"/>
    <x v="0"/>
    <x v="1"/>
    <n v="426"/>
    <x v="2"/>
    <n v="17"/>
    <n v="4"/>
    <s v="Life Sciences"/>
    <n v="1"/>
    <n v="608"/>
    <n v="2"/>
    <x v="0"/>
    <n v="58"/>
    <x v="0"/>
    <n v="1"/>
    <x v="8"/>
    <n v="3"/>
    <x v="2"/>
    <n v="2741"/>
    <n v="22808"/>
    <n v="0"/>
    <s v="Y"/>
    <s v="Yes"/>
    <n v="11"/>
    <x v="0"/>
    <n v="2"/>
    <n v="80"/>
    <n v="1"/>
    <n v="8"/>
    <n v="2"/>
    <n v="2"/>
    <n v="7"/>
    <n v="7"/>
    <n v="1"/>
    <n v="0"/>
  </r>
  <r>
    <n v="29"/>
    <x v="1"/>
    <x v="0"/>
    <n v="232"/>
    <x v="1"/>
    <n v="19"/>
    <n v="3"/>
    <s v="Technical Degree"/>
    <n v="1"/>
    <n v="611"/>
    <n v="4"/>
    <x v="1"/>
    <n v="34"/>
    <x v="0"/>
    <n v="2"/>
    <x v="3"/>
    <n v="4"/>
    <x v="2"/>
    <n v="4262"/>
    <n v="22645"/>
    <n v="4"/>
    <s v="Y"/>
    <s v="No"/>
    <n v="12"/>
    <x v="0"/>
    <n v="2"/>
    <n v="80"/>
    <n v="2"/>
    <n v="8"/>
    <n v="2"/>
    <n v="4"/>
    <n v="3"/>
    <n v="2"/>
    <n v="1"/>
    <n v="2"/>
  </r>
  <r>
    <n v="33"/>
    <x v="1"/>
    <x v="0"/>
    <n v="922"/>
    <x v="1"/>
    <n v="1"/>
    <n v="5"/>
    <s v="Medical"/>
    <n v="1"/>
    <n v="612"/>
    <n v="1"/>
    <x v="0"/>
    <n v="95"/>
    <x v="2"/>
    <n v="4"/>
    <x v="7"/>
    <n v="3"/>
    <x v="2"/>
    <n v="16184"/>
    <n v="22578"/>
    <n v="4"/>
    <s v="Y"/>
    <s v="No"/>
    <n v="19"/>
    <x v="0"/>
    <n v="3"/>
    <n v="80"/>
    <n v="1"/>
    <n v="10"/>
    <n v="2"/>
    <n v="3"/>
    <n v="6"/>
    <n v="1"/>
    <n v="0"/>
    <n v="5"/>
  </r>
  <r>
    <n v="31"/>
    <x v="1"/>
    <x v="0"/>
    <n v="688"/>
    <x v="0"/>
    <n v="7"/>
    <n v="3"/>
    <s v="Life Sciences"/>
    <n v="1"/>
    <n v="613"/>
    <n v="3"/>
    <x v="1"/>
    <n v="44"/>
    <x v="1"/>
    <n v="3"/>
    <x v="5"/>
    <n v="4"/>
    <x v="2"/>
    <n v="11557"/>
    <n v="25291"/>
    <n v="9"/>
    <s v="Y"/>
    <s v="No"/>
    <n v="21"/>
    <x v="1"/>
    <n v="3"/>
    <n v="80"/>
    <n v="1"/>
    <n v="10"/>
    <n v="3"/>
    <n v="2"/>
    <n v="5"/>
    <n v="4"/>
    <n v="0"/>
    <n v="1"/>
  </r>
  <r>
    <n v="18"/>
    <x v="0"/>
    <x v="1"/>
    <n v="1306"/>
    <x v="0"/>
    <n v="5"/>
    <n v="3"/>
    <s v="Marketing"/>
    <n v="1"/>
    <n v="614"/>
    <n v="2"/>
    <x v="1"/>
    <n v="69"/>
    <x v="0"/>
    <n v="1"/>
    <x v="6"/>
    <n v="2"/>
    <x v="0"/>
    <n v="1878"/>
    <n v="8059"/>
    <n v="1"/>
    <s v="Y"/>
    <s v="Yes"/>
    <n v="14"/>
    <x v="0"/>
    <n v="4"/>
    <n v="80"/>
    <n v="0"/>
    <n v="0"/>
    <n v="3"/>
    <n v="3"/>
    <n v="0"/>
    <n v="0"/>
    <n v="0"/>
    <n v="0"/>
  </r>
  <r>
    <n v="40"/>
    <x v="1"/>
    <x v="2"/>
    <n v="1094"/>
    <x v="0"/>
    <n v="28"/>
    <n v="3"/>
    <s v="Other"/>
    <n v="1"/>
    <n v="615"/>
    <n v="3"/>
    <x v="1"/>
    <n v="58"/>
    <x v="3"/>
    <n v="3"/>
    <x v="0"/>
    <n v="1"/>
    <x v="2"/>
    <n v="10932"/>
    <n v="11373"/>
    <n v="3"/>
    <s v="Y"/>
    <s v="No"/>
    <n v="15"/>
    <x v="0"/>
    <n v="3"/>
    <n v="80"/>
    <n v="1"/>
    <n v="20"/>
    <n v="2"/>
    <n v="3"/>
    <n v="1"/>
    <n v="0"/>
    <n v="0"/>
    <n v="1"/>
  </r>
  <r>
    <n v="41"/>
    <x v="1"/>
    <x v="2"/>
    <n v="509"/>
    <x v="1"/>
    <n v="2"/>
    <n v="4"/>
    <s v="Other"/>
    <n v="1"/>
    <n v="616"/>
    <n v="1"/>
    <x v="0"/>
    <n v="62"/>
    <x v="1"/>
    <n v="2"/>
    <x v="4"/>
    <n v="3"/>
    <x v="0"/>
    <n v="6811"/>
    <n v="2112"/>
    <n v="2"/>
    <s v="Y"/>
    <s v="Yes"/>
    <n v="17"/>
    <x v="0"/>
    <n v="1"/>
    <n v="80"/>
    <n v="0"/>
    <n v="10"/>
    <n v="3"/>
    <n v="3"/>
    <n v="8"/>
    <n v="7"/>
    <n v="0"/>
    <n v="7"/>
  </r>
  <r>
    <n v="26"/>
    <x v="1"/>
    <x v="0"/>
    <n v="775"/>
    <x v="0"/>
    <n v="29"/>
    <n v="2"/>
    <s v="Medical"/>
    <n v="1"/>
    <n v="618"/>
    <n v="1"/>
    <x v="1"/>
    <n v="45"/>
    <x v="0"/>
    <n v="2"/>
    <x v="0"/>
    <n v="3"/>
    <x v="2"/>
    <n v="4306"/>
    <n v="4267"/>
    <n v="5"/>
    <s v="Y"/>
    <s v="No"/>
    <n v="12"/>
    <x v="0"/>
    <n v="1"/>
    <n v="80"/>
    <n v="2"/>
    <n v="8"/>
    <n v="5"/>
    <n v="3"/>
    <n v="0"/>
    <n v="0"/>
    <n v="0"/>
    <n v="0"/>
  </r>
  <r>
    <n v="35"/>
    <x v="1"/>
    <x v="0"/>
    <n v="195"/>
    <x v="0"/>
    <n v="1"/>
    <n v="3"/>
    <s v="Medical"/>
    <n v="1"/>
    <n v="620"/>
    <n v="1"/>
    <x v="0"/>
    <n v="80"/>
    <x v="0"/>
    <n v="2"/>
    <x v="0"/>
    <n v="3"/>
    <x v="0"/>
    <n v="4859"/>
    <n v="6698"/>
    <n v="1"/>
    <s v="Y"/>
    <s v="No"/>
    <n v="16"/>
    <x v="0"/>
    <n v="4"/>
    <n v="80"/>
    <n v="0"/>
    <n v="5"/>
    <n v="3"/>
    <n v="3"/>
    <n v="5"/>
    <n v="4"/>
    <n v="0"/>
    <n v="3"/>
  </r>
  <r>
    <n v="34"/>
    <x v="1"/>
    <x v="0"/>
    <n v="258"/>
    <x v="0"/>
    <n v="21"/>
    <n v="4"/>
    <s v="Life Sciences"/>
    <n v="1"/>
    <n v="621"/>
    <n v="4"/>
    <x v="1"/>
    <n v="74"/>
    <x v="2"/>
    <n v="2"/>
    <x v="0"/>
    <n v="4"/>
    <x v="0"/>
    <n v="5337"/>
    <n v="19921"/>
    <n v="1"/>
    <s v="Y"/>
    <s v="No"/>
    <n v="12"/>
    <x v="0"/>
    <n v="4"/>
    <n v="80"/>
    <n v="0"/>
    <n v="10"/>
    <n v="3"/>
    <n v="3"/>
    <n v="10"/>
    <n v="7"/>
    <n v="5"/>
    <n v="7"/>
  </r>
  <r>
    <n v="26"/>
    <x v="0"/>
    <x v="0"/>
    <n v="471"/>
    <x v="1"/>
    <n v="24"/>
    <n v="3"/>
    <s v="Technical Degree"/>
    <n v="1"/>
    <n v="622"/>
    <n v="3"/>
    <x v="1"/>
    <n v="66"/>
    <x v="3"/>
    <n v="1"/>
    <x v="2"/>
    <n v="4"/>
    <x v="0"/>
    <n v="2340"/>
    <n v="23213"/>
    <n v="1"/>
    <s v="Y"/>
    <s v="Yes"/>
    <n v="18"/>
    <x v="0"/>
    <n v="2"/>
    <n v="80"/>
    <n v="0"/>
    <n v="1"/>
    <n v="3"/>
    <n v="1"/>
    <n v="1"/>
    <n v="0"/>
    <n v="0"/>
    <n v="0"/>
  </r>
  <r>
    <n v="37"/>
    <x v="1"/>
    <x v="0"/>
    <n v="799"/>
    <x v="1"/>
    <n v="1"/>
    <n v="3"/>
    <s v="Technical Degree"/>
    <n v="1"/>
    <n v="623"/>
    <n v="2"/>
    <x v="0"/>
    <n v="59"/>
    <x v="0"/>
    <n v="3"/>
    <x v="3"/>
    <n v="4"/>
    <x v="0"/>
    <n v="7491"/>
    <n v="23848"/>
    <n v="4"/>
    <s v="Y"/>
    <s v="No"/>
    <n v="17"/>
    <x v="0"/>
    <n v="4"/>
    <n v="80"/>
    <n v="0"/>
    <n v="12"/>
    <n v="3"/>
    <n v="4"/>
    <n v="6"/>
    <n v="5"/>
    <n v="1"/>
    <n v="2"/>
  </r>
  <r>
    <n v="46"/>
    <x v="1"/>
    <x v="1"/>
    <n v="1034"/>
    <x v="1"/>
    <n v="18"/>
    <n v="1"/>
    <s v="Medical"/>
    <n v="1"/>
    <n v="624"/>
    <n v="1"/>
    <x v="0"/>
    <n v="86"/>
    <x v="0"/>
    <n v="3"/>
    <x v="4"/>
    <n v="3"/>
    <x v="1"/>
    <n v="10527"/>
    <n v="8984"/>
    <n v="5"/>
    <s v="Y"/>
    <s v="No"/>
    <n v="11"/>
    <x v="0"/>
    <n v="4"/>
    <n v="80"/>
    <n v="0"/>
    <n v="28"/>
    <n v="3"/>
    <n v="2"/>
    <n v="2"/>
    <n v="2"/>
    <n v="1"/>
    <n v="2"/>
  </r>
  <r>
    <n v="41"/>
    <x v="1"/>
    <x v="0"/>
    <n v="1276"/>
    <x v="0"/>
    <n v="2"/>
    <n v="5"/>
    <s v="Life Sciences"/>
    <n v="1"/>
    <n v="625"/>
    <n v="2"/>
    <x v="0"/>
    <n v="91"/>
    <x v="0"/>
    <n v="4"/>
    <x v="5"/>
    <n v="1"/>
    <x v="1"/>
    <n v="16595"/>
    <n v="5626"/>
    <n v="7"/>
    <s v="Y"/>
    <s v="No"/>
    <n v="16"/>
    <x v="0"/>
    <n v="2"/>
    <n v="80"/>
    <n v="1"/>
    <n v="22"/>
    <n v="2"/>
    <n v="3"/>
    <n v="18"/>
    <n v="16"/>
    <n v="11"/>
    <n v="8"/>
  </r>
  <r>
    <n v="37"/>
    <x v="1"/>
    <x v="2"/>
    <n v="142"/>
    <x v="0"/>
    <n v="9"/>
    <n v="4"/>
    <s v="Medical"/>
    <n v="1"/>
    <n v="626"/>
    <n v="1"/>
    <x v="1"/>
    <n v="69"/>
    <x v="0"/>
    <n v="3"/>
    <x v="0"/>
    <n v="2"/>
    <x v="2"/>
    <n v="8834"/>
    <n v="24666"/>
    <n v="1"/>
    <s v="Y"/>
    <s v="No"/>
    <n v="13"/>
    <x v="0"/>
    <n v="4"/>
    <n v="80"/>
    <n v="1"/>
    <n v="9"/>
    <n v="6"/>
    <n v="3"/>
    <n v="9"/>
    <n v="5"/>
    <n v="7"/>
    <n v="7"/>
  </r>
  <r>
    <n v="52"/>
    <x v="1"/>
    <x v="0"/>
    <n v="956"/>
    <x v="1"/>
    <n v="6"/>
    <n v="2"/>
    <s v="Technical Degree"/>
    <n v="1"/>
    <n v="630"/>
    <n v="4"/>
    <x v="1"/>
    <n v="78"/>
    <x v="0"/>
    <n v="2"/>
    <x v="1"/>
    <n v="1"/>
    <x v="2"/>
    <n v="5577"/>
    <n v="22087"/>
    <n v="3"/>
    <s v="Y"/>
    <s v="Yes"/>
    <n v="12"/>
    <x v="0"/>
    <n v="2"/>
    <n v="80"/>
    <n v="2"/>
    <n v="18"/>
    <n v="3"/>
    <n v="3"/>
    <n v="10"/>
    <n v="9"/>
    <n v="6"/>
    <n v="9"/>
  </r>
  <r>
    <n v="32"/>
    <x v="0"/>
    <x v="2"/>
    <n v="1474"/>
    <x v="0"/>
    <n v="11"/>
    <n v="4"/>
    <s v="Other"/>
    <n v="1"/>
    <n v="631"/>
    <n v="4"/>
    <x v="1"/>
    <n v="60"/>
    <x v="2"/>
    <n v="2"/>
    <x v="0"/>
    <n v="3"/>
    <x v="1"/>
    <n v="4707"/>
    <n v="23914"/>
    <n v="8"/>
    <s v="Y"/>
    <s v="No"/>
    <n v="12"/>
    <x v="0"/>
    <n v="4"/>
    <n v="80"/>
    <n v="0"/>
    <n v="6"/>
    <n v="2"/>
    <n v="3"/>
    <n v="4"/>
    <n v="2"/>
    <n v="1"/>
    <n v="2"/>
  </r>
  <r>
    <n v="24"/>
    <x v="1"/>
    <x v="1"/>
    <n v="535"/>
    <x v="0"/>
    <n v="24"/>
    <n v="3"/>
    <s v="Medical"/>
    <n v="1"/>
    <n v="632"/>
    <n v="4"/>
    <x v="1"/>
    <n v="38"/>
    <x v="0"/>
    <n v="1"/>
    <x v="6"/>
    <n v="4"/>
    <x v="1"/>
    <n v="2400"/>
    <n v="5530"/>
    <n v="0"/>
    <s v="Y"/>
    <s v="No"/>
    <n v="13"/>
    <x v="0"/>
    <n v="3"/>
    <n v="80"/>
    <n v="2"/>
    <n v="3"/>
    <n v="3"/>
    <n v="3"/>
    <n v="2"/>
    <n v="2"/>
    <n v="2"/>
    <n v="1"/>
  </r>
  <r>
    <n v="38"/>
    <x v="1"/>
    <x v="0"/>
    <n v="1495"/>
    <x v="1"/>
    <n v="10"/>
    <n v="3"/>
    <s v="Medical"/>
    <n v="1"/>
    <n v="634"/>
    <n v="3"/>
    <x v="0"/>
    <n v="76"/>
    <x v="0"/>
    <n v="2"/>
    <x v="4"/>
    <n v="3"/>
    <x v="1"/>
    <n v="9824"/>
    <n v="22174"/>
    <n v="3"/>
    <s v="Y"/>
    <s v="No"/>
    <n v="19"/>
    <x v="0"/>
    <n v="3"/>
    <n v="80"/>
    <n v="1"/>
    <n v="18"/>
    <n v="4"/>
    <n v="3"/>
    <n v="1"/>
    <n v="0"/>
    <n v="0"/>
    <n v="0"/>
  </r>
  <r>
    <n v="37"/>
    <x v="1"/>
    <x v="0"/>
    <n v="446"/>
    <x v="1"/>
    <n v="1"/>
    <n v="4"/>
    <s v="Life Sciences"/>
    <n v="1"/>
    <n v="635"/>
    <n v="2"/>
    <x v="0"/>
    <n v="65"/>
    <x v="0"/>
    <n v="2"/>
    <x v="3"/>
    <n v="2"/>
    <x v="1"/>
    <n v="6447"/>
    <n v="15701"/>
    <n v="6"/>
    <s v="Y"/>
    <s v="No"/>
    <n v="12"/>
    <x v="0"/>
    <n v="2"/>
    <n v="80"/>
    <n v="1"/>
    <n v="8"/>
    <n v="2"/>
    <n v="2"/>
    <n v="6"/>
    <n v="5"/>
    <n v="4"/>
    <n v="3"/>
  </r>
  <r>
    <n v="49"/>
    <x v="1"/>
    <x v="0"/>
    <n v="1245"/>
    <x v="1"/>
    <n v="18"/>
    <n v="4"/>
    <s v="Life Sciences"/>
    <n v="1"/>
    <n v="638"/>
    <n v="4"/>
    <x v="1"/>
    <n v="58"/>
    <x v="1"/>
    <n v="5"/>
    <x v="7"/>
    <n v="3"/>
    <x v="2"/>
    <n v="19502"/>
    <n v="2125"/>
    <n v="1"/>
    <s v="Y"/>
    <s v="Yes"/>
    <n v="17"/>
    <x v="0"/>
    <n v="3"/>
    <n v="80"/>
    <n v="1"/>
    <n v="31"/>
    <n v="5"/>
    <n v="3"/>
    <n v="31"/>
    <n v="9"/>
    <n v="0"/>
    <n v="9"/>
  </r>
  <r>
    <n v="24"/>
    <x v="1"/>
    <x v="0"/>
    <n v="691"/>
    <x v="1"/>
    <n v="23"/>
    <n v="3"/>
    <s v="Medical"/>
    <n v="1"/>
    <n v="639"/>
    <n v="2"/>
    <x v="1"/>
    <n v="89"/>
    <x v="2"/>
    <n v="1"/>
    <x v="1"/>
    <n v="4"/>
    <x v="1"/>
    <n v="2725"/>
    <n v="21630"/>
    <n v="1"/>
    <s v="Y"/>
    <s v="Yes"/>
    <n v="11"/>
    <x v="0"/>
    <n v="2"/>
    <n v="80"/>
    <n v="2"/>
    <n v="6"/>
    <n v="3"/>
    <n v="3"/>
    <n v="6"/>
    <n v="5"/>
    <n v="1"/>
    <n v="4"/>
  </r>
  <r>
    <n v="26"/>
    <x v="1"/>
    <x v="0"/>
    <n v="703"/>
    <x v="0"/>
    <n v="28"/>
    <n v="2"/>
    <s v="Marketing"/>
    <n v="1"/>
    <n v="641"/>
    <n v="1"/>
    <x v="1"/>
    <n v="66"/>
    <x v="0"/>
    <n v="2"/>
    <x v="0"/>
    <n v="2"/>
    <x v="1"/>
    <n v="6272"/>
    <n v="7428"/>
    <n v="1"/>
    <s v="Y"/>
    <s v="No"/>
    <n v="20"/>
    <x v="1"/>
    <n v="4"/>
    <n v="80"/>
    <n v="2"/>
    <n v="6"/>
    <n v="5"/>
    <n v="4"/>
    <n v="5"/>
    <n v="3"/>
    <n v="1"/>
    <n v="4"/>
  </r>
  <r>
    <n v="24"/>
    <x v="1"/>
    <x v="0"/>
    <n v="823"/>
    <x v="1"/>
    <n v="17"/>
    <n v="2"/>
    <s v="Other"/>
    <n v="1"/>
    <n v="643"/>
    <n v="4"/>
    <x v="1"/>
    <n v="94"/>
    <x v="1"/>
    <n v="1"/>
    <x v="2"/>
    <n v="2"/>
    <x v="1"/>
    <n v="2127"/>
    <n v="9100"/>
    <n v="1"/>
    <s v="Y"/>
    <s v="No"/>
    <n v="21"/>
    <x v="1"/>
    <n v="4"/>
    <n v="80"/>
    <n v="1"/>
    <n v="1"/>
    <n v="2"/>
    <n v="3"/>
    <n v="1"/>
    <n v="0"/>
    <n v="0"/>
    <n v="0"/>
  </r>
  <r>
    <n v="50"/>
    <x v="1"/>
    <x v="1"/>
    <n v="1246"/>
    <x v="2"/>
    <n v="3"/>
    <n v="3"/>
    <s v="Medical"/>
    <n v="1"/>
    <n v="644"/>
    <n v="1"/>
    <x v="1"/>
    <n v="99"/>
    <x v="0"/>
    <n v="5"/>
    <x v="5"/>
    <n v="2"/>
    <x v="1"/>
    <n v="18200"/>
    <n v="7999"/>
    <n v="1"/>
    <s v="Y"/>
    <s v="No"/>
    <n v="11"/>
    <x v="0"/>
    <n v="3"/>
    <n v="80"/>
    <n v="1"/>
    <n v="32"/>
    <n v="2"/>
    <n v="3"/>
    <n v="32"/>
    <n v="5"/>
    <n v="10"/>
    <n v="7"/>
  </r>
  <r>
    <n v="25"/>
    <x v="1"/>
    <x v="0"/>
    <n v="622"/>
    <x v="0"/>
    <n v="13"/>
    <n v="1"/>
    <s v="Medical"/>
    <n v="1"/>
    <n v="645"/>
    <n v="2"/>
    <x v="1"/>
    <n v="40"/>
    <x v="0"/>
    <n v="1"/>
    <x v="6"/>
    <n v="3"/>
    <x v="1"/>
    <n v="2096"/>
    <n v="26376"/>
    <n v="1"/>
    <s v="Y"/>
    <s v="No"/>
    <n v="11"/>
    <x v="0"/>
    <n v="3"/>
    <n v="80"/>
    <n v="0"/>
    <n v="7"/>
    <n v="1"/>
    <n v="3"/>
    <n v="7"/>
    <n v="4"/>
    <n v="0"/>
    <n v="6"/>
  </r>
  <r>
    <n v="24"/>
    <x v="0"/>
    <x v="1"/>
    <n v="1287"/>
    <x v="1"/>
    <n v="7"/>
    <n v="3"/>
    <s v="Life Sciences"/>
    <n v="1"/>
    <n v="647"/>
    <n v="1"/>
    <x v="0"/>
    <n v="55"/>
    <x v="0"/>
    <n v="1"/>
    <x v="2"/>
    <n v="3"/>
    <x v="1"/>
    <n v="2886"/>
    <n v="14168"/>
    <n v="1"/>
    <s v="Y"/>
    <s v="Yes"/>
    <n v="16"/>
    <x v="0"/>
    <n v="4"/>
    <n v="80"/>
    <n v="1"/>
    <n v="6"/>
    <n v="4"/>
    <n v="3"/>
    <n v="6"/>
    <n v="3"/>
    <n v="1"/>
    <n v="2"/>
  </r>
  <r>
    <n v="30"/>
    <x v="0"/>
    <x v="1"/>
    <n v="448"/>
    <x v="0"/>
    <n v="12"/>
    <n v="4"/>
    <s v="Life Sciences"/>
    <n v="1"/>
    <n v="648"/>
    <n v="2"/>
    <x v="1"/>
    <n v="74"/>
    <x v="1"/>
    <n v="1"/>
    <x v="6"/>
    <n v="1"/>
    <x v="1"/>
    <n v="2033"/>
    <n v="14470"/>
    <n v="1"/>
    <s v="Y"/>
    <s v="No"/>
    <n v="18"/>
    <x v="0"/>
    <n v="3"/>
    <n v="80"/>
    <n v="1"/>
    <n v="1"/>
    <n v="2"/>
    <n v="4"/>
    <n v="1"/>
    <n v="0"/>
    <n v="0"/>
    <n v="0"/>
  </r>
  <r>
    <n v="34"/>
    <x v="1"/>
    <x v="0"/>
    <n v="254"/>
    <x v="1"/>
    <n v="1"/>
    <n v="2"/>
    <s v="Life Sciences"/>
    <n v="1"/>
    <n v="649"/>
    <n v="2"/>
    <x v="1"/>
    <n v="83"/>
    <x v="1"/>
    <n v="1"/>
    <x v="1"/>
    <n v="4"/>
    <x v="1"/>
    <n v="3622"/>
    <n v="22794"/>
    <n v="1"/>
    <s v="Y"/>
    <s v="Yes"/>
    <n v="13"/>
    <x v="0"/>
    <n v="4"/>
    <n v="80"/>
    <n v="1"/>
    <n v="6"/>
    <n v="3"/>
    <n v="3"/>
    <n v="6"/>
    <n v="5"/>
    <n v="1"/>
    <n v="3"/>
  </r>
  <r>
    <n v="31"/>
    <x v="0"/>
    <x v="0"/>
    <n v="1365"/>
    <x v="0"/>
    <n v="13"/>
    <n v="4"/>
    <s v="Medical"/>
    <n v="1"/>
    <n v="650"/>
    <n v="2"/>
    <x v="1"/>
    <n v="46"/>
    <x v="0"/>
    <n v="2"/>
    <x v="0"/>
    <n v="1"/>
    <x v="2"/>
    <n v="4233"/>
    <n v="11512"/>
    <n v="2"/>
    <s v="Y"/>
    <s v="No"/>
    <n v="17"/>
    <x v="0"/>
    <n v="3"/>
    <n v="80"/>
    <n v="0"/>
    <n v="9"/>
    <n v="2"/>
    <n v="1"/>
    <n v="3"/>
    <n v="1"/>
    <n v="1"/>
    <n v="2"/>
  </r>
  <r>
    <n v="35"/>
    <x v="1"/>
    <x v="0"/>
    <n v="538"/>
    <x v="1"/>
    <n v="25"/>
    <n v="2"/>
    <s v="Other"/>
    <n v="1"/>
    <n v="652"/>
    <n v="1"/>
    <x v="1"/>
    <n v="54"/>
    <x v="1"/>
    <n v="2"/>
    <x v="2"/>
    <n v="4"/>
    <x v="0"/>
    <n v="3681"/>
    <n v="14004"/>
    <n v="4"/>
    <s v="Y"/>
    <s v="No"/>
    <n v="14"/>
    <x v="0"/>
    <n v="4"/>
    <n v="80"/>
    <n v="0"/>
    <n v="9"/>
    <n v="3"/>
    <n v="3"/>
    <n v="3"/>
    <n v="2"/>
    <n v="0"/>
    <n v="2"/>
  </r>
  <r>
    <n v="31"/>
    <x v="1"/>
    <x v="0"/>
    <n v="525"/>
    <x v="0"/>
    <n v="6"/>
    <n v="4"/>
    <s v="Medical"/>
    <n v="1"/>
    <n v="653"/>
    <n v="1"/>
    <x v="1"/>
    <n v="66"/>
    <x v="2"/>
    <n v="2"/>
    <x v="0"/>
    <n v="4"/>
    <x v="2"/>
    <n v="5460"/>
    <n v="6219"/>
    <n v="4"/>
    <s v="Y"/>
    <s v="No"/>
    <n v="22"/>
    <x v="1"/>
    <n v="4"/>
    <n v="80"/>
    <n v="2"/>
    <n v="13"/>
    <n v="4"/>
    <n v="4"/>
    <n v="7"/>
    <n v="7"/>
    <n v="5"/>
    <n v="7"/>
  </r>
  <r>
    <n v="27"/>
    <x v="1"/>
    <x v="0"/>
    <n v="798"/>
    <x v="1"/>
    <n v="6"/>
    <n v="4"/>
    <s v="Medical"/>
    <n v="1"/>
    <n v="655"/>
    <n v="1"/>
    <x v="0"/>
    <n v="66"/>
    <x v="1"/>
    <n v="1"/>
    <x v="1"/>
    <n v="3"/>
    <x v="2"/>
    <n v="2187"/>
    <n v="5013"/>
    <n v="0"/>
    <s v="Y"/>
    <s v="No"/>
    <n v="12"/>
    <x v="0"/>
    <n v="3"/>
    <n v="80"/>
    <n v="2"/>
    <n v="6"/>
    <n v="5"/>
    <n v="2"/>
    <n v="5"/>
    <n v="3"/>
    <n v="0"/>
    <n v="3"/>
  </r>
  <r>
    <n v="37"/>
    <x v="1"/>
    <x v="0"/>
    <n v="558"/>
    <x v="0"/>
    <n v="2"/>
    <n v="3"/>
    <s v="Marketing"/>
    <n v="1"/>
    <n v="656"/>
    <n v="4"/>
    <x v="1"/>
    <n v="75"/>
    <x v="0"/>
    <n v="2"/>
    <x v="0"/>
    <n v="3"/>
    <x v="1"/>
    <n v="9602"/>
    <n v="3010"/>
    <n v="4"/>
    <s v="Y"/>
    <s v="Yes"/>
    <n v="11"/>
    <x v="0"/>
    <n v="3"/>
    <n v="80"/>
    <n v="1"/>
    <n v="17"/>
    <n v="3"/>
    <n v="2"/>
    <n v="3"/>
    <n v="0"/>
    <n v="1"/>
    <n v="0"/>
  </r>
  <r>
    <n v="20"/>
    <x v="1"/>
    <x v="0"/>
    <n v="959"/>
    <x v="1"/>
    <n v="1"/>
    <n v="3"/>
    <s v="Life Sciences"/>
    <n v="1"/>
    <n v="657"/>
    <n v="4"/>
    <x v="0"/>
    <n v="83"/>
    <x v="1"/>
    <n v="1"/>
    <x v="1"/>
    <n v="2"/>
    <x v="0"/>
    <n v="2836"/>
    <n v="11757"/>
    <n v="1"/>
    <s v="Y"/>
    <s v="No"/>
    <n v="13"/>
    <x v="0"/>
    <n v="4"/>
    <n v="80"/>
    <n v="0"/>
    <n v="1"/>
    <n v="0"/>
    <n v="4"/>
    <n v="1"/>
    <n v="0"/>
    <n v="0"/>
    <n v="0"/>
  </r>
  <r>
    <n v="42"/>
    <x v="1"/>
    <x v="0"/>
    <n v="622"/>
    <x v="1"/>
    <n v="2"/>
    <n v="4"/>
    <s v="Life Sciences"/>
    <n v="1"/>
    <n v="659"/>
    <n v="3"/>
    <x v="0"/>
    <n v="81"/>
    <x v="0"/>
    <n v="2"/>
    <x v="4"/>
    <n v="4"/>
    <x v="1"/>
    <n v="4089"/>
    <n v="5718"/>
    <n v="1"/>
    <s v="Y"/>
    <s v="No"/>
    <n v="13"/>
    <x v="0"/>
    <n v="2"/>
    <n v="80"/>
    <n v="2"/>
    <n v="10"/>
    <n v="4"/>
    <n v="3"/>
    <n v="10"/>
    <n v="2"/>
    <n v="2"/>
    <n v="2"/>
  </r>
  <r>
    <n v="43"/>
    <x v="1"/>
    <x v="0"/>
    <n v="782"/>
    <x v="1"/>
    <n v="6"/>
    <n v="4"/>
    <s v="Other"/>
    <n v="1"/>
    <n v="661"/>
    <n v="2"/>
    <x v="1"/>
    <n v="50"/>
    <x v="1"/>
    <n v="4"/>
    <x v="7"/>
    <n v="4"/>
    <x v="2"/>
    <n v="16627"/>
    <n v="2671"/>
    <n v="4"/>
    <s v="Y"/>
    <s v="Yes"/>
    <n v="14"/>
    <x v="0"/>
    <n v="3"/>
    <n v="80"/>
    <n v="1"/>
    <n v="21"/>
    <n v="3"/>
    <n v="2"/>
    <n v="1"/>
    <n v="0"/>
    <n v="0"/>
    <n v="0"/>
  </r>
  <r>
    <n v="38"/>
    <x v="1"/>
    <x v="0"/>
    <n v="362"/>
    <x v="1"/>
    <n v="1"/>
    <n v="1"/>
    <s v="Life Sciences"/>
    <n v="1"/>
    <n v="662"/>
    <n v="3"/>
    <x v="0"/>
    <n v="43"/>
    <x v="0"/>
    <n v="1"/>
    <x v="1"/>
    <n v="1"/>
    <x v="0"/>
    <n v="2619"/>
    <n v="14561"/>
    <n v="3"/>
    <s v="Y"/>
    <s v="No"/>
    <n v="17"/>
    <x v="0"/>
    <n v="4"/>
    <n v="80"/>
    <n v="0"/>
    <n v="8"/>
    <n v="3"/>
    <n v="2"/>
    <n v="0"/>
    <n v="0"/>
    <n v="0"/>
    <n v="0"/>
  </r>
  <r>
    <n v="43"/>
    <x v="1"/>
    <x v="1"/>
    <n v="1001"/>
    <x v="1"/>
    <n v="9"/>
    <n v="5"/>
    <s v="Medical"/>
    <n v="1"/>
    <n v="663"/>
    <n v="4"/>
    <x v="1"/>
    <n v="72"/>
    <x v="0"/>
    <n v="2"/>
    <x v="2"/>
    <n v="3"/>
    <x v="2"/>
    <n v="5679"/>
    <n v="19627"/>
    <n v="3"/>
    <s v="Y"/>
    <s v="Yes"/>
    <n v="13"/>
    <x v="0"/>
    <n v="2"/>
    <n v="80"/>
    <n v="1"/>
    <n v="10"/>
    <n v="3"/>
    <n v="3"/>
    <n v="8"/>
    <n v="7"/>
    <n v="4"/>
    <n v="7"/>
  </r>
  <r>
    <n v="48"/>
    <x v="1"/>
    <x v="0"/>
    <n v="1236"/>
    <x v="1"/>
    <n v="1"/>
    <n v="4"/>
    <s v="Life Sciences"/>
    <n v="1"/>
    <n v="664"/>
    <n v="4"/>
    <x v="0"/>
    <n v="40"/>
    <x v="1"/>
    <n v="4"/>
    <x v="5"/>
    <n v="1"/>
    <x v="1"/>
    <n v="15402"/>
    <n v="17997"/>
    <n v="7"/>
    <s v="Y"/>
    <s v="No"/>
    <n v="11"/>
    <x v="0"/>
    <n v="1"/>
    <n v="80"/>
    <n v="1"/>
    <n v="21"/>
    <n v="3"/>
    <n v="1"/>
    <n v="3"/>
    <n v="2"/>
    <n v="0"/>
    <n v="2"/>
  </r>
  <r>
    <n v="44"/>
    <x v="1"/>
    <x v="0"/>
    <n v="1112"/>
    <x v="2"/>
    <n v="1"/>
    <n v="4"/>
    <s v="Life Sciences"/>
    <n v="1"/>
    <n v="665"/>
    <n v="1"/>
    <x v="0"/>
    <n v="50"/>
    <x v="1"/>
    <n v="2"/>
    <x v="8"/>
    <n v="3"/>
    <x v="0"/>
    <n v="5985"/>
    <n v="26894"/>
    <n v="4"/>
    <s v="Y"/>
    <s v="No"/>
    <n v="11"/>
    <x v="0"/>
    <n v="2"/>
    <n v="80"/>
    <n v="0"/>
    <n v="10"/>
    <n v="1"/>
    <n v="4"/>
    <n v="2"/>
    <n v="2"/>
    <n v="0"/>
    <n v="2"/>
  </r>
  <r>
    <n v="34"/>
    <x v="1"/>
    <x v="0"/>
    <n v="204"/>
    <x v="0"/>
    <n v="14"/>
    <n v="3"/>
    <s v="Technical Degree"/>
    <n v="1"/>
    <n v="666"/>
    <n v="3"/>
    <x v="0"/>
    <n v="31"/>
    <x v="0"/>
    <n v="1"/>
    <x v="6"/>
    <n v="3"/>
    <x v="2"/>
    <n v="2579"/>
    <n v="2912"/>
    <n v="1"/>
    <s v="Y"/>
    <s v="Yes"/>
    <n v="18"/>
    <x v="0"/>
    <n v="4"/>
    <n v="80"/>
    <n v="2"/>
    <n v="8"/>
    <n v="3"/>
    <n v="3"/>
    <n v="8"/>
    <n v="2"/>
    <n v="0"/>
    <n v="6"/>
  </r>
  <r>
    <n v="27"/>
    <x v="0"/>
    <x v="0"/>
    <n v="1420"/>
    <x v="0"/>
    <n v="2"/>
    <n v="1"/>
    <s v="Marketing"/>
    <n v="1"/>
    <n v="667"/>
    <n v="3"/>
    <x v="1"/>
    <n v="85"/>
    <x v="0"/>
    <n v="1"/>
    <x v="6"/>
    <n v="1"/>
    <x v="2"/>
    <n v="3041"/>
    <n v="16346"/>
    <n v="0"/>
    <s v="Y"/>
    <s v="No"/>
    <n v="11"/>
    <x v="0"/>
    <n v="2"/>
    <n v="80"/>
    <n v="1"/>
    <n v="5"/>
    <n v="3"/>
    <n v="3"/>
    <n v="4"/>
    <n v="3"/>
    <n v="0"/>
    <n v="2"/>
  </r>
  <r>
    <n v="21"/>
    <x v="1"/>
    <x v="0"/>
    <n v="1343"/>
    <x v="0"/>
    <n v="22"/>
    <n v="1"/>
    <s v="Technical Degree"/>
    <n v="1"/>
    <n v="669"/>
    <n v="3"/>
    <x v="1"/>
    <n v="49"/>
    <x v="0"/>
    <n v="1"/>
    <x v="6"/>
    <n v="3"/>
    <x v="0"/>
    <n v="3447"/>
    <n v="24444"/>
    <n v="1"/>
    <s v="Y"/>
    <s v="No"/>
    <n v="11"/>
    <x v="0"/>
    <n v="3"/>
    <n v="80"/>
    <n v="0"/>
    <n v="3"/>
    <n v="2"/>
    <n v="3"/>
    <n v="3"/>
    <n v="2"/>
    <n v="1"/>
    <n v="2"/>
  </r>
  <r>
    <n v="44"/>
    <x v="1"/>
    <x v="0"/>
    <n v="1315"/>
    <x v="1"/>
    <n v="3"/>
    <n v="4"/>
    <s v="Other"/>
    <n v="1"/>
    <n v="671"/>
    <n v="4"/>
    <x v="1"/>
    <n v="35"/>
    <x v="0"/>
    <n v="5"/>
    <x v="5"/>
    <n v="4"/>
    <x v="1"/>
    <n v="19513"/>
    <n v="9358"/>
    <n v="4"/>
    <s v="Y"/>
    <s v="Yes"/>
    <n v="12"/>
    <x v="0"/>
    <n v="1"/>
    <n v="80"/>
    <n v="1"/>
    <n v="26"/>
    <n v="2"/>
    <n v="4"/>
    <n v="2"/>
    <n v="2"/>
    <n v="0"/>
    <n v="1"/>
  </r>
  <r>
    <n v="22"/>
    <x v="1"/>
    <x v="0"/>
    <n v="604"/>
    <x v="1"/>
    <n v="6"/>
    <n v="1"/>
    <s v="Medical"/>
    <n v="1"/>
    <n v="675"/>
    <n v="1"/>
    <x v="1"/>
    <n v="69"/>
    <x v="0"/>
    <n v="1"/>
    <x v="1"/>
    <n v="3"/>
    <x v="1"/>
    <n v="2773"/>
    <n v="12145"/>
    <n v="0"/>
    <s v="Y"/>
    <s v="No"/>
    <n v="20"/>
    <x v="1"/>
    <n v="4"/>
    <n v="80"/>
    <n v="0"/>
    <n v="3"/>
    <n v="3"/>
    <n v="3"/>
    <n v="2"/>
    <n v="2"/>
    <n v="2"/>
    <n v="2"/>
  </r>
  <r>
    <n v="33"/>
    <x v="1"/>
    <x v="0"/>
    <n v="1216"/>
    <x v="0"/>
    <n v="8"/>
    <n v="4"/>
    <s v="Marketing"/>
    <n v="1"/>
    <n v="677"/>
    <n v="3"/>
    <x v="1"/>
    <n v="39"/>
    <x v="0"/>
    <n v="2"/>
    <x v="0"/>
    <n v="3"/>
    <x v="2"/>
    <n v="7104"/>
    <n v="20431"/>
    <n v="0"/>
    <s v="Y"/>
    <s v="No"/>
    <n v="12"/>
    <x v="0"/>
    <n v="4"/>
    <n v="80"/>
    <n v="0"/>
    <n v="6"/>
    <n v="3"/>
    <n v="3"/>
    <n v="5"/>
    <n v="0"/>
    <n v="1"/>
    <n v="2"/>
  </r>
  <r>
    <n v="32"/>
    <x v="1"/>
    <x v="0"/>
    <n v="646"/>
    <x v="1"/>
    <n v="9"/>
    <n v="4"/>
    <s v="Life Sciences"/>
    <n v="1"/>
    <n v="679"/>
    <n v="1"/>
    <x v="0"/>
    <n v="92"/>
    <x v="0"/>
    <n v="2"/>
    <x v="1"/>
    <n v="4"/>
    <x v="1"/>
    <n v="6322"/>
    <n v="18089"/>
    <n v="1"/>
    <s v="Y"/>
    <s v="Yes"/>
    <n v="12"/>
    <x v="0"/>
    <n v="4"/>
    <n v="80"/>
    <n v="1"/>
    <n v="6"/>
    <n v="2"/>
    <n v="2"/>
    <n v="6"/>
    <n v="4"/>
    <n v="0"/>
    <n v="5"/>
  </r>
  <r>
    <n v="30"/>
    <x v="1"/>
    <x v="1"/>
    <n v="160"/>
    <x v="1"/>
    <n v="3"/>
    <n v="3"/>
    <s v="Medical"/>
    <n v="1"/>
    <n v="680"/>
    <n v="3"/>
    <x v="0"/>
    <n v="71"/>
    <x v="0"/>
    <n v="1"/>
    <x v="1"/>
    <n v="3"/>
    <x v="2"/>
    <n v="2083"/>
    <n v="22653"/>
    <n v="1"/>
    <s v="Y"/>
    <s v="No"/>
    <n v="20"/>
    <x v="1"/>
    <n v="3"/>
    <n v="80"/>
    <n v="1"/>
    <n v="1"/>
    <n v="2"/>
    <n v="3"/>
    <n v="1"/>
    <n v="0"/>
    <n v="0"/>
    <n v="0"/>
  </r>
  <r>
    <n v="53"/>
    <x v="1"/>
    <x v="0"/>
    <n v="238"/>
    <x v="0"/>
    <n v="1"/>
    <n v="1"/>
    <s v="Medical"/>
    <n v="1"/>
    <n v="682"/>
    <n v="4"/>
    <x v="0"/>
    <n v="34"/>
    <x v="0"/>
    <n v="2"/>
    <x v="0"/>
    <n v="1"/>
    <x v="0"/>
    <n v="8381"/>
    <n v="7507"/>
    <n v="7"/>
    <s v="Y"/>
    <s v="No"/>
    <n v="20"/>
    <x v="1"/>
    <n v="4"/>
    <n v="80"/>
    <n v="0"/>
    <n v="18"/>
    <n v="2"/>
    <n v="4"/>
    <n v="14"/>
    <n v="7"/>
    <n v="8"/>
    <n v="10"/>
  </r>
  <r>
    <n v="34"/>
    <x v="1"/>
    <x v="0"/>
    <n v="1397"/>
    <x v="1"/>
    <n v="1"/>
    <n v="5"/>
    <s v="Life Sciences"/>
    <n v="1"/>
    <n v="683"/>
    <n v="2"/>
    <x v="1"/>
    <n v="42"/>
    <x v="0"/>
    <n v="1"/>
    <x v="1"/>
    <n v="4"/>
    <x v="1"/>
    <n v="2691"/>
    <n v="7660"/>
    <n v="1"/>
    <s v="Y"/>
    <s v="No"/>
    <n v="12"/>
    <x v="0"/>
    <n v="4"/>
    <n v="80"/>
    <n v="1"/>
    <n v="10"/>
    <n v="4"/>
    <n v="2"/>
    <n v="10"/>
    <n v="9"/>
    <n v="8"/>
    <n v="8"/>
  </r>
  <r>
    <n v="45"/>
    <x v="0"/>
    <x v="1"/>
    <n v="306"/>
    <x v="0"/>
    <n v="26"/>
    <n v="4"/>
    <s v="Life Sciences"/>
    <n v="1"/>
    <n v="684"/>
    <n v="1"/>
    <x v="0"/>
    <n v="100"/>
    <x v="0"/>
    <n v="2"/>
    <x v="0"/>
    <n v="1"/>
    <x v="1"/>
    <n v="4286"/>
    <n v="5630"/>
    <n v="2"/>
    <s v="Y"/>
    <s v="No"/>
    <n v="14"/>
    <x v="0"/>
    <n v="4"/>
    <n v="80"/>
    <n v="2"/>
    <n v="5"/>
    <n v="4"/>
    <n v="3"/>
    <n v="1"/>
    <n v="1"/>
    <n v="0"/>
    <n v="0"/>
  </r>
  <r>
    <n v="26"/>
    <x v="1"/>
    <x v="0"/>
    <n v="991"/>
    <x v="1"/>
    <n v="6"/>
    <n v="3"/>
    <s v="Life Sciences"/>
    <n v="1"/>
    <n v="686"/>
    <n v="3"/>
    <x v="0"/>
    <n v="71"/>
    <x v="0"/>
    <n v="1"/>
    <x v="2"/>
    <n v="4"/>
    <x v="1"/>
    <n v="2659"/>
    <n v="17759"/>
    <n v="1"/>
    <s v="Y"/>
    <s v="Yes"/>
    <n v="13"/>
    <x v="0"/>
    <n v="3"/>
    <n v="80"/>
    <n v="1"/>
    <n v="3"/>
    <n v="2"/>
    <n v="3"/>
    <n v="3"/>
    <n v="2"/>
    <n v="0"/>
    <n v="2"/>
  </r>
  <r>
    <n v="37"/>
    <x v="1"/>
    <x v="0"/>
    <n v="482"/>
    <x v="1"/>
    <n v="3"/>
    <n v="3"/>
    <s v="Other"/>
    <n v="1"/>
    <n v="689"/>
    <n v="3"/>
    <x v="1"/>
    <n v="36"/>
    <x v="0"/>
    <n v="3"/>
    <x v="3"/>
    <n v="3"/>
    <x v="1"/>
    <n v="9434"/>
    <n v="9606"/>
    <n v="1"/>
    <s v="Y"/>
    <s v="No"/>
    <n v="15"/>
    <x v="0"/>
    <n v="3"/>
    <n v="80"/>
    <n v="1"/>
    <n v="10"/>
    <n v="2"/>
    <n v="3"/>
    <n v="10"/>
    <n v="7"/>
    <n v="7"/>
    <n v="8"/>
  </r>
  <r>
    <n v="29"/>
    <x v="1"/>
    <x v="0"/>
    <n v="1176"/>
    <x v="0"/>
    <n v="3"/>
    <n v="2"/>
    <s v="Medical"/>
    <n v="1"/>
    <n v="690"/>
    <n v="2"/>
    <x v="0"/>
    <n v="62"/>
    <x v="0"/>
    <n v="2"/>
    <x v="0"/>
    <n v="3"/>
    <x v="1"/>
    <n v="5561"/>
    <n v="3487"/>
    <n v="1"/>
    <s v="Y"/>
    <s v="No"/>
    <n v="14"/>
    <x v="0"/>
    <n v="1"/>
    <n v="80"/>
    <n v="1"/>
    <n v="6"/>
    <n v="5"/>
    <n v="2"/>
    <n v="6"/>
    <n v="0"/>
    <n v="1"/>
    <n v="2"/>
  </r>
  <r>
    <n v="35"/>
    <x v="1"/>
    <x v="0"/>
    <n v="1017"/>
    <x v="1"/>
    <n v="6"/>
    <n v="4"/>
    <s v="Life Sciences"/>
    <n v="1"/>
    <n v="691"/>
    <n v="2"/>
    <x v="1"/>
    <n v="82"/>
    <x v="3"/>
    <n v="2"/>
    <x v="1"/>
    <n v="4"/>
    <x v="0"/>
    <n v="6646"/>
    <n v="19368"/>
    <n v="1"/>
    <s v="Y"/>
    <s v="No"/>
    <n v="13"/>
    <x v="0"/>
    <n v="2"/>
    <n v="80"/>
    <n v="0"/>
    <n v="17"/>
    <n v="3"/>
    <n v="3"/>
    <n v="17"/>
    <n v="11"/>
    <n v="11"/>
    <n v="8"/>
  </r>
  <r>
    <n v="33"/>
    <x v="1"/>
    <x v="1"/>
    <n v="1296"/>
    <x v="1"/>
    <n v="6"/>
    <n v="3"/>
    <s v="Life Sciences"/>
    <n v="1"/>
    <n v="692"/>
    <n v="3"/>
    <x v="1"/>
    <n v="30"/>
    <x v="0"/>
    <n v="2"/>
    <x v="4"/>
    <n v="4"/>
    <x v="2"/>
    <n v="7725"/>
    <n v="5335"/>
    <n v="3"/>
    <s v="Y"/>
    <s v="No"/>
    <n v="23"/>
    <x v="1"/>
    <n v="3"/>
    <n v="80"/>
    <n v="1"/>
    <n v="15"/>
    <n v="2"/>
    <n v="1"/>
    <n v="13"/>
    <n v="11"/>
    <n v="4"/>
    <n v="7"/>
  </r>
  <r>
    <n v="54"/>
    <x v="1"/>
    <x v="0"/>
    <n v="397"/>
    <x v="2"/>
    <n v="19"/>
    <n v="4"/>
    <s v="Medical"/>
    <n v="1"/>
    <n v="698"/>
    <n v="3"/>
    <x v="1"/>
    <n v="88"/>
    <x v="0"/>
    <n v="3"/>
    <x v="8"/>
    <n v="2"/>
    <x v="1"/>
    <n v="10725"/>
    <n v="6729"/>
    <n v="2"/>
    <s v="Y"/>
    <s v="No"/>
    <n v="15"/>
    <x v="0"/>
    <n v="3"/>
    <n v="80"/>
    <n v="1"/>
    <n v="16"/>
    <n v="1"/>
    <n v="4"/>
    <n v="9"/>
    <n v="7"/>
    <n v="7"/>
    <n v="1"/>
  </r>
  <r>
    <n v="36"/>
    <x v="1"/>
    <x v="0"/>
    <n v="913"/>
    <x v="1"/>
    <n v="9"/>
    <n v="2"/>
    <s v="Medical"/>
    <n v="1"/>
    <n v="699"/>
    <n v="2"/>
    <x v="1"/>
    <n v="48"/>
    <x v="1"/>
    <n v="2"/>
    <x v="3"/>
    <n v="2"/>
    <x v="2"/>
    <n v="8847"/>
    <n v="13934"/>
    <n v="2"/>
    <s v="Y"/>
    <s v="Yes"/>
    <n v="11"/>
    <x v="0"/>
    <n v="3"/>
    <n v="80"/>
    <n v="1"/>
    <n v="13"/>
    <n v="2"/>
    <n v="3"/>
    <n v="3"/>
    <n v="2"/>
    <n v="0"/>
    <n v="2"/>
  </r>
  <r>
    <n v="27"/>
    <x v="1"/>
    <x v="0"/>
    <n v="1115"/>
    <x v="1"/>
    <n v="3"/>
    <n v="4"/>
    <s v="Medical"/>
    <n v="1"/>
    <n v="700"/>
    <n v="1"/>
    <x v="1"/>
    <n v="54"/>
    <x v="1"/>
    <n v="1"/>
    <x v="1"/>
    <n v="4"/>
    <x v="0"/>
    <n v="2045"/>
    <n v="15174"/>
    <n v="0"/>
    <s v="Y"/>
    <s v="No"/>
    <n v="13"/>
    <x v="0"/>
    <n v="4"/>
    <n v="80"/>
    <n v="0"/>
    <n v="5"/>
    <n v="0"/>
    <n v="3"/>
    <n v="4"/>
    <n v="2"/>
    <n v="1"/>
    <n v="1"/>
  </r>
  <r>
    <n v="20"/>
    <x v="0"/>
    <x v="0"/>
    <n v="1362"/>
    <x v="1"/>
    <n v="10"/>
    <n v="1"/>
    <s v="Medical"/>
    <n v="1"/>
    <n v="701"/>
    <n v="4"/>
    <x v="1"/>
    <n v="32"/>
    <x v="0"/>
    <n v="1"/>
    <x v="1"/>
    <n v="3"/>
    <x v="0"/>
    <n v="1009"/>
    <n v="26999"/>
    <n v="1"/>
    <s v="Y"/>
    <s v="Yes"/>
    <n v="11"/>
    <x v="0"/>
    <n v="4"/>
    <n v="80"/>
    <n v="0"/>
    <n v="1"/>
    <n v="5"/>
    <n v="3"/>
    <n v="1"/>
    <n v="0"/>
    <n v="1"/>
    <n v="1"/>
  </r>
  <r>
    <n v="33"/>
    <x v="0"/>
    <x v="1"/>
    <n v="1076"/>
    <x v="1"/>
    <n v="3"/>
    <n v="3"/>
    <s v="Life Sciences"/>
    <n v="1"/>
    <n v="702"/>
    <n v="1"/>
    <x v="1"/>
    <n v="70"/>
    <x v="0"/>
    <n v="1"/>
    <x v="1"/>
    <n v="1"/>
    <x v="0"/>
    <n v="3348"/>
    <n v="3164"/>
    <n v="1"/>
    <s v="Y"/>
    <s v="Yes"/>
    <n v="11"/>
    <x v="0"/>
    <n v="1"/>
    <n v="80"/>
    <n v="0"/>
    <n v="10"/>
    <n v="3"/>
    <n v="3"/>
    <n v="10"/>
    <n v="8"/>
    <n v="9"/>
    <n v="7"/>
  </r>
  <r>
    <n v="35"/>
    <x v="1"/>
    <x v="2"/>
    <n v="727"/>
    <x v="1"/>
    <n v="3"/>
    <n v="3"/>
    <s v="Life Sciences"/>
    <n v="1"/>
    <n v="704"/>
    <n v="3"/>
    <x v="1"/>
    <n v="41"/>
    <x v="1"/>
    <n v="1"/>
    <x v="2"/>
    <n v="3"/>
    <x v="1"/>
    <n v="1281"/>
    <n v="16900"/>
    <n v="1"/>
    <s v="Y"/>
    <s v="No"/>
    <n v="18"/>
    <x v="0"/>
    <n v="3"/>
    <n v="80"/>
    <n v="2"/>
    <n v="1"/>
    <n v="3"/>
    <n v="3"/>
    <n v="1"/>
    <n v="0"/>
    <n v="0"/>
    <n v="0"/>
  </r>
  <r>
    <n v="23"/>
    <x v="1"/>
    <x v="0"/>
    <n v="885"/>
    <x v="1"/>
    <n v="4"/>
    <n v="3"/>
    <s v="Medical"/>
    <n v="1"/>
    <n v="705"/>
    <n v="1"/>
    <x v="1"/>
    <n v="58"/>
    <x v="2"/>
    <n v="1"/>
    <x v="1"/>
    <n v="1"/>
    <x v="1"/>
    <n v="2819"/>
    <n v="8544"/>
    <n v="2"/>
    <s v="Y"/>
    <s v="No"/>
    <n v="16"/>
    <x v="0"/>
    <n v="1"/>
    <n v="80"/>
    <n v="1"/>
    <n v="5"/>
    <n v="3"/>
    <n v="4"/>
    <n v="3"/>
    <n v="2"/>
    <n v="0"/>
    <n v="2"/>
  </r>
  <r>
    <n v="25"/>
    <x v="1"/>
    <x v="0"/>
    <n v="810"/>
    <x v="0"/>
    <n v="8"/>
    <n v="3"/>
    <s v="Life Sciences"/>
    <n v="1"/>
    <n v="707"/>
    <n v="4"/>
    <x v="1"/>
    <n v="57"/>
    <x v="2"/>
    <n v="2"/>
    <x v="0"/>
    <n v="2"/>
    <x v="1"/>
    <n v="4851"/>
    <n v="15678"/>
    <n v="0"/>
    <s v="Y"/>
    <s v="No"/>
    <n v="22"/>
    <x v="1"/>
    <n v="3"/>
    <n v="80"/>
    <n v="1"/>
    <n v="4"/>
    <n v="4"/>
    <n v="3"/>
    <n v="3"/>
    <n v="2"/>
    <n v="1"/>
    <n v="2"/>
  </r>
  <r>
    <n v="38"/>
    <x v="1"/>
    <x v="0"/>
    <n v="243"/>
    <x v="0"/>
    <n v="7"/>
    <n v="4"/>
    <s v="Marketing"/>
    <n v="1"/>
    <n v="709"/>
    <n v="4"/>
    <x v="0"/>
    <n v="46"/>
    <x v="1"/>
    <n v="2"/>
    <x v="0"/>
    <n v="4"/>
    <x v="0"/>
    <n v="4028"/>
    <n v="7791"/>
    <n v="0"/>
    <s v="Y"/>
    <s v="No"/>
    <n v="20"/>
    <x v="1"/>
    <n v="1"/>
    <n v="80"/>
    <n v="0"/>
    <n v="8"/>
    <n v="2"/>
    <n v="3"/>
    <n v="7"/>
    <n v="7"/>
    <n v="0"/>
    <n v="5"/>
  </r>
  <r>
    <n v="29"/>
    <x v="1"/>
    <x v="1"/>
    <n v="806"/>
    <x v="1"/>
    <n v="1"/>
    <n v="4"/>
    <s v="Life Sciences"/>
    <n v="1"/>
    <n v="710"/>
    <n v="2"/>
    <x v="1"/>
    <n v="76"/>
    <x v="3"/>
    <n v="1"/>
    <x v="1"/>
    <n v="4"/>
    <x v="2"/>
    <n v="2720"/>
    <n v="18959"/>
    <n v="1"/>
    <s v="Y"/>
    <s v="No"/>
    <n v="18"/>
    <x v="0"/>
    <n v="4"/>
    <n v="80"/>
    <n v="1"/>
    <n v="10"/>
    <n v="5"/>
    <n v="3"/>
    <n v="10"/>
    <n v="7"/>
    <n v="2"/>
    <n v="8"/>
  </r>
  <r>
    <n v="48"/>
    <x v="1"/>
    <x v="0"/>
    <n v="817"/>
    <x v="0"/>
    <n v="2"/>
    <n v="1"/>
    <s v="Marketing"/>
    <n v="1"/>
    <n v="712"/>
    <n v="2"/>
    <x v="1"/>
    <n v="56"/>
    <x v="2"/>
    <n v="2"/>
    <x v="0"/>
    <n v="2"/>
    <x v="1"/>
    <n v="8120"/>
    <n v="18597"/>
    <n v="3"/>
    <s v="Y"/>
    <s v="No"/>
    <n v="12"/>
    <x v="0"/>
    <n v="4"/>
    <n v="80"/>
    <n v="0"/>
    <n v="12"/>
    <n v="3"/>
    <n v="3"/>
    <n v="2"/>
    <n v="2"/>
    <n v="2"/>
    <n v="2"/>
  </r>
  <r>
    <n v="27"/>
    <x v="1"/>
    <x v="1"/>
    <n v="1410"/>
    <x v="0"/>
    <n v="3"/>
    <n v="1"/>
    <s v="Medical"/>
    <n v="1"/>
    <n v="714"/>
    <n v="4"/>
    <x v="0"/>
    <n v="71"/>
    <x v="2"/>
    <n v="2"/>
    <x v="0"/>
    <n v="4"/>
    <x v="2"/>
    <n v="4647"/>
    <n v="16673"/>
    <n v="1"/>
    <s v="Y"/>
    <s v="Yes"/>
    <n v="20"/>
    <x v="1"/>
    <n v="2"/>
    <n v="80"/>
    <n v="2"/>
    <n v="6"/>
    <n v="3"/>
    <n v="3"/>
    <n v="6"/>
    <n v="5"/>
    <n v="0"/>
    <n v="4"/>
  </r>
  <r>
    <n v="37"/>
    <x v="1"/>
    <x v="0"/>
    <n v="1225"/>
    <x v="1"/>
    <n v="10"/>
    <n v="2"/>
    <s v="Life Sciences"/>
    <n v="1"/>
    <n v="715"/>
    <n v="4"/>
    <x v="1"/>
    <n v="80"/>
    <x v="2"/>
    <n v="1"/>
    <x v="1"/>
    <n v="4"/>
    <x v="0"/>
    <n v="4680"/>
    <n v="15232"/>
    <n v="3"/>
    <s v="Y"/>
    <s v="No"/>
    <n v="17"/>
    <x v="0"/>
    <n v="1"/>
    <n v="80"/>
    <n v="0"/>
    <n v="4"/>
    <n v="2"/>
    <n v="3"/>
    <n v="1"/>
    <n v="0"/>
    <n v="0"/>
    <n v="0"/>
  </r>
  <r>
    <n v="50"/>
    <x v="1"/>
    <x v="0"/>
    <n v="1207"/>
    <x v="1"/>
    <n v="28"/>
    <n v="1"/>
    <s v="Medical"/>
    <n v="1"/>
    <n v="716"/>
    <n v="4"/>
    <x v="1"/>
    <n v="74"/>
    <x v="2"/>
    <n v="1"/>
    <x v="2"/>
    <n v="3"/>
    <x v="1"/>
    <n v="3221"/>
    <n v="3297"/>
    <n v="1"/>
    <s v="Y"/>
    <s v="Yes"/>
    <n v="11"/>
    <x v="0"/>
    <n v="3"/>
    <n v="80"/>
    <n v="3"/>
    <n v="20"/>
    <n v="3"/>
    <n v="3"/>
    <n v="20"/>
    <n v="8"/>
    <n v="3"/>
    <n v="8"/>
  </r>
  <r>
    <n v="34"/>
    <x v="1"/>
    <x v="0"/>
    <n v="1442"/>
    <x v="1"/>
    <n v="9"/>
    <n v="3"/>
    <s v="Medical"/>
    <n v="1"/>
    <n v="717"/>
    <n v="4"/>
    <x v="0"/>
    <n v="46"/>
    <x v="1"/>
    <n v="3"/>
    <x v="4"/>
    <n v="2"/>
    <x v="0"/>
    <n v="8621"/>
    <n v="17654"/>
    <n v="1"/>
    <s v="Y"/>
    <s v="No"/>
    <n v="14"/>
    <x v="0"/>
    <n v="2"/>
    <n v="80"/>
    <n v="0"/>
    <n v="9"/>
    <n v="3"/>
    <n v="4"/>
    <n v="8"/>
    <n v="7"/>
    <n v="7"/>
    <n v="7"/>
  </r>
  <r>
    <n v="24"/>
    <x v="0"/>
    <x v="0"/>
    <n v="693"/>
    <x v="0"/>
    <n v="3"/>
    <n v="2"/>
    <s v="Life Sciences"/>
    <n v="1"/>
    <n v="720"/>
    <n v="1"/>
    <x v="0"/>
    <n v="65"/>
    <x v="0"/>
    <n v="2"/>
    <x v="0"/>
    <n v="3"/>
    <x v="0"/>
    <n v="4577"/>
    <n v="24785"/>
    <n v="9"/>
    <s v="Y"/>
    <s v="No"/>
    <n v="14"/>
    <x v="0"/>
    <n v="1"/>
    <n v="80"/>
    <n v="0"/>
    <n v="4"/>
    <n v="3"/>
    <n v="3"/>
    <n v="2"/>
    <n v="2"/>
    <n v="2"/>
    <n v="0"/>
  </r>
  <r>
    <n v="39"/>
    <x v="1"/>
    <x v="0"/>
    <n v="408"/>
    <x v="1"/>
    <n v="2"/>
    <n v="4"/>
    <s v="Technical Degree"/>
    <n v="1"/>
    <n v="721"/>
    <n v="4"/>
    <x v="0"/>
    <n v="80"/>
    <x v="1"/>
    <n v="2"/>
    <x v="4"/>
    <n v="3"/>
    <x v="0"/>
    <n v="4553"/>
    <n v="20978"/>
    <n v="1"/>
    <s v="Y"/>
    <s v="No"/>
    <n v="11"/>
    <x v="0"/>
    <n v="1"/>
    <n v="80"/>
    <n v="0"/>
    <n v="20"/>
    <n v="4"/>
    <n v="3"/>
    <n v="20"/>
    <n v="7"/>
    <n v="11"/>
    <n v="10"/>
  </r>
  <r>
    <n v="32"/>
    <x v="1"/>
    <x v="0"/>
    <n v="929"/>
    <x v="0"/>
    <n v="10"/>
    <n v="3"/>
    <s v="Marketing"/>
    <n v="1"/>
    <n v="722"/>
    <n v="4"/>
    <x v="1"/>
    <n v="55"/>
    <x v="0"/>
    <n v="2"/>
    <x v="0"/>
    <n v="4"/>
    <x v="0"/>
    <n v="5396"/>
    <n v="21703"/>
    <n v="1"/>
    <s v="Y"/>
    <s v="No"/>
    <n v="12"/>
    <x v="0"/>
    <n v="4"/>
    <n v="80"/>
    <n v="0"/>
    <n v="10"/>
    <n v="2"/>
    <n v="2"/>
    <n v="10"/>
    <n v="7"/>
    <n v="0"/>
    <n v="8"/>
  </r>
  <r>
    <n v="50"/>
    <x v="0"/>
    <x v="1"/>
    <n v="562"/>
    <x v="0"/>
    <n v="8"/>
    <n v="2"/>
    <s v="Technical Degree"/>
    <n v="1"/>
    <n v="723"/>
    <n v="2"/>
    <x v="1"/>
    <n v="50"/>
    <x v="0"/>
    <n v="2"/>
    <x v="0"/>
    <n v="3"/>
    <x v="1"/>
    <n v="6796"/>
    <n v="23452"/>
    <n v="3"/>
    <s v="Y"/>
    <s v="Yes"/>
    <n v="14"/>
    <x v="0"/>
    <n v="1"/>
    <n v="80"/>
    <n v="1"/>
    <n v="18"/>
    <n v="4"/>
    <n v="3"/>
    <n v="4"/>
    <n v="3"/>
    <n v="1"/>
    <n v="3"/>
  </r>
  <r>
    <n v="38"/>
    <x v="1"/>
    <x v="0"/>
    <n v="827"/>
    <x v="1"/>
    <n v="1"/>
    <n v="4"/>
    <s v="Life Sciences"/>
    <n v="1"/>
    <n v="724"/>
    <n v="2"/>
    <x v="0"/>
    <n v="33"/>
    <x v="2"/>
    <n v="2"/>
    <x v="4"/>
    <n v="4"/>
    <x v="0"/>
    <n v="7625"/>
    <n v="19383"/>
    <n v="0"/>
    <s v="Y"/>
    <s v="No"/>
    <n v="13"/>
    <x v="0"/>
    <n v="3"/>
    <n v="80"/>
    <n v="0"/>
    <n v="10"/>
    <n v="4"/>
    <n v="2"/>
    <n v="9"/>
    <n v="7"/>
    <n v="1"/>
    <n v="8"/>
  </r>
  <r>
    <n v="27"/>
    <x v="1"/>
    <x v="0"/>
    <n v="608"/>
    <x v="1"/>
    <n v="1"/>
    <n v="2"/>
    <s v="Life Sciences"/>
    <n v="1"/>
    <n v="725"/>
    <n v="3"/>
    <x v="0"/>
    <n v="68"/>
    <x v="0"/>
    <n v="3"/>
    <x v="3"/>
    <n v="1"/>
    <x v="1"/>
    <n v="7412"/>
    <n v="6009"/>
    <n v="1"/>
    <s v="Y"/>
    <s v="No"/>
    <n v="11"/>
    <x v="0"/>
    <n v="4"/>
    <n v="80"/>
    <n v="0"/>
    <n v="9"/>
    <n v="3"/>
    <n v="3"/>
    <n v="9"/>
    <n v="7"/>
    <n v="0"/>
    <n v="7"/>
  </r>
  <r>
    <n v="32"/>
    <x v="1"/>
    <x v="0"/>
    <n v="1018"/>
    <x v="1"/>
    <n v="3"/>
    <n v="2"/>
    <s v="Life Sciences"/>
    <n v="1"/>
    <n v="727"/>
    <n v="3"/>
    <x v="0"/>
    <n v="39"/>
    <x v="0"/>
    <n v="3"/>
    <x v="7"/>
    <n v="4"/>
    <x v="0"/>
    <n v="11159"/>
    <n v="19373"/>
    <n v="3"/>
    <s v="Y"/>
    <s v="No"/>
    <n v="15"/>
    <x v="0"/>
    <n v="4"/>
    <n v="80"/>
    <n v="0"/>
    <n v="10"/>
    <n v="6"/>
    <n v="3"/>
    <n v="7"/>
    <n v="7"/>
    <n v="7"/>
    <n v="7"/>
  </r>
  <r>
    <n v="47"/>
    <x v="1"/>
    <x v="0"/>
    <n v="703"/>
    <x v="0"/>
    <n v="14"/>
    <n v="4"/>
    <s v="Marketing"/>
    <n v="1"/>
    <n v="728"/>
    <n v="4"/>
    <x v="1"/>
    <n v="42"/>
    <x v="0"/>
    <n v="2"/>
    <x v="0"/>
    <n v="1"/>
    <x v="0"/>
    <n v="4960"/>
    <n v="11825"/>
    <n v="2"/>
    <s v="Y"/>
    <s v="No"/>
    <n v="12"/>
    <x v="0"/>
    <n v="4"/>
    <n v="80"/>
    <n v="0"/>
    <n v="20"/>
    <n v="2"/>
    <n v="3"/>
    <n v="7"/>
    <n v="7"/>
    <n v="1"/>
    <n v="7"/>
  </r>
  <r>
    <n v="40"/>
    <x v="1"/>
    <x v="1"/>
    <n v="580"/>
    <x v="0"/>
    <n v="5"/>
    <n v="4"/>
    <s v="Life Sciences"/>
    <n v="1"/>
    <n v="729"/>
    <n v="4"/>
    <x v="1"/>
    <n v="48"/>
    <x v="1"/>
    <n v="3"/>
    <x v="0"/>
    <n v="1"/>
    <x v="1"/>
    <n v="10475"/>
    <n v="23772"/>
    <n v="5"/>
    <s v="Y"/>
    <s v="Yes"/>
    <n v="21"/>
    <x v="1"/>
    <n v="3"/>
    <n v="80"/>
    <n v="1"/>
    <n v="20"/>
    <n v="2"/>
    <n v="3"/>
    <n v="18"/>
    <n v="13"/>
    <n v="1"/>
    <n v="12"/>
  </r>
  <r>
    <n v="53"/>
    <x v="1"/>
    <x v="0"/>
    <n v="970"/>
    <x v="1"/>
    <n v="7"/>
    <n v="3"/>
    <s v="Life Sciences"/>
    <n v="1"/>
    <n v="730"/>
    <n v="3"/>
    <x v="1"/>
    <n v="59"/>
    <x v="2"/>
    <n v="4"/>
    <x v="7"/>
    <n v="3"/>
    <x v="1"/>
    <n v="14814"/>
    <n v="13514"/>
    <n v="3"/>
    <s v="Y"/>
    <s v="No"/>
    <n v="19"/>
    <x v="0"/>
    <n v="3"/>
    <n v="80"/>
    <n v="0"/>
    <n v="32"/>
    <n v="3"/>
    <n v="3"/>
    <n v="5"/>
    <n v="1"/>
    <n v="1"/>
    <n v="3"/>
  </r>
  <r>
    <n v="41"/>
    <x v="1"/>
    <x v="0"/>
    <n v="427"/>
    <x v="2"/>
    <n v="10"/>
    <n v="4"/>
    <s v="Human Resources"/>
    <n v="1"/>
    <n v="731"/>
    <n v="2"/>
    <x v="1"/>
    <n v="73"/>
    <x v="1"/>
    <n v="5"/>
    <x v="5"/>
    <n v="4"/>
    <x v="2"/>
    <n v="19141"/>
    <n v="8861"/>
    <n v="3"/>
    <s v="Y"/>
    <s v="No"/>
    <n v="15"/>
    <x v="0"/>
    <n v="2"/>
    <n v="80"/>
    <n v="3"/>
    <n v="23"/>
    <n v="2"/>
    <n v="2"/>
    <n v="21"/>
    <n v="6"/>
    <n v="12"/>
    <n v="6"/>
  </r>
  <r>
    <n v="60"/>
    <x v="1"/>
    <x v="0"/>
    <n v="1179"/>
    <x v="0"/>
    <n v="16"/>
    <n v="4"/>
    <s v="Marketing"/>
    <n v="1"/>
    <n v="732"/>
    <n v="1"/>
    <x v="1"/>
    <n v="84"/>
    <x v="0"/>
    <n v="2"/>
    <x v="0"/>
    <n v="1"/>
    <x v="0"/>
    <n v="5405"/>
    <n v="11924"/>
    <n v="8"/>
    <s v="Y"/>
    <s v="No"/>
    <n v="14"/>
    <x v="0"/>
    <n v="4"/>
    <n v="80"/>
    <n v="0"/>
    <n v="10"/>
    <n v="1"/>
    <n v="3"/>
    <n v="2"/>
    <n v="2"/>
    <n v="2"/>
    <n v="2"/>
  </r>
  <r>
    <n v="27"/>
    <x v="1"/>
    <x v="1"/>
    <n v="294"/>
    <x v="1"/>
    <n v="10"/>
    <n v="2"/>
    <s v="Life Sciences"/>
    <n v="1"/>
    <n v="733"/>
    <n v="4"/>
    <x v="1"/>
    <n v="32"/>
    <x v="0"/>
    <n v="3"/>
    <x v="3"/>
    <n v="1"/>
    <x v="2"/>
    <n v="8793"/>
    <n v="4809"/>
    <n v="1"/>
    <s v="Y"/>
    <s v="No"/>
    <n v="21"/>
    <x v="1"/>
    <n v="3"/>
    <n v="80"/>
    <n v="2"/>
    <n v="9"/>
    <n v="4"/>
    <n v="2"/>
    <n v="9"/>
    <n v="7"/>
    <n v="1"/>
    <n v="7"/>
  </r>
  <r>
    <n v="41"/>
    <x v="1"/>
    <x v="0"/>
    <n v="314"/>
    <x v="2"/>
    <n v="1"/>
    <n v="3"/>
    <s v="Human Resources"/>
    <n v="1"/>
    <n v="734"/>
    <n v="4"/>
    <x v="1"/>
    <n v="59"/>
    <x v="1"/>
    <n v="5"/>
    <x v="5"/>
    <n v="3"/>
    <x v="1"/>
    <n v="19189"/>
    <n v="19562"/>
    <n v="1"/>
    <s v="Y"/>
    <s v="No"/>
    <n v="12"/>
    <x v="0"/>
    <n v="2"/>
    <n v="80"/>
    <n v="1"/>
    <n v="22"/>
    <n v="3"/>
    <n v="3"/>
    <n v="22"/>
    <n v="7"/>
    <n v="2"/>
    <n v="10"/>
  </r>
  <r>
    <n v="50"/>
    <x v="1"/>
    <x v="0"/>
    <n v="316"/>
    <x v="0"/>
    <n v="8"/>
    <n v="4"/>
    <s v="Marketing"/>
    <n v="1"/>
    <n v="738"/>
    <n v="4"/>
    <x v="1"/>
    <n v="54"/>
    <x v="0"/>
    <n v="1"/>
    <x v="6"/>
    <n v="2"/>
    <x v="1"/>
    <n v="3875"/>
    <n v="9983"/>
    <n v="7"/>
    <s v="Y"/>
    <s v="No"/>
    <n v="15"/>
    <x v="0"/>
    <n v="4"/>
    <n v="80"/>
    <n v="1"/>
    <n v="4"/>
    <n v="2"/>
    <n v="3"/>
    <n v="2"/>
    <n v="2"/>
    <n v="2"/>
    <n v="2"/>
  </r>
  <r>
    <n v="28"/>
    <x v="0"/>
    <x v="0"/>
    <n v="654"/>
    <x v="1"/>
    <n v="1"/>
    <n v="2"/>
    <s v="Life Sciences"/>
    <n v="1"/>
    <n v="741"/>
    <n v="1"/>
    <x v="0"/>
    <n v="67"/>
    <x v="3"/>
    <n v="1"/>
    <x v="1"/>
    <n v="2"/>
    <x v="0"/>
    <n v="2216"/>
    <n v="3872"/>
    <n v="7"/>
    <s v="Y"/>
    <s v="Yes"/>
    <n v="13"/>
    <x v="0"/>
    <n v="4"/>
    <n v="80"/>
    <n v="0"/>
    <n v="10"/>
    <n v="4"/>
    <n v="3"/>
    <n v="7"/>
    <n v="7"/>
    <n v="3"/>
    <n v="7"/>
  </r>
  <r>
    <n v="36"/>
    <x v="1"/>
    <x v="2"/>
    <n v="427"/>
    <x v="1"/>
    <n v="8"/>
    <n v="3"/>
    <s v="Life Sciences"/>
    <n v="1"/>
    <n v="742"/>
    <n v="1"/>
    <x v="0"/>
    <n v="63"/>
    <x v="2"/>
    <n v="3"/>
    <x v="7"/>
    <n v="1"/>
    <x v="1"/>
    <n v="11713"/>
    <n v="20335"/>
    <n v="9"/>
    <s v="Y"/>
    <s v="No"/>
    <n v="14"/>
    <x v="0"/>
    <n v="1"/>
    <n v="80"/>
    <n v="1"/>
    <n v="10"/>
    <n v="2"/>
    <n v="3"/>
    <n v="8"/>
    <n v="7"/>
    <n v="0"/>
    <n v="5"/>
  </r>
  <r>
    <n v="38"/>
    <x v="1"/>
    <x v="0"/>
    <n v="168"/>
    <x v="1"/>
    <n v="1"/>
    <n v="3"/>
    <s v="Life Sciences"/>
    <n v="1"/>
    <n v="743"/>
    <n v="3"/>
    <x v="0"/>
    <n v="81"/>
    <x v="0"/>
    <n v="3"/>
    <x v="3"/>
    <n v="3"/>
    <x v="0"/>
    <n v="7861"/>
    <n v="15397"/>
    <n v="4"/>
    <s v="Y"/>
    <s v="Yes"/>
    <n v="14"/>
    <x v="0"/>
    <n v="4"/>
    <n v="80"/>
    <n v="0"/>
    <n v="10"/>
    <n v="4"/>
    <n v="4"/>
    <n v="1"/>
    <n v="0"/>
    <n v="0"/>
    <n v="0"/>
  </r>
  <r>
    <n v="44"/>
    <x v="1"/>
    <x v="2"/>
    <n v="381"/>
    <x v="1"/>
    <n v="24"/>
    <n v="3"/>
    <s v="Medical"/>
    <n v="1"/>
    <n v="744"/>
    <n v="1"/>
    <x v="1"/>
    <n v="49"/>
    <x v="3"/>
    <n v="1"/>
    <x v="2"/>
    <n v="3"/>
    <x v="0"/>
    <n v="3708"/>
    <n v="2104"/>
    <n v="2"/>
    <s v="Y"/>
    <s v="No"/>
    <n v="14"/>
    <x v="0"/>
    <n v="3"/>
    <n v="80"/>
    <n v="0"/>
    <n v="9"/>
    <n v="5"/>
    <n v="3"/>
    <n v="5"/>
    <n v="2"/>
    <n v="1"/>
    <n v="4"/>
  </r>
  <r>
    <n v="47"/>
    <x v="1"/>
    <x v="1"/>
    <n v="217"/>
    <x v="0"/>
    <n v="3"/>
    <n v="3"/>
    <s v="Medical"/>
    <n v="1"/>
    <n v="746"/>
    <n v="4"/>
    <x v="0"/>
    <n v="49"/>
    <x v="0"/>
    <n v="4"/>
    <x v="0"/>
    <n v="3"/>
    <x v="2"/>
    <n v="13770"/>
    <n v="10225"/>
    <n v="9"/>
    <s v="Y"/>
    <s v="Yes"/>
    <n v="12"/>
    <x v="0"/>
    <n v="4"/>
    <n v="80"/>
    <n v="2"/>
    <n v="28"/>
    <n v="2"/>
    <n v="2"/>
    <n v="22"/>
    <n v="2"/>
    <n v="11"/>
    <n v="13"/>
  </r>
  <r>
    <n v="30"/>
    <x v="1"/>
    <x v="0"/>
    <n v="501"/>
    <x v="0"/>
    <n v="27"/>
    <n v="5"/>
    <s v="Marketing"/>
    <n v="1"/>
    <n v="747"/>
    <n v="3"/>
    <x v="1"/>
    <n v="99"/>
    <x v="0"/>
    <n v="2"/>
    <x v="0"/>
    <n v="4"/>
    <x v="2"/>
    <n v="5304"/>
    <n v="25275"/>
    <n v="7"/>
    <s v="Y"/>
    <s v="No"/>
    <n v="23"/>
    <x v="1"/>
    <n v="4"/>
    <n v="80"/>
    <n v="1"/>
    <n v="10"/>
    <n v="2"/>
    <n v="2"/>
    <n v="8"/>
    <n v="7"/>
    <n v="7"/>
    <n v="7"/>
  </r>
  <r>
    <n v="29"/>
    <x v="1"/>
    <x v="0"/>
    <n v="1396"/>
    <x v="0"/>
    <n v="10"/>
    <n v="3"/>
    <s v="Life Sciences"/>
    <n v="1"/>
    <n v="749"/>
    <n v="3"/>
    <x v="1"/>
    <n v="99"/>
    <x v="0"/>
    <n v="1"/>
    <x v="6"/>
    <n v="3"/>
    <x v="0"/>
    <n v="2642"/>
    <n v="2755"/>
    <n v="1"/>
    <s v="Y"/>
    <s v="No"/>
    <n v="11"/>
    <x v="0"/>
    <n v="3"/>
    <n v="80"/>
    <n v="0"/>
    <n v="1"/>
    <n v="6"/>
    <n v="3"/>
    <n v="1"/>
    <n v="0"/>
    <n v="0"/>
    <n v="0"/>
  </r>
  <r>
    <n v="42"/>
    <x v="0"/>
    <x v="1"/>
    <n v="933"/>
    <x v="1"/>
    <n v="19"/>
    <n v="3"/>
    <s v="Medical"/>
    <n v="1"/>
    <n v="752"/>
    <n v="3"/>
    <x v="1"/>
    <n v="57"/>
    <x v="2"/>
    <n v="1"/>
    <x v="1"/>
    <n v="3"/>
    <x v="2"/>
    <n v="2759"/>
    <n v="20366"/>
    <n v="6"/>
    <s v="Y"/>
    <s v="Yes"/>
    <n v="12"/>
    <x v="0"/>
    <n v="4"/>
    <n v="80"/>
    <n v="0"/>
    <n v="7"/>
    <n v="2"/>
    <n v="3"/>
    <n v="2"/>
    <n v="2"/>
    <n v="2"/>
    <n v="2"/>
  </r>
  <r>
    <n v="43"/>
    <x v="1"/>
    <x v="1"/>
    <n v="775"/>
    <x v="0"/>
    <n v="15"/>
    <n v="3"/>
    <s v="Life Sciences"/>
    <n v="1"/>
    <n v="754"/>
    <n v="4"/>
    <x v="1"/>
    <n v="47"/>
    <x v="1"/>
    <n v="2"/>
    <x v="0"/>
    <n v="4"/>
    <x v="1"/>
    <n v="6804"/>
    <n v="23683"/>
    <n v="3"/>
    <s v="Y"/>
    <s v="No"/>
    <n v="18"/>
    <x v="0"/>
    <n v="3"/>
    <n v="80"/>
    <n v="1"/>
    <n v="7"/>
    <n v="5"/>
    <n v="3"/>
    <n v="2"/>
    <n v="2"/>
    <n v="2"/>
    <n v="2"/>
  </r>
  <r>
    <n v="34"/>
    <x v="1"/>
    <x v="0"/>
    <n v="970"/>
    <x v="1"/>
    <n v="8"/>
    <n v="2"/>
    <s v="Medical"/>
    <n v="1"/>
    <n v="757"/>
    <n v="2"/>
    <x v="0"/>
    <n v="96"/>
    <x v="0"/>
    <n v="2"/>
    <x v="4"/>
    <n v="3"/>
    <x v="0"/>
    <n v="6142"/>
    <n v="7360"/>
    <n v="3"/>
    <s v="Y"/>
    <s v="No"/>
    <n v="11"/>
    <x v="0"/>
    <n v="4"/>
    <n v="80"/>
    <n v="0"/>
    <n v="10"/>
    <n v="2"/>
    <n v="3"/>
    <n v="5"/>
    <n v="1"/>
    <n v="4"/>
    <n v="3"/>
  </r>
  <r>
    <n v="23"/>
    <x v="1"/>
    <x v="0"/>
    <n v="650"/>
    <x v="1"/>
    <n v="9"/>
    <n v="1"/>
    <s v="Medical"/>
    <n v="1"/>
    <n v="758"/>
    <n v="2"/>
    <x v="1"/>
    <n v="37"/>
    <x v="0"/>
    <n v="1"/>
    <x v="2"/>
    <n v="1"/>
    <x v="1"/>
    <n v="2500"/>
    <n v="4344"/>
    <n v="1"/>
    <s v="Y"/>
    <s v="No"/>
    <n v="14"/>
    <x v="0"/>
    <n v="4"/>
    <n v="80"/>
    <n v="1"/>
    <n v="5"/>
    <n v="2"/>
    <n v="4"/>
    <n v="4"/>
    <n v="3"/>
    <n v="0"/>
    <n v="2"/>
  </r>
  <r>
    <n v="39"/>
    <x v="1"/>
    <x v="0"/>
    <n v="141"/>
    <x v="2"/>
    <n v="3"/>
    <n v="3"/>
    <s v="Human Resources"/>
    <n v="1"/>
    <n v="760"/>
    <n v="3"/>
    <x v="0"/>
    <n v="44"/>
    <x v="2"/>
    <n v="2"/>
    <x v="8"/>
    <n v="2"/>
    <x v="1"/>
    <n v="6389"/>
    <n v="18767"/>
    <n v="9"/>
    <s v="Y"/>
    <s v="No"/>
    <n v="15"/>
    <x v="0"/>
    <n v="3"/>
    <n v="80"/>
    <n v="1"/>
    <n v="12"/>
    <n v="3"/>
    <n v="1"/>
    <n v="8"/>
    <n v="3"/>
    <n v="3"/>
    <n v="6"/>
  </r>
  <r>
    <n v="56"/>
    <x v="1"/>
    <x v="0"/>
    <n v="832"/>
    <x v="1"/>
    <n v="9"/>
    <n v="3"/>
    <s v="Medical"/>
    <n v="1"/>
    <n v="762"/>
    <n v="3"/>
    <x v="1"/>
    <n v="81"/>
    <x v="0"/>
    <n v="4"/>
    <x v="4"/>
    <n v="4"/>
    <x v="1"/>
    <n v="11103"/>
    <n v="20420"/>
    <n v="7"/>
    <s v="Y"/>
    <s v="No"/>
    <n v="11"/>
    <x v="0"/>
    <n v="3"/>
    <n v="80"/>
    <n v="0"/>
    <n v="30"/>
    <n v="1"/>
    <n v="2"/>
    <n v="10"/>
    <n v="7"/>
    <n v="1"/>
    <n v="1"/>
  </r>
  <r>
    <n v="40"/>
    <x v="1"/>
    <x v="0"/>
    <n v="804"/>
    <x v="1"/>
    <n v="2"/>
    <n v="1"/>
    <s v="Medical"/>
    <n v="1"/>
    <n v="763"/>
    <n v="4"/>
    <x v="0"/>
    <n v="86"/>
    <x v="1"/>
    <n v="1"/>
    <x v="1"/>
    <n v="4"/>
    <x v="0"/>
    <n v="2342"/>
    <n v="22929"/>
    <n v="0"/>
    <s v="Y"/>
    <s v="Yes"/>
    <n v="20"/>
    <x v="1"/>
    <n v="4"/>
    <n v="80"/>
    <n v="0"/>
    <n v="5"/>
    <n v="2"/>
    <n v="2"/>
    <n v="4"/>
    <n v="2"/>
    <n v="2"/>
    <n v="3"/>
  </r>
  <r>
    <n v="27"/>
    <x v="1"/>
    <x v="0"/>
    <n v="975"/>
    <x v="1"/>
    <n v="7"/>
    <n v="3"/>
    <s v="Medical"/>
    <n v="1"/>
    <n v="764"/>
    <n v="4"/>
    <x v="0"/>
    <n v="55"/>
    <x v="1"/>
    <n v="2"/>
    <x v="4"/>
    <n v="1"/>
    <x v="0"/>
    <n v="6811"/>
    <n v="23398"/>
    <n v="8"/>
    <s v="Y"/>
    <s v="No"/>
    <n v="19"/>
    <x v="0"/>
    <n v="1"/>
    <n v="80"/>
    <n v="0"/>
    <n v="9"/>
    <n v="2"/>
    <n v="1"/>
    <n v="7"/>
    <n v="6"/>
    <n v="0"/>
    <n v="7"/>
  </r>
  <r>
    <n v="29"/>
    <x v="1"/>
    <x v="0"/>
    <n v="1090"/>
    <x v="0"/>
    <n v="10"/>
    <n v="3"/>
    <s v="Marketing"/>
    <n v="1"/>
    <n v="766"/>
    <n v="4"/>
    <x v="1"/>
    <n v="83"/>
    <x v="0"/>
    <n v="1"/>
    <x v="6"/>
    <n v="2"/>
    <x v="2"/>
    <n v="2297"/>
    <n v="17967"/>
    <n v="1"/>
    <s v="Y"/>
    <s v="No"/>
    <n v="14"/>
    <x v="0"/>
    <n v="4"/>
    <n v="80"/>
    <n v="2"/>
    <n v="2"/>
    <n v="2"/>
    <n v="3"/>
    <n v="2"/>
    <n v="2"/>
    <n v="2"/>
    <n v="2"/>
  </r>
  <r>
    <n v="53"/>
    <x v="1"/>
    <x v="0"/>
    <n v="346"/>
    <x v="1"/>
    <n v="6"/>
    <n v="3"/>
    <s v="Life Sciences"/>
    <n v="1"/>
    <n v="769"/>
    <n v="4"/>
    <x v="1"/>
    <n v="86"/>
    <x v="0"/>
    <n v="2"/>
    <x v="2"/>
    <n v="4"/>
    <x v="0"/>
    <n v="2450"/>
    <n v="10919"/>
    <n v="2"/>
    <s v="Y"/>
    <s v="No"/>
    <n v="17"/>
    <x v="0"/>
    <n v="4"/>
    <n v="80"/>
    <n v="0"/>
    <n v="19"/>
    <n v="4"/>
    <n v="3"/>
    <n v="2"/>
    <n v="2"/>
    <n v="2"/>
    <n v="2"/>
  </r>
  <r>
    <n v="35"/>
    <x v="1"/>
    <x v="2"/>
    <n v="1225"/>
    <x v="1"/>
    <n v="2"/>
    <n v="4"/>
    <s v="Life Sciences"/>
    <n v="1"/>
    <n v="771"/>
    <n v="4"/>
    <x v="0"/>
    <n v="61"/>
    <x v="0"/>
    <n v="2"/>
    <x v="4"/>
    <n v="1"/>
    <x v="2"/>
    <n v="5093"/>
    <n v="4761"/>
    <n v="2"/>
    <s v="Y"/>
    <s v="No"/>
    <n v="11"/>
    <x v="0"/>
    <n v="1"/>
    <n v="80"/>
    <n v="1"/>
    <n v="16"/>
    <n v="2"/>
    <n v="4"/>
    <n v="1"/>
    <n v="0"/>
    <n v="0"/>
    <n v="0"/>
  </r>
  <r>
    <n v="32"/>
    <x v="1"/>
    <x v="1"/>
    <n v="430"/>
    <x v="1"/>
    <n v="24"/>
    <n v="4"/>
    <s v="Life Sciences"/>
    <n v="1"/>
    <n v="772"/>
    <n v="1"/>
    <x v="1"/>
    <n v="80"/>
    <x v="0"/>
    <n v="2"/>
    <x v="2"/>
    <n v="4"/>
    <x v="1"/>
    <n v="5309"/>
    <n v="21146"/>
    <n v="1"/>
    <s v="Y"/>
    <s v="No"/>
    <n v="15"/>
    <x v="0"/>
    <n v="4"/>
    <n v="80"/>
    <n v="2"/>
    <n v="10"/>
    <n v="2"/>
    <n v="3"/>
    <n v="10"/>
    <n v="8"/>
    <n v="4"/>
    <n v="7"/>
  </r>
  <r>
    <n v="38"/>
    <x v="1"/>
    <x v="0"/>
    <n v="268"/>
    <x v="1"/>
    <n v="2"/>
    <n v="5"/>
    <s v="Medical"/>
    <n v="1"/>
    <n v="773"/>
    <n v="4"/>
    <x v="1"/>
    <n v="92"/>
    <x v="0"/>
    <n v="1"/>
    <x v="1"/>
    <n v="3"/>
    <x v="1"/>
    <n v="3057"/>
    <n v="20471"/>
    <n v="6"/>
    <s v="Y"/>
    <s v="Yes"/>
    <n v="13"/>
    <x v="0"/>
    <n v="2"/>
    <n v="80"/>
    <n v="1"/>
    <n v="6"/>
    <n v="0"/>
    <n v="1"/>
    <n v="1"/>
    <n v="0"/>
    <n v="0"/>
    <n v="1"/>
  </r>
  <r>
    <n v="34"/>
    <x v="1"/>
    <x v="0"/>
    <n v="167"/>
    <x v="1"/>
    <n v="8"/>
    <n v="5"/>
    <s v="Life Sciences"/>
    <n v="1"/>
    <n v="775"/>
    <n v="2"/>
    <x v="0"/>
    <n v="32"/>
    <x v="0"/>
    <n v="2"/>
    <x v="3"/>
    <n v="1"/>
    <x v="2"/>
    <n v="5121"/>
    <n v="4187"/>
    <n v="3"/>
    <s v="Y"/>
    <s v="No"/>
    <n v="14"/>
    <x v="0"/>
    <n v="3"/>
    <n v="80"/>
    <n v="1"/>
    <n v="7"/>
    <n v="3"/>
    <n v="3"/>
    <n v="0"/>
    <n v="0"/>
    <n v="0"/>
    <n v="0"/>
  </r>
  <r>
    <n v="52"/>
    <x v="1"/>
    <x v="0"/>
    <n v="621"/>
    <x v="0"/>
    <n v="3"/>
    <n v="4"/>
    <s v="Marketing"/>
    <n v="1"/>
    <n v="776"/>
    <n v="3"/>
    <x v="1"/>
    <n v="31"/>
    <x v="1"/>
    <n v="4"/>
    <x v="5"/>
    <n v="1"/>
    <x v="1"/>
    <n v="16856"/>
    <n v="10084"/>
    <n v="1"/>
    <s v="Y"/>
    <s v="No"/>
    <n v="11"/>
    <x v="0"/>
    <n v="1"/>
    <n v="80"/>
    <n v="0"/>
    <n v="34"/>
    <n v="3"/>
    <n v="4"/>
    <n v="34"/>
    <n v="6"/>
    <n v="1"/>
    <n v="16"/>
  </r>
  <r>
    <n v="33"/>
    <x v="0"/>
    <x v="0"/>
    <n v="527"/>
    <x v="1"/>
    <n v="1"/>
    <n v="4"/>
    <s v="Other"/>
    <n v="1"/>
    <n v="780"/>
    <n v="4"/>
    <x v="1"/>
    <n v="63"/>
    <x v="0"/>
    <n v="1"/>
    <x v="1"/>
    <n v="4"/>
    <x v="0"/>
    <n v="2686"/>
    <n v="5207"/>
    <n v="1"/>
    <s v="Y"/>
    <s v="Yes"/>
    <n v="13"/>
    <x v="0"/>
    <n v="3"/>
    <n v="80"/>
    <n v="0"/>
    <n v="10"/>
    <n v="2"/>
    <n v="2"/>
    <n v="10"/>
    <n v="9"/>
    <n v="7"/>
    <n v="8"/>
  </r>
  <r>
    <n v="25"/>
    <x v="1"/>
    <x v="0"/>
    <n v="883"/>
    <x v="0"/>
    <n v="26"/>
    <n v="1"/>
    <s v="Medical"/>
    <n v="1"/>
    <n v="781"/>
    <n v="3"/>
    <x v="0"/>
    <n v="32"/>
    <x v="0"/>
    <n v="2"/>
    <x v="0"/>
    <n v="4"/>
    <x v="0"/>
    <n v="6180"/>
    <n v="22807"/>
    <n v="1"/>
    <s v="Y"/>
    <s v="No"/>
    <n v="23"/>
    <x v="1"/>
    <n v="2"/>
    <n v="80"/>
    <n v="0"/>
    <n v="6"/>
    <n v="5"/>
    <n v="2"/>
    <n v="6"/>
    <n v="5"/>
    <n v="1"/>
    <n v="4"/>
  </r>
  <r>
    <n v="45"/>
    <x v="1"/>
    <x v="0"/>
    <n v="954"/>
    <x v="0"/>
    <n v="2"/>
    <n v="2"/>
    <s v="Technical Degree"/>
    <n v="1"/>
    <n v="783"/>
    <n v="2"/>
    <x v="1"/>
    <n v="46"/>
    <x v="3"/>
    <n v="2"/>
    <x v="6"/>
    <n v="3"/>
    <x v="0"/>
    <n v="6632"/>
    <n v="12388"/>
    <n v="0"/>
    <s v="Y"/>
    <s v="No"/>
    <n v="13"/>
    <x v="0"/>
    <n v="1"/>
    <n v="80"/>
    <n v="0"/>
    <n v="9"/>
    <n v="3"/>
    <n v="3"/>
    <n v="8"/>
    <n v="7"/>
    <n v="3"/>
    <n v="1"/>
  </r>
  <r>
    <n v="23"/>
    <x v="1"/>
    <x v="0"/>
    <n v="310"/>
    <x v="1"/>
    <n v="10"/>
    <n v="1"/>
    <s v="Medical"/>
    <n v="1"/>
    <n v="784"/>
    <n v="1"/>
    <x v="1"/>
    <n v="79"/>
    <x v="2"/>
    <n v="1"/>
    <x v="1"/>
    <n v="3"/>
    <x v="0"/>
    <n v="3505"/>
    <n v="19630"/>
    <n v="1"/>
    <s v="Y"/>
    <s v="No"/>
    <n v="18"/>
    <x v="0"/>
    <n v="4"/>
    <n v="80"/>
    <n v="0"/>
    <n v="2"/>
    <n v="3"/>
    <n v="3"/>
    <n v="2"/>
    <n v="2"/>
    <n v="0"/>
    <n v="2"/>
  </r>
  <r>
    <n v="47"/>
    <x v="0"/>
    <x v="1"/>
    <n v="719"/>
    <x v="0"/>
    <n v="27"/>
    <n v="2"/>
    <s v="Life Sciences"/>
    <n v="1"/>
    <n v="785"/>
    <n v="2"/>
    <x v="0"/>
    <n v="77"/>
    <x v="2"/>
    <n v="2"/>
    <x v="0"/>
    <n v="3"/>
    <x v="0"/>
    <n v="6397"/>
    <n v="10339"/>
    <n v="4"/>
    <s v="Y"/>
    <s v="Yes"/>
    <n v="12"/>
    <x v="0"/>
    <n v="4"/>
    <n v="80"/>
    <n v="0"/>
    <n v="8"/>
    <n v="2"/>
    <n v="3"/>
    <n v="5"/>
    <n v="4"/>
    <n v="1"/>
    <n v="3"/>
  </r>
  <r>
    <n v="34"/>
    <x v="1"/>
    <x v="0"/>
    <n v="304"/>
    <x v="0"/>
    <n v="2"/>
    <n v="3"/>
    <s v="Other"/>
    <n v="1"/>
    <n v="786"/>
    <n v="4"/>
    <x v="1"/>
    <n v="60"/>
    <x v="0"/>
    <n v="2"/>
    <x v="0"/>
    <n v="4"/>
    <x v="0"/>
    <n v="6274"/>
    <n v="18686"/>
    <n v="1"/>
    <s v="Y"/>
    <s v="No"/>
    <n v="22"/>
    <x v="1"/>
    <n v="3"/>
    <n v="80"/>
    <n v="0"/>
    <n v="6"/>
    <n v="5"/>
    <n v="3"/>
    <n v="6"/>
    <n v="5"/>
    <n v="1"/>
    <n v="4"/>
  </r>
  <r>
    <n v="55"/>
    <x v="0"/>
    <x v="0"/>
    <n v="725"/>
    <x v="1"/>
    <n v="2"/>
    <n v="3"/>
    <s v="Medical"/>
    <n v="1"/>
    <n v="787"/>
    <n v="4"/>
    <x v="1"/>
    <n v="78"/>
    <x v="0"/>
    <n v="5"/>
    <x v="5"/>
    <n v="1"/>
    <x v="1"/>
    <n v="19859"/>
    <n v="21199"/>
    <n v="5"/>
    <s v="Y"/>
    <s v="Yes"/>
    <n v="13"/>
    <x v="0"/>
    <n v="4"/>
    <n v="80"/>
    <n v="1"/>
    <n v="24"/>
    <n v="2"/>
    <n v="3"/>
    <n v="5"/>
    <n v="2"/>
    <n v="1"/>
    <n v="4"/>
  </r>
  <r>
    <n v="36"/>
    <x v="1"/>
    <x v="2"/>
    <n v="1434"/>
    <x v="0"/>
    <n v="8"/>
    <n v="4"/>
    <s v="Life Sciences"/>
    <n v="1"/>
    <n v="789"/>
    <n v="1"/>
    <x v="1"/>
    <n v="76"/>
    <x v="1"/>
    <n v="3"/>
    <x v="0"/>
    <n v="1"/>
    <x v="0"/>
    <n v="7587"/>
    <n v="14229"/>
    <n v="1"/>
    <s v="Y"/>
    <s v="No"/>
    <n v="15"/>
    <x v="0"/>
    <n v="2"/>
    <n v="80"/>
    <n v="0"/>
    <n v="10"/>
    <n v="1"/>
    <n v="3"/>
    <n v="10"/>
    <n v="7"/>
    <n v="0"/>
    <n v="9"/>
  </r>
  <r>
    <n v="52"/>
    <x v="1"/>
    <x v="2"/>
    <n v="715"/>
    <x v="1"/>
    <n v="19"/>
    <n v="4"/>
    <s v="Medical"/>
    <n v="1"/>
    <n v="791"/>
    <n v="4"/>
    <x v="1"/>
    <n v="41"/>
    <x v="0"/>
    <n v="1"/>
    <x v="1"/>
    <n v="4"/>
    <x v="1"/>
    <n v="4258"/>
    <n v="26589"/>
    <n v="0"/>
    <s v="Y"/>
    <s v="No"/>
    <n v="18"/>
    <x v="0"/>
    <n v="1"/>
    <n v="80"/>
    <n v="1"/>
    <n v="5"/>
    <n v="3"/>
    <n v="3"/>
    <n v="4"/>
    <n v="3"/>
    <n v="1"/>
    <n v="2"/>
  </r>
  <r>
    <n v="26"/>
    <x v="1"/>
    <x v="1"/>
    <n v="575"/>
    <x v="1"/>
    <n v="1"/>
    <n v="2"/>
    <s v="Life Sciences"/>
    <n v="1"/>
    <n v="792"/>
    <n v="1"/>
    <x v="0"/>
    <n v="71"/>
    <x v="3"/>
    <n v="1"/>
    <x v="2"/>
    <n v="4"/>
    <x v="2"/>
    <n v="4364"/>
    <n v="5288"/>
    <n v="3"/>
    <s v="Y"/>
    <s v="No"/>
    <n v="14"/>
    <x v="0"/>
    <n v="1"/>
    <n v="80"/>
    <n v="1"/>
    <n v="5"/>
    <n v="2"/>
    <n v="3"/>
    <n v="2"/>
    <n v="2"/>
    <n v="2"/>
    <n v="0"/>
  </r>
  <r>
    <n v="29"/>
    <x v="1"/>
    <x v="0"/>
    <n v="657"/>
    <x v="1"/>
    <n v="27"/>
    <n v="3"/>
    <s v="Medical"/>
    <n v="1"/>
    <n v="793"/>
    <n v="2"/>
    <x v="0"/>
    <n v="66"/>
    <x v="0"/>
    <n v="2"/>
    <x v="4"/>
    <n v="3"/>
    <x v="1"/>
    <n v="4335"/>
    <n v="25549"/>
    <n v="4"/>
    <s v="Y"/>
    <s v="No"/>
    <n v="12"/>
    <x v="0"/>
    <n v="1"/>
    <n v="80"/>
    <n v="1"/>
    <n v="11"/>
    <n v="3"/>
    <n v="2"/>
    <n v="8"/>
    <n v="7"/>
    <n v="1"/>
    <n v="1"/>
  </r>
  <r>
    <n v="26"/>
    <x v="0"/>
    <x v="0"/>
    <n v="1146"/>
    <x v="0"/>
    <n v="8"/>
    <n v="3"/>
    <s v="Technical Degree"/>
    <n v="1"/>
    <n v="796"/>
    <n v="4"/>
    <x v="1"/>
    <n v="38"/>
    <x v="1"/>
    <n v="2"/>
    <x v="0"/>
    <n v="1"/>
    <x v="0"/>
    <n v="5326"/>
    <n v="3064"/>
    <n v="6"/>
    <s v="Y"/>
    <s v="No"/>
    <n v="17"/>
    <x v="0"/>
    <n v="3"/>
    <n v="80"/>
    <n v="0"/>
    <n v="6"/>
    <n v="2"/>
    <n v="2"/>
    <n v="4"/>
    <n v="3"/>
    <n v="1"/>
    <n v="2"/>
  </r>
  <r>
    <n v="34"/>
    <x v="1"/>
    <x v="0"/>
    <n v="182"/>
    <x v="1"/>
    <n v="1"/>
    <n v="4"/>
    <s v="Life Sciences"/>
    <n v="1"/>
    <n v="797"/>
    <n v="2"/>
    <x v="0"/>
    <n v="72"/>
    <x v="2"/>
    <n v="1"/>
    <x v="1"/>
    <n v="4"/>
    <x v="0"/>
    <n v="3280"/>
    <n v="13551"/>
    <n v="2"/>
    <s v="Y"/>
    <s v="No"/>
    <n v="16"/>
    <x v="0"/>
    <n v="3"/>
    <n v="80"/>
    <n v="0"/>
    <n v="10"/>
    <n v="2"/>
    <n v="3"/>
    <n v="4"/>
    <n v="2"/>
    <n v="1"/>
    <n v="3"/>
  </r>
  <r>
    <n v="54"/>
    <x v="1"/>
    <x v="0"/>
    <n v="376"/>
    <x v="1"/>
    <n v="19"/>
    <n v="4"/>
    <s v="Medical"/>
    <n v="1"/>
    <n v="799"/>
    <n v="4"/>
    <x v="0"/>
    <n v="95"/>
    <x v="0"/>
    <n v="2"/>
    <x v="3"/>
    <n v="1"/>
    <x v="2"/>
    <n v="5485"/>
    <n v="22670"/>
    <n v="9"/>
    <s v="Y"/>
    <s v="Yes"/>
    <n v="11"/>
    <x v="0"/>
    <n v="2"/>
    <n v="80"/>
    <n v="2"/>
    <n v="9"/>
    <n v="4"/>
    <n v="3"/>
    <n v="5"/>
    <n v="3"/>
    <n v="1"/>
    <n v="4"/>
  </r>
  <r>
    <n v="27"/>
    <x v="1"/>
    <x v="1"/>
    <n v="829"/>
    <x v="0"/>
    <n v="8"/>
    <n v="1"/>
    <s v="Marketing"/>
    <n v="1"/>
    <n v="800"/>
    <n v="3"/>
    <x v="1"/>
    <n v="84"/>
    <x v="0"/>
    <n v="2"/>
    <x v="0"/>
    <n v="4"/>
    <x v="1"/>
    <n v="4342"/>
    <n v="24008"/>
    <n v="0"/>
    <s v="Y"/>
    <s v="No"/>
    <n v="19"/>
    <x v="0"/>
    <n v="2"/>
    <n v="80"/>
    <n v="1"/>
    <n v="5"/>
    <n v="3"/>
    <n v="3"/>
    <n v="4"/>
    <n v="2"/>
    <n v="1"/>
    <n v="1"/>
  </r>
  <r>
    <n v="37"/>
    <x v="1"/>
    <x v="0"/>
    <n v="571"/>
    <x v="1"/>
    <n v="10"/>
    <n v="1"/>
    <s v="Life Sciences"/>
    <n v="1"/>
    <n v="802"/>
    <n v="4"/>
    <x v="0"/>
    <n v="82"/>
    <x v="0"/>
    <n v="1"/>
    <x v="1"/>
    <n v="1"/>
    <x v="2"/>
    <n v="2782"/>
    <n v="19905"/>
    <n v="0"/>
    <s v="Y"/>
    <s v="Yes"/>
    <n v="13"/>
    <x v="0"/>
    <n v="2"/>
    <n v="80"/>
    <n v="2"/>
    <n v="6"/>
    <n v="3"/>
    <n v="2"/>
    <n v="5"/>
    <n v="3"/>
    <n v="4"/>
    <n v="3"/>
  </r>
  <r>
    <n v="38"/>
    <x v="1"/>
    <x v="1"/>
    <n v="240"/>
    <x v="1"/>
    <n v="2"/>
    <n v="4"/>
    <s v="Life Sciences"/>
    <n v="1"/>
    <n v="803"/>
    <n v="1"/>
    <x v="0"/>
    <n v="75"/>
    <x v="2"/>
    <n v="2"/>
    <x v="3"/>
    <n v="1"/>
    <x v="0"/>
    <n v="5980"/>
    <n v="26085"/>
    <n v="6"/>
    <s v="Y"/>
    <s v="Yes"/>
    <n v="12"/>
    <x v="0"/>
    <n v="4"/>
    <n v="80"/>
    <n v="0"/>
    <n v="17"/>
    <n v="2"/>
    <n v="3"/>
    <n v="15"/>
    <n v="7"/>
    <n v="4"/>
    <n v="12"/>
  </r>
  <r>
    <n v="34"/>
    <x v="1"/>
    <x v="0"/>
    <n v="121"/>
    <x v="1"/>
    <n v="2"/>
    <n v="4"/>
    <s v="Medical"/>
    <n v="1"/>
    <n v="804"/>
    <n v="3"/>
    <x v="0"/>
    <n v="86"/>
    <x v="1"/>
    <n v="1"/>
    <x v="1"/>
    <n v="1"/>
    <x v="0"/>
    <n v="4381"/>
    <n v="7530"/>
    <n v="1"/>
    <s v="Y"/>
    <s v="No"/>
    <n v="11"/>
    <x v="0"/>
    <n v="3"/>
    <n v="80"/>
    <n v="0"/>
    <n v="6"/>
    <n v="3"/>
    <n v="3"/>
    <n v="6"/>
    <n v="5"/>
    <n v="1"/>
    <n v="3"/>
  </r>
  <r>
    <n v="35"/>
    <x v="1"/>
    <x v="0"/>
    <n v="384"/>
    <x v="0"/>
    <n v="8"/>
    <n v="4"/>
    <s v="Life Sciences"/>
    <n v="1"/>
    <n v="805"/>
    <n v="1"/>
    <x v="0"/>
    <n v="72"/>
    <x v="0"/>
    <n v="1"/>
    <x v="6"/>
    <n v="4"/>
    <x v="1"/>
    <n v="2572"/>
    <n v="20317"/>
    <n v="1"/>
    <s v="Y"/>
    <s v="No"/>
    <n v="16"/>
    <x v="0"/>
    <n v="2"/>
    <n v="80"/>
    <n v="1"/>
    <n v="3"/>
    <n v="1"/>
    <n v="2"/>
    <n v="3"/>
    <n v="2"/>
    <n v="0"/>
    <n v="2"/>
  </r>
  <r>
    <n v="30"/>
    <x v="1"/>
    <x v="0"/>
    <n v="921"/>
    <x v="1"/>
    <n v="1"/>
    <n v="3"/>
    <s v="Life Sciences"/>
    <n v="1"/>
    <n v="806"/>
    <n v="4"/>
    <x v="1"/>
    <n v="38"/>
    <x v="3"/>
    <n v="1"/>
    <x v="2"/>
    <n v="3"/>
    <x v="1"/>
    <n v="3833"/>
    <n v="24375"/>
    <n v="3"/>
    <s v="Y"/>
    <s v="No"/>
    <n v="21"/>
    <x v="1"/>
    <n v="3"/>
    <n v="80"/>
    <n v="2"/>
    <n v="7"/>
    <n v="2"/>
    <n v="3"/>
    <n v="2"/>
    <n v="2"/>
    <n v="0"/>
    <n v="2"/>
  </r>
  <r>
    <n v="40"/>
    <x v="1"/>
    <x v="1"/>
    <n v="791"/>
    <x v="1"/>
    <n v="2"/>
    <n v="2"/>
    <s v="Medical"/>
    <n v="1"/>
    <n v="807"/>
    <n v="3"/>
    <x v="0"/>
    <n v="38"/>
    <x v="2"/>
    <n v="2"/>
    <x v="4"/>
    <n v="2"/>
    <x v="1"/>
    <n v="4244"/>
    <n v="9931"/>
    <n v="1"/>
    <s v="Y"/>
    <s v="No"/>
    <n v="24"/>
    <x v="1"/>
    <n v="4"/>
    <n v="80"/>
    <n v="1"/>
    <n v="8"/>
    <n v="2"/>
    <n v="3"/>
    <n v="8"/>
    <n v="7"/>
    <n v="3"/>
    <n v="7"/>
  </r>
  <r>
    <n v="34"/>
    <x v="1"/>
    <x v="0"/>
    <n v="1111"/>
    <x v="0"/>
    <n v="8"/>
    <n v="2"/>
    <s v="Life Sciences"/>
    <n v="1"/>
    <n v="808"/>
    <n v="3"/>
    <x v="0"/>
    <n v="93"/>
    <x v="0"/>
    <n v="2"/>
    <x v="0"/>
    <n v="1"/>
    <x v="1"/>
    <n v="6500"/>
    <n v="13305"/>
    <n v="5"/>
    <s v="Y"/>
    <s v="No"/>
    <n v="17"/>
    <x v="0"/>
    <n v="2"/>
    <n v="80"/>
    <n v="1"/>
    <n v="6"/>
    <n v="1"/>
    <n v="3"/>
    <n v="3"/>
    <n v="2"/>
    <n v="1"/>
    <n v="2"/>
  </r>
  <r>
    <n v="42"/>
    <x v="1"/>
    <x v="1"/>
    <n v="570"/>
    <x v="1"/>
    <n v="8"/>
    <n v="3"/>
    <s v="Life Sciences"/>
    <n v="1"/>
    <n v="809"/>
    <n v="2"/>
    <x v="1"/>
    <n v="66"/>
    <x v="0"/>
    <n v="5"/>
    <x v="5"/>
    <n v="4"/>
    <x v="2"/>
    <n v="18430"/>
    <n v="16225"/>
    <n v="1"/>
    <s v="Y"/>
    <s v="No"/>
    <n v="13"/>
    <x v="0"/>
    <n v="2"/>
    <n v="80"/>
    <n v="1"/>
    <n v="24"/>
    <n v="4"/>
    <n v="2"/>
    <n v="24"/>
    <n v="7"/>
    <n v="14"/>
    <n v="9"/>
  </r>
  <r>
    <n v="23"/>
    <x v="0"/>
    <x v="0"/>
    <n v="1243"/>
    <x v="1"/>
    <n v="6"/>
    <n v="3"/>
    <s v="Life Sciences"/>
    <n v="1"/>
    <n v="811"/>
    <n v="3"/>
    <x v="1"/>
    <n v="63"/>
    <x v="2"/>
    <n v="1"/>
    <x v="2"/>
    <n v="1"/>
    <x v="1"/>
    <n v="1601"/>
    <n v="3445"/>
    <n v="1"/>
    <s v="Y"/>
    <s v="Yes"/>
    <n v="21"/>
    <x v="1"/>
    <n v="3"/>
    <n v="80"/>
    <n v="2"/>
    <n v="1"/>
    <n v="2"/>
    <n v="3"/>
    <n v="0"/>
    <n v="0"/>
    <n v="0"/>
    <n v="0"/>
  </r>
  <r>
    <n v="24"/>
    <x v="1"/>
    <x v="2"/>
    <n v="1092"/>
    <x v="1"/>
    <n v="9"/>
    <n v="3"/>
    <s v="Life Sciences"/>
    <n v="1"/>
    <n v="812"/>
    <n v="3"/>
    <x v="1"/>
    <n v="60"/>
    <x v="1"/>
    <n v="1"/>
    <x v="2"/>
    <n v="2"/>
    <x v="2"/>
    <n v="2694"/>
    <n v="26551"/>
    <n v="1"/>
    <s v="Y"/>
    <s v="No"/>
    <n v="11"/>
    <x v="0"/>
    <n v="3"/>
    <n v="80"/>
    <n v="3"/>
    <n v="1"/>
    <n v="4"/>
    <n v="3"/>
    <n v="1"/>
    <n v="0"/>
    <n v="0"/>
    <n v="0"/>
  </r>
  <r>
    <n v="52"/>
    <x v="1"/>
    <x v="0"/>
    <n v="1325"/>
    <x v="1"/>
    <n v="11"/>
    <n v="4"/>
    <s v="Life Sciences"/>
    <n v="1"/>
    <n v="813"/>
    <n v="4"/>
    <x v="0"/>
    <n v="82"/>
    <x v="0"/>
    <n v="2"/>
    <x v="2"/>
    <n v="3"/>
    <x v="1"/>
    <n v="3149"/>
    <n v="21821"/>
    <n v="8"/>
    <s v="Y"/>
    <s v="No"/>
    <n v="20"/>
    <x v="1"/>
    <n v="2"/>
    <n v="80"/>
    <n v="1"/>
    <n v="9"/>
    <n v="3"/>
    <n v="3"/>
    <n v="5"/>
    <n v="2"/>
    <n v="1"/>
    <n v="4"/>
  </r>
  <r>
    <n v="50"/>
    <x v="1"/>
    <x v="0"/>
    <n v="691"/>
    <x v="1"/>
    <n v="2"/>
    <n v="3"/>
    <s v="Medical"/>
    <n v="1"/>
    <n v="815"/>
    <n v="3"/>
    <x v="1"/>
    <n v="64"/>
    <x v="0"/>
    <n v="4"/>
    <x v="7"/>
    <n v="3"/>
    <x v="1"/>
    <n v="17639"/>
    <n v="6881"/>
    <n v="5"/>
    <s v="Y"/>
    <s v="No"/>
    <n v="16"/>
    <x v="0"/>
    <n v="4"/>
    <n v="80"/>
    <n v="0"/>
    <n v="30"/>
    <n v="3"/>
    <n v="3"/>
    <n v="4"/>
    <n v="3"/>
    <n v="0"/>
    <n v="3"/>
  </r>
  <r>
    <n v="29"/>
    <x v="0"/>
    <x v="0"/>
    <n v="805"/>
    <x v="1"/>
    <n v="1"/>
    <n v="2"/>
    <s v="Life Sciences"/>
    <n v="1"/>
    <n v="816"/>
    <n v="2"/>
    <x v="0"/>
    <n v="36"/>
    <x v="1"/>
    <n v="1"/>
    <x v="2"/>
    <n v="1"/>
    <x v="1"/>
    <n v="2319"/>
    <n v="6689"/>
    <n v="1"/>
    <s v="Y"/>
    <s v="Yes"/>
    <n v="11"/>
    <x v="0"/>
    <n v="4"/>
    <n v="80"/>
    <n v="1"/>
    <n v="1"/>
    <n v="1"/>
    <n v="3"/>
    <n v="1"/>
    <n v="0"/>
    <n v="0"/>
    <n v="0"/>
  </r>
  <r>
    <n v="33"/>
    <x v="1"/>
    <x v="0"/>
    <n v="213"/>
    <x v="1"/>
    <n v="7"/>
    <n v="3"/>
    <s v="Medical"/>
    <n v="1"/>
    <n v="817"/>
    <n v="3"/>
    <x v="1"/>
    <n v="49"/>
    <x v="0"/>
    <n v="3"/>
    <x v="7"/>
    <n v="3"/>
    <x v="1"/>
    <n v="11691"/>
    <n v="25995"/>
    <n v="0"/>
    <s v="Y"/>
    <s v="No"/>
    <n v="11"/>
    <x v="0"/>
    <n v="4"/>
    <n v="80"/>
    <n v="0"/>
    <n v="14"/>
    <n v="3"/>
    <n v="4"/>
    <n v="13"/>
    <n v="9"/>
    <n v="3"/>
    <n v="7"/>
  </r>
  <r>
    <n v="33"/>
    <x v="0"/>
    <x v="0"/>
    <n v="118"/>
    <x v="0"/>
    <n v="16"/>
    <n v="3"/>
    <s v="Marketing"/>
    <n v="1"/>
    <n v="819"/>
    <n v="1"/>
    <x v="0"/>
    <n v="69"/>
    <x v="0"/>
    <n v="2"/>
    <x v="0"/>
    <n v="1"/>
    <x v="0"/>
    <n v="5324"/>
    <n v="26507"/>
    <n v="5"/>
    <s v="Y"/>
    <s v="No"/>
    <n v="15"/>
    <x v="0"/>
    <n v="3"/>
    <n v="80"/>
    <n v="0"/>
    <n v="6"/>
    <n v="3"/>
    <n v="3"/>
    <n v="3"/>
    <n v="2"/>
    <n v="0"/>
    <n v="2"/>
  </r>
  <r>
    <n v="47"/>
    <x v="1"/>
    <x v="0"/>
    <n v="202"/>
    <x v="1"/>
    <n v="2"/>
    <n v="2"/>
    <s v="Other"/>
    <n v="1"/>
    <n v="820"/>
    <n v="3"/>
    <x v="0"/>
    <n v="33"/>
    <x v="0"/>
    <n v="4"/>
    <x v="5"/>
    <n v="4"/>
    <x v="1"/>
    <n v="16752"/>
    <n v="12982"/>
    <n v="1"/>
    <s v="Y"/>
    <s v="Yes"/>
    <n v="11"/>
    <x v="0"/>
    <n v="3"/>
    <n v="80"/>
    <n v="1"/>
    <n v="26"/>
    <n v="3"/>
    <n v="2"/>
    <n v="26"/>
    <n v="14"/>
    <n v="3"/>
    <n v="0"/>
  </r>
  <r>
    <n v="36"/>
    <x v="1"/>
    <x v="0"/>
    <n v="676"/>
    <x v="1"/>
    <n v="1"/>
    <n v="3"/>
    <s v="Other"/>
    <n v="1"/>
    <n v="823"/>
    <n v="3"/>
    <x v="0"/>
    <n v="35"/>
    <x v="0"/>
    <n v="2"/>
    <x v="3"/>
    <n v="2"/>
    <x v="1"/>
    <n v="5228"/>
    <n v="23361"/>
    <n v="0"/>
    <s v="Y"/>
    <s v="No"/>
    <n v="15"/>
    <x v="0"/>
    <n v="1"/>
    <n v="80"/>
    <n v="1"/>
    <n v="10"/>
    <n v="2"/>
    <n v="3"/>
    <n v="9"/>
    <n v="7"/>
    <n v="0"/>
    <n v="5"/>
  </r>
  <r>
    <n v="29"/>
    <x v="1"/>
    <x v="0"/>
    <n v="1252"/>
    <x v="1"/>
    <n v="23"/>
    <n v="2"/>
    <s v="Life Sciences"/>
    <n v="1"/>
    <n v="824"/>
    <n v="3"/>
    <x v="1"/>
    <n v="81"/>
    <x v="2"/>
    <n v="1"/>
    <x v="1"/>
    <n v="3"/>
    <x v="1"/>
    <n v="2700"/>
    <n v="23779"/>
    <n v="1"/>
    <s v="Y"/>
    <s v="No"/>
    <n v="24"/>
    <x v="1"/>
    <n v="3"/>
    <n v="80"/>
    <n v="1"/>
    <n v="10"/>
    <n v="3"/>
    <n v="3"/>
    <n v="10"/>
    <n v="7"/>
    <n v="0"/>
    <n v="7"/>
  </r>
  <r>
    <n v="58"/>
    <x v="0"/>
    <x v="0"/>
    <n v="286"/>
    <x v="1"/>
    <n v="2"/>
    <n v="4"/>
    <s v="Life Sciences"/>
    <n v="1"/>
    <n v="825"/>
    <n v="4"/>
    <x v="1"/>
    <n v="31"/>
    <x v="0"/>
    <n v="5"/>
    <x v="7"/>
    <n v="2"/>
    <x v="0"/>
    <n v="19246"/>
    <n v="25761"/>
    <n v="7"/>
    <s v="Y"/>
    <s v="Yes"/>
    <n v="12"/>
    <x v="0"/>
    <n v="4"/>
    <n v="80"/>
    <n v="0"/>
    <n v="40"/>
    <n v="2"/>
    <n v="3"/>
    <n v="31"/>
    <n v="15"/>
    <n v="13"/>
    <n v="8"/>
  </r>
  <r>
    <n v="35"/>
    <x v="1"/>
    <x v="0"/>
    <n v="1258"/>
    <x v="1"/>
    <n v="1"/>
    <n v="4"/>
    <s v="Life Sciences"/>
    <n v="1"/>
    <n v="826"/>
    <n v="4"/>
    <x v="0"/>
    <n v="40"/>
    <x v="2"/>
    <n v="1"/>
    <x v="1"/>
    <n v="3"/>
    <x v="0"/>
    <n v="2506"/>
    <n v="13301"/>
    <n v="3"/>
    <s v="Y"/>
    <s v="No"/>
    <n v="13"/>
    <x v="0"/>
    <n v="3"/>
    <n v="80"/>
    <n v="0"/>
    <n v="7"/>
    <n v="0"/>
    <n v="3"/>
    <n v="2"/>
    <n v="2"/>
    <n v="2"/>
    <n v="2"/>
  </r>
  <r>
    <n v="42"/>
    <x v="1"/>
    <x v="0"/>
    <n v="932"/>
    <x v="1"/>
    <n v="1"/>
    <n v="2"/>
    <s v="Life Sciences"/>
    <n v="1"/>
    <n v="827"/>
    <n v="4"/>
    <x v="0"/>
    <n v="43"/>
    <x v="1"/>
    <n v="2"/>
    <x v="3"/>
    <n v="4"/>
    <x v="1"/>
    <n v="6062"/>
    <n v="4051"/>
    <n v="9"/>
    <s v="Y"/>
    <s v="Yes"/>
    <n v="13"/>
    <x v="0"/>
    <n v="4"/>
    <n v="80"/>
    <n v="1"/>
    <n v="8"/>
    <n v="4"/>
    <n v="3"/>
    <n v="4"/>
    <n v="3"/>
    <n v="0"/>
    <n v="2"/>
  </r>
  <r>
    <n v="28"/>
    <x v="0"/>
    <x v="0"/>
    <n v="890"/>
    <x v="1"/>
    <n v="2"/>
    <n v="4"/>
    <s v="Medical"/>
    <n v="1"/>
    <n v="828"/>
    <n v="3"/>
    <x v="1"/>
    <n v="46"/>
    <x v="0"/>
    <n v="1"/>
    <x v="1"/>
    <n v="3"/>
    <x v="0"/>
    <n v="4382"/>
    <n v="16374"/>
    <n v="6"/>
    <s v="Y"/>
    <s v="No"/>
    <n v="17"/>
    <x v="0"/>
    <n v="4"/>
    <n v="80"/>
    <n v="0"/>
    <n v="5"/>
    <n v="3"/>
    <n v="2"/>
    <n v="2"/>
    <n v="2"/>
    <n v="2"/>
    <n v="1"/>
  </r>
  <r>
    <n v="36"/>
    <x v="1"/>
    <x v="0"/>
    <n v="1041"/>
    <x v="2"/>
    <n v="13"/>
    <n v="3"/>
    <s v="Human Resources"/>
    <n v="1"/>
    <n v="829"/>
    <n v="3"/>
    <x v="1"/>
    <n v="36"/>
    <x v="0"/>
    <n v="1"/>
    <x v="8"/>
    <n v="2"/>
    <x v="1"/>
    <n v="2143"/>
    <n v="25527"/>
    <n v="4"/>
    <s v="Y"/>
    <s v="No"/>
    <n v="13"/>
    <x v="0"/>
    <n v="2"/>
    <n v="80"/>
    <n v="1"/>
    <n v="8"/>
    <n v="2"/>
    <n v="3"/>
    <n v="5"/>
    <n v="2"/>
    <n v="0"/>
    <n v="4"/>
  </r>
  <r>
    <n v="32"/>
    <x v="1"/>
    <x v="0"/>
    <n v="859"/>
    <x v="1"/>
    <n v="4"/>
    <n v="3"/>
    <s v="Life Sciences"/>
    <n v="1"/>
    <n v="830"/>
    <n v="3"/>
    <x v="0"/>
    <n v="98"/>
    <x v="1"/>
    <n v="2"/>
    <x v="3"/>
    <n v="3"/>
    <x v="1"/>
    <n v="6162"/>
    <n v="19124"/>
    <n v="1"/>
    <s v="Y"/>
    <s v="No"/>
    <n v="12"/>
    <x v="0"/>
    <n v="3"/>
    <n v="80"/>
    <n v="1"/>
    <n v="14"/>
    <n v="3"/>
    <n v="3"/>
    <n v="14"/>
    <n v="13"/>
    <n v="6"/>
    <n v="8"/>
  </r>
  <r>
    <n v="40"/>
    <x v="1"/>
    <x v="1"/>
    <n v="720"/>
    <x v="1"/>
    <n v="16"/>
    <n v="4"/>
    <s v="Medical"/>
    <n v="1"/>
    <n v="832"/>
    <n v="1"/>
    <x v="1"/>
    <n v="51"/>
    <x v="1"/>
    <n v="2"/>
    <x v="2"/>
    <n v="3"/>
    <x v="0"/>
    <n v="5094"/>
    <n v="11983"/>
    <n v="6"/>
    <s v="Y"/>
    <s v="No"/>
    <n v="14"/>
    <x v="0"/>
    <n v="4"/>
    <n v="80"/>
    <n v="0"/>
    <n v="10"/>
    <n v="6"/>
    <n v="3"/>
    <n v="1"/>
    <n v="0"/>
    <n v="0"/>
    <n v="0"/>
  </r>
  <r>
    <n v="30"/>
    <x v="1"/>
    <x v="0"/>
    <n v="946"/>
    <x v="1"/>
    <n v="2"/>
    <n v="3"/>
    <s v="Medical"/>
    <n v="1"/>
    <n v="833"/>
    <n v="3"/>
    <x v="0"/>
    <n v="52"/>
    <x v="1"/>
    <n v="2"/>
    <x v="3"/>
    <n v="4"/>
    <x v="0"/>
    <n v="6877"/>
    <n v="20234"/>
    <n v="5"/>
    <s v="Y"/>
    <s v="Yes"/>
    <n v="24"/>
    <x v="1"/>
    <n v="2"/>
    <n v="80"/>
    <n v="0"/>
    <n v="12"/>
    <n v="4"/>
    <n v="2"/>
    <n v="0"/>
    <n v="0"/>
    <n v="0"/>
    <n v="0"/>
  </r>
  <r>
    <n v="45"/>
    <x v="1"/>
    <x v="0"/>
    <n v="252"/>
    <x v="1"/>
    <n v="2"/>
    <n v="3"/>
    <s v="Life Sciences"/>
    <n v="1"/>
    <n v="834"/>
    <n v="2"/>
    <x v="0"/>
    <n v="95"/>
    <x v="1"/>
    <n v="1"/>
    <x v="1"/>
    <n v="3"/>
    <x v="0"/>
    <n v="2274"/>
    <n v="6153"/>
    <n v="1"/>
    <s v="Y"/>
    <s v="No"/>
    <n v="14"/>
    <x v="0"/>
    <n v="4"/>
    <n v="80"/>
    <n v="0"/>
    <n v="1"/>
    <n v="3"/>
    <n v="3"/>
    <n v="1"/>
    <n v="0"/>
    <n v="0"/>
    <n v="0"/>
  </r>
  <r>
    <n v="42"/>
    <x v="1"/>
    <x v="0"/>
    <n v="933"/>
    <x v="1"/>
    <n v="29"/>
    <n v="3"/>
    <s v="Life Sciences"/>
    <n v="1"/>
    <n v="836"/>
    <n v="2"/>
    <x v="1"/>
    <n v="98"/>
    <x v="0"/>
    <n v="2"/>
    <x v="3"/>
    <n v="2"/>
    <x v="1"/>
    <n v="4434"/>
    <n v="11806"/>
    <n v="1"/>
    <s v="Y"/>
    <s v="No"/>
    <n v="13"/>
    <x v="0"/>
    <n v="4"/>
    <n v="80"/>
    <n v="1"/>
    <n v="10"/>
    <n v="3"/>
    <n v="2"/>
    <n v="9"/>
    <n v="8"/>
    <n v="7"/>
    <n v="8"/>
  </r>
  <r>
    <n v="38"/>
    <x v="1"/>
    <x v="1"/>
    <n v="471"/>
    <x v="1"/>
    <n v="12"/>
    <n v="3"/>
    <s v="Life Sciences"/>
    <n v="1"/>
    <n v="837"/>
    <n v="1"/>
    <x v="1"/>
    <n v="45"/>
    <x v="1"/>
    <n v="2"/>
    <x v="4"/>
    <n v="1"/>
    <x v="2"/>
    <n v="6288"/>
    <n v="4284"/>
    <n v="2"/>
    <s v="Y"/>
    <s v="No"/>
    <n v="15"/>
    <x v="0"/>
    <n v="3"/>
    <n v="80"/>
    <n v="1"/>
    <n v="13"/>
    <n v="3"/>
    <n v="2"/>
    <n v="4"/>
    <n v="3"/>
    <n v="1"/>
    <n v="2"/>
  </r>
  <r>
    <n v="34"/>
    <x v="1"/>
    <x v="1"/>
    <n v="702"/>
    <x v="1"/>
    <n v="16"/>
    <n v="4"/>
    <s v="Life Sciences"/>
    <n v="1"/>
    <n v="838"/>
    <n v="3"/>
    <x v="0"/>
    <n v="100"/>
    <x v="1"/>
    <n v="1"/>
    <x v="1"/>
    <n v="4"/>
    <x v="0"/>
    <n v="2553"/>
    <n v="8306"/>
    <n v="1"/>
    <s v="Y"/>
    <s v="No"/>
    <n v="16"/>
    <x v="0"/>
    <n v="3"/>
    <n v="80"/>
    <n v="0"/>
    <n v="6"/>
    <n v="3"/>
    <n v="3"/>
    <n v="5"/>
    <n v="2"/>
    <n v="1"/>
    <n v="3"/>
  </r>
  <r>
    <n v="49"/>
    <x v="0"/>
    <x v="0"/>
    <n v="1184"/>
    <x v="0"/>
    <n v="11"/>
    <n v="3"/>
    <s v="Marketing"/>
    <n v="1"/>
    <n v="840"/>
    <n v="3"/>
    <x v="0"/>
    <n v="43"/>
    <x v="0"/>
    <n v="3"/>
    <x v="0"/>
    <n v="4"/>
    <x v="1"/>
    <n v="7654"/>
    <n v="5860"/>
    <n v="1"/>
    <s v="Y"/>
    <s v="No"/>
    <n v="18"/>
    <x v="0"/>
    <n v="1"/>
    <n v="80"/>
    <n v="2"/>
    <n v="9"/>
    <n v="3"/>
    <n v="4"/>
    <n v="9"/>
    <n v="8"/>
    <n v="7"/>
    <n v="7"/>
  </r>
  <r>
    <n v="55"/>
    <x v="0"/>
    <x v="0"/>
    <n v="436"/>
    <x v="0"/>
    <n v="2"/>
    <n v="1"/>
    <s v="Medical"/>
    <n v="1"/>
    <n v="842"/>
    <n v="3"/>
    <x v="1"/>
    <n v="37"/>
    <x v="0"/>
    <n v="2"/>
    <x v="0"/>
    <n v="4"/>
    <x v="0"/>
    <n v="5160"/>
    <n v="21519"/>
    <n v="4"/>
    <s v="Y"/>
    <s v="No"/>
    <n v="16"/>
    <x v="0"/>
    <n v="3"/>
    <n v="80"/>
    <n v="0"/>
    <n v="12"/>
    <n v="3"/>
    <n v="2"/>
    <n v="9"/>
    <n v="7"/>
    <n v="7"/>
    <n v="3"/>
  </r>
  <r>
    <n v="43"/>
    <x v="1"/>
    <x v="0"/>
    <n v="589"/>
    <x v="1"/>
    <n v="14"/>
    <n v="2"/>
    <s v="Life Sciences"/>
    <n v="1"/>
    <n v="843"/>
    <n v="2"/>
    <x v="1"/>
    <n v="94"/>
    <x v="0"/>
    <n v="4"/>
    <x v="7"/>
    <n v="1"/>
    <x v="1"/>
    <n v="17159"/>
    <n v="5200"/>
    <n v="6"/>
    <s v="Y"/>
    <s v="No"/>
    <n v="24"/>
    <x v="1"/>
    <n v="3"/>
    <n v="80"/>
    <n v="1"/>
    <n v="22"/>
    <n v="3"/>
    <n v="3"/>
    <n v="4"/>
    <n v="1"/>
    <n v="1"/>
    <n v="0"/>
  </r>
  <r>
    <n v="27"/>
    <x v="1"/>
    <x v="0"/>
    <n v="269"/>
    <x v="1"/>
    <n v="5"/>
    <n v="1"/>
    <s v="Technical Degree"/>
    <n v="1"/>
    <n v="844"/>
    <n v="3"/>
    <x v="1"/>
    <n v="42"/>
    <x v="1"/>
    <n v="3"/>
    <x v="7"/>
    <n v="4"/>
    <x v="2"/>
    <n v="12808"/>
    <n v="8842"/>
    <n v="1"/>
    <s v="Y"/>
    <s v="Yes"/>
    <n v="16"/>
    <x v="0"/>
    <n v="2"/>
    <n v="80"/>
    <n v="1"/>
    <n v="9"/>
    <n v="3"/>
    <n v="3"/>
    <n v="9"/>
    <n v="8"/>
    <n v="0"/>
    <n v="8"/>
  </r>
  <r>
    <n v="35"/>
    <x v="1"/>
    <x v="0"/>
    <n v="950"/>
    <x v="1"/>
    <n v="7"/>
    <n v="3"/>
    <s v="Other"/>
    <n v="1"/>
    <n v="845"/>
    <n v="3"/>
    <x v="1"/>
    <n v="59"/>
    <x v="0"/>
    <n v="3"/>
    <x v="3"/>
    <n v="3"/>
    <x v="0"/>
    <n v="10221"/>
    <n v="18869"/>
    <n v="3"/>
    <s v="Y"/>
    <s v="No"/>
    <n v="21"/>
    <x v="1"/>
    <n v="2"/>
    <n v="80"/>
    <n v="0"/>
    <n v="17"/>
    <n v="3"/>
    <n v="4"/>
    <n v="8"/>
    <n v="5"/>
    <n v="1"/>
    <n v="6"/>
  </r>
  <r>
    <n v="28"/>
    <x v="1"/>
    <x v="0"/>
    <n v="760"/>
    <x v="0"/>
    <n v="2"/>
    <n v="4"/>
    <s v="Marketing"/>
    <n v="1"/>
    <n v="846"/>
    <n v="2"/>
    <x v="0"/>
    <n v="81"/>
    <x v="0"/>
    <n v="2"/>
    <x v="0"/>
    <n v="2"/>
    <x v="1"/>
    <n v="4779"/>
    <n v="3698"/>
    <n v="1"/>
    <s v="Y"/>
    <s v="Yes"/>
    <n v="20"/>
    <x v="1"/>
    <n v="1"/>
    <n v="80"/>
    <n v="0"/>
    <n v="8"/>
    <n v="2"/>
    <n v="3"/>
    <n v="8"/>
    <n v="7"/>
    <n v="7"/>
    <n v="5"/>
  </r>
  <r>
    <n v="34"/>
    <x v="1"/>
    <x v="0"/>
    <n v="829"/>
    <x v="2"/>
    <n v="3"/>
    <n v="2"/>
    <s v="Human Resources"/>
    <n v="1"/>
    <n v="847"/>
    <n v="3"/>
    <x v="1"/>
    <n v="88"/>
    <x v="0"/>
    <n v="1"/>
    <x v="8"/>
    <n v="4"/>
    <x v="1"/>
    <n v="3737"/>
    <n v="2243"/>
    <n v="0"/>
    <s v="Y"/>
    <s v="No"/>
    <n v="19"/>
    <x v="0"/>
    <n v="3"/>
    <n v="80"/>
    <n v="1"/>
    <n v="4"/>
    <n v="1"/>
    <n v="1"/>
    <n v="3"/>
    <n v="2"/>
    <n v="0"/>
    <n v="2"/>
  </r>
  <r>
    <n v="26"/>
    <x v="0"/>
    <x v="1"/>
    <n v="887"/>
    <x v="1"/>
    <n v="5"/>
    <n v="2"/>
    <s v="Medical"/>
    <n v="1"/>
    <n v="848"/>
    <n v="3"/>
    <x v="0"/>
    <n v="88"/>
    <x v="1"/>
    <n v="1"/>
    <x v="1"/>
    <n v="3"/>
    <x v="1"/>
    <n v="2366"/>
    <n v="20898"/>
    <n v="1"/>
    <s v="Y"/>
    <s v="Yes"/>
    <n v="14"/>
    <x v="0"/>
    <n v="1"/>
    <n v="80"/>
    <n v="1"/>
    <n v="8"/>
    <n v="2"/>
    <n v="3"/>
    <n v="8"/>
    <n v="7"/>
    <n v="1"/>
    <n v="7"/>
  </r>
  <r>
    <n v="27"/>
    <x v="1"/>
    <x v="2"/>
    <n v="443"/>
    <x v="1"/>
    <n v="3"/>
    <n v="3"/>
    <s v="Medical"/>
    <n v="1"/>
    <n v="850"/>
    <n v="4"/>
    <x v="1"/>
    <n v="50"/>
    <x v="0"/>
    <n v="1"/>
    <x v="1"/>
    <n v="4"/>
    <x v="1"/>
    <n v="1706"/>
    <n v="16571"/>
    <n v="1"/>
    <s v="Y"/>
    <s v="No"/>
    <n v="11"/>
    <x v="0"/>
    <n v="3"/>
    <n v="80"/>
    <n v="3"/>
    <n v="0"/>
    <n v="6"/>
    <n v="2"/>
    <n v="0"/>
    <n v="0"/>
    <n v="0"/>
    <n v="0"/>
  </r>
  <r>
    <n v="51"/>
    <x v="1"/>
    <x v="0"/>
    <n v="1318"/>
    <x v="0"/>
    <n v="26"/>
    <n v="4"/>
    <s v="Marketing"/>
    <n v="1"/>
    <n v="851"/>
    <n v="1"/>
    <x v="0"/>
    <n v="66"/>
    <x v="0"/>
    <n v="4"/>
    <x v="5"/>
    <n v="3"/>
    <x v="1"/>
    <n v="16307"/>
    <n v="5594"/>
    <n v="2"/>
    <s v="Y"/>
    <s v="No"/>
    <n v="14"/>
    <x v="0"/>
    <n v="3"/>
    <n v="80"/>
    <n v="1"/>
    <n v="29"/>
    <n v="2"/>
    <n v="2"/>
    <n v="20"/>
    <n v="6"/>
    <n v="4"/>
    <n v="17"/>
  </r>
  <r>
    <n v="44"/>
    <x v="1"/>
    <x v="0"/>
    <n v="625"/>
    <x v="1"/>
    <n v="4"/>
    <n v="3"/>
    <s v="Medical"/>
    <n v="1"/>
    <n v="852"/>
    <n v="4"/>
    <x v="1"/>
    <n v="50"/>
    <x v="0"/>
    <n v="2"/>
    <x v="4"/>
    <n v="2"/>
    <x v="0"/>
    <n v="5933"/>
    <n v="5197"/>
    <n v="9"/>
    <s v="Y"/>
    <s v="No"/>
    <n v="12"/>
    <x v="0"/>
    <n v="4"/>
    <n v="80"/>
    <n v="0"/>
    <n v="10"/>
    <n v="2"/>
    <n v="2"/>
    <n v="5"/>
    <n v="2"/>
    <n v="2"/>
    <n v="3"/>
  </r>
  <r>
    <n v="25"/>
    <x v="1"/>
    <x v="0"/>
    <n v="180"/>
    <x v="1"/>
    <n v="2"/>
    <n v="1"/>
    <s v="Medical"/>
    <n v="1"/>
    <n v="854"/>
    <n v="1"/>
    <x v="1"/>
    <n v="65"/>
    <x v="2"/>
    <n v="1"/>
    <x v="1"/>
    <n v="1"/>
    <x v="0"/>
    <n v="3424"/>
    <n v="21632"/>
    <n v="7"/>
    <s v="Y"/>
    <s v="No"/>
    <n v="13"/>
    <x v="0"/>
    <n v="3"/>
    <n v="80"/>
    <n v="0"/>
    <n v="6"/>
    <n v="3"/>
    <n v="2"/>
    <n v="4"/>
    <n v="3"/>
    <n v="0"/>
    <n v="1"/>
  </r>
  <r>
    <n v="33"/>
    <x v="1"/>
    <x v="0"/>
    <n v="586"/>
    <x v="0"/>
    <n v="1"/>
    <n v="3"/>
    <s v="Medical"/>
    <n v="1"/>
    <n v="855"/>
    <n v="1"/>
    <x v="1"/>
    <n v="48"/>
    <x v="2"/>
    <n v="2"/>
    <x v="0"/>
    <n v="1"/>
    <x v="2"/>
    <n v="4037"/>
    <n v="21816"/>
    <n v="1"/>
    <s v="Y"/>
    <s v="No"/>
    <n v="22"/>
    <x v="1"/>
    <n v="1"/>
    <n v="80"/>
    <n v="1"/>
    <n v="9"/>
    <n v="5"/>
    <n v="3"/>
    <n v="9"/>
    <n v="8"/>
    <n v="0"/>
    <n v="8"/>
  </r>
  <r>
    <n v="35"/>
    <x v="1"/>
    <x v="0"/>
    <n v="1343"/>
    <x v="1"/>
    <n v="27"/>
    <n v="1"/>
    <s v="Medical"/>
    <n v="1"/>
    <n v="856"/>
    <n v="3"/>
    <x v="0"/>
    <n v="53"/>
    <x v="1"/>
    <n v="1"/>
    <x v="1"/>
    <n v="1"/>
    <x v="0"/>
    <n v="2559"/>
    <n v="17852"/>
    <n v="1"/>
    <s v="Y"/>
    <s v="No"/>
    <n v="11"/>
    <x v="0"/>
    <n v="4"/>
    <n v="80"/>
    <n v="0"/>
    <n v="6"/>
    <n v="3"/>
    <n v="2"/>
    <n v="6"/>
    <n v="5"/>
    <n v="1"/>
    <n v="1"/>
  </r>
  <r>
    <n v="36"/>
    <x v="1"/>
    <x v="0"/>
    <n v="928"/>
    <x v="0"/>
    <n v="1"/>
    <n v="2"/>
    <s v="Life Sciences"/>
    <n v="1"/>
    <n v="857"/>
    <n v="2"/>
    <x v="1"/>
    <n v="56"/>
    <x v="0"/>
    <n v="2"/>
    <x v="0"/>
    <n v="4"/>
    <x v="1"/>
    <n v="6201"/>
    <n v="2823"/>
    <n v="1"/>
    <s v="Y"/>
    <s v="Yes"/>
    <n v="14"/>
    <x v="0"/>
    <n v="4"/>
    <n v="80"/>
    <n v="1"/>
    <n v="18"/>
    <n v="1"/>
    <n v="2"/>
    <n v="18"/>
    <n v="14"/>
    <n v="4"/>
    <n v="11"/>
  </r>
  <r>
    <n v="32"/>
    <x v="1"/>
    <x v="0"/>
    <n v="117"/>
    <x v="0"/>
    <n v="13"/>
    <n v="4"/>
    <s v="Life Sciences"/>
    <n v="1"/>
    <n v="859"/>
    <n v="2"/>
    <x v="1"/>
    <n v="73"/>
    <x v="0"/>
    <n v="2"/>
    <x v="0"/>
    <n v="4"/>
    <x v="2"/>
    <n v="4403"/>
    <n v="9250"/>
    <n v="2"/>
    <s v="Y"/>
    <s v="No"/>
    <n v="11"/>
    <x v="0"/>
    <n v="3"/>
    <n v="80"/>
    <n v="1"/>
    <n v="8"/>
    <n v="3"/>
    <n v="2"/>
    <n v="5"/>
    <n v="2"/>
    <n v="0"/>
    <n v="3"/>
  </r>
  <r>
    <n v="30"/>
    <x v="1"/>
    <x v="1"/>
    <n v="1012"/>
    <x v="1"/>
    <n v="5"/>
    <n v="4"/>
    <s v="Life Sciences"/>
    <n v="1"/>
    <n v="861"/>
    <n v="2"/>
    <x v="1"/>
    <n v="75"/>
    <x v="1"/>
    <n v="1"/>
    <x v="1"/>
    <n v="4"/>
    <x v="2"/>
    <n v="3761"/>
    <n v="2373"/>
    <n v="9"/>
    <s v="Y"/>
    <s v="No"/>
    <n v="12"/>
    <x v="0"/>
    <n v="2"/>
    <n v="80"/>
    <n v="1"/>
    <n v="10"/>
    <n v="3"/>
    <n v="2"/>
    <n v="5"/>
    <n v="4"/>
    <n v="0"/>
    <n v="3"/>
  </r>
  <r>
    <n v="53"/>
    <x v="1"/>
    <x v="0"/>
    <n v="661"/>
    <x v="0"/>
    <n v="7"/>
    <n v="2"/>
    <s v="Marketing"/>
    <n v="1"/>
    <n v="862"/>
    <n v="1"/>
    <x v="0"/>
    <n v="78"/>
    <x v="1"/>
    <n v="3"/>
    <x v="0"/>
    <n v="4"/>
    <x v="1"/>
    <n v="10934"/>
    <n v="20715"/>
    <n v="7"/>
    <s v="Y"/>
    <s v="Yes"/>
    <n v="18"/>
    <x v="0"/>
    <n v="4"/>
    <n v="80"/>
    <n v="1"/>
    <n v="35"/>
    <n v="3"/>
    <n v="3"/>
    <n v="5"/>
    <n v="2"/>
    <n v="0"/>
    <n v="4"/>
  </r>
  <r>
    <n v="45"/>
    <x v="1"/>
    <x v="0"/>
    <n v="930"/>
    <x v="0"/>
    <n v="9"/>
    <n v="3"/>
    <s v="Marketing"/>
    <n v="1"/>
    <n v="864"/>
    <n v="4"/>
    <x v="1"/>
    <n v="74"/>
    <x v="0"/>
    <n v="3"/>
    <x v="0"/>
    <n v="1"/>
    <x v="2"/>
    <n v="10761"/>
    <n v="19239"/>
    <n v="4"/>
    <s v="Y"/>
    <s v="Yes"/>
    <n v="12"/>
    <x v="0"/>
    <n v="3"/>
    <n v="80"/>
    <n v="1"/>
    <n v="18"/>
    <n v="2"/>
    <n v="3"/>
    <n v="5"/>
    <n v="4"/>
    <n v="0"/>
    <n v="2"/>
  </r>
  <r>
    <n v="32"/>
    <x v="1"/>
    <x v="0"/>
    <n v="638"/>
    <x v="1"/>
    <n v="8"/>
    <n v="2"/>
    <s v="Medical"/>
    <n v="1"/>
    <n v="865"/>
    <n v="3"/>
    <x v="0"/>
    <n v="91"/>
    <x v="2"/>
    <n v="2"/>
    <x v="1"/>
    <n v="3"/>
    <x v="1"/>
    <n v="5175"/>
    <n v="22162"/>
    <n v="5"/>
    <s v="Y"/>
    <s v="No"/>
    <n v="12"/>
    <x v="0"/>
    <n v="3"/>
    <n v="80"/>
    <n v="1"/>
    <n v="9"/>
    <n v="3"/>
    <n v="2"/>
    <n v="5"/>
    <n v="3"/>
    <n v="1"/>
    <n v="3"/>
  </r>
  <r>
    <n v="52"/>
    <x v="1"/>
    <x v="1"/>
    <n v="890"/>
    <x v="1"/>
    <n v="25"/>
    <n v="4"/>
    <s v="Medical"/>
    <n v="1"/>
    <n v="867"/>
    <n v="3"/>
    <x v="0"/>
    <n v="81"/>
    <x v="1"/>
    <n v="4"/>
    <x v="3"/>
    <n v="4"/>
    <x v="1"/>
    <n v="13826"/>
    <n v="19028"/>
    <n v="3"/>
    <s v="Y"/>
    <s v="No"/>
    <n v="22"/>
    <x v="1"/>
    <n v="3"/>
    <n v="80"/>
    <n v="0"/>
    <n v="31"/>
    <n v="3"/>
    <n v="3"/>
    <n v="9"/>
    <n v="8"/>
    <n v="0"/>
    <n v="0"/>
  </r>
  <r>
    <n v="37"/>
    <x v="1"/>
    <x v="0"/>
    <n v="342"/>
    <x v="0"/>
    <n v="16"/>
    <n v="4"/>
    <s v="Marketing"/>
    <n v="1"/>
    <n v="868"/>
    <n v="4"/>
    <x v="1"/>
    <n v="66"/>
    <x v="1"/>
    <n v="2"/>
    <x v="0"/>
    <n v="3"/>
    <x v="2"/>
    <n v="6334"/>
    <n v="24558"/>
    <n v="4"/>
    <s v="Y"/>
    <s v="No"/>
    <n v="19"/>
    <x v="0"/>
    <n v="4"/>
    <n v="80"/>
    <n v="2"/>
    <n v="9"/>
    <n v="2"/>
    <n v="3"/>
    <n v="1"/>
    <n v="0"/>
    <n v="0"/>
    <n v="0"/>
  </r>
  <r>
    <n v="28"/>
    <x v="1"/>
    <x v="0"/>
    <n v="1169"/>
    <x v="2"/>
    <n v="8"/>
    <n v="2"/>
    <s v="Medical"/>
    <n v="1"/>
    <n v="869"/>
    <n v="2"/>
    <x v="1"/>
    <n v="63"/>
    <x v="1"/>
    <n v="1"/>
    <x v="8"/>
    <n v="4"/>
    <x v="2"/>
    <n v="4936"/>
    <n v="23965"/>
    <n v="1"/>
    <s v="Y"/>
    <s v="No"/>
    <n v="13"/>
    <x v="0"/>
    <n v="4"/>
    <n v="80"/>
    <n v="1"/>
    <n v="6"/>
    <n v="6"/>
    <n v="3"/>
    <n v="5"/>
    <n v="1"/>
    <n v="0"/>
    <n v="4"/>
  </r>
  <r>
    <n v="22"/>
    <x v="1"/>
    <x v="0"/>
    <n v="1230"/>
    <x v="1"/>
    <n v="1"/>
    <n v="2"/>
    <s v="Life Sciences"/>
    <n v="1"/>
    <n v="872"/>
    <n v="4"/>
    <x v="1"/>
    <n v="33"/>
    <x v="1"/>
    <n v="2"/>
    <x v="3"/>
    <n v="4"/>
    <x v="1"/>
    <n v="4775"/>
    <n v="19146"/>
    <n v="6"/>
    <s v="Y"/>
    <s v="No"/>
    <n v="22"/>
    <x v="1"/>
    <n v="1"/>
    <n v="80"/>
    <n v="2"/>
    <n v="4"/>
    <n v="2"/>
    <n v="1"/>
    <n v="2"/>
    <n v="2"/>
    <n v="2"/>
    <n v="2"/>
  </r>
  <r>
    <n v="44"/>
    <x v="1"/>
    <x v="0"/>
    <n v="986"/>
    <x v="1"/>
    <n v="8"/>
    <n v="4"/>
    <s v="Life Sciences"/>
    <n v="1"/>
    <n v="874"/>
    <n v="1"/>
    <x v="1"/>
    <n v="62"/>
    <x v="2"/>
    <n v="1"/>
    <x v="2"/>
    <n v="4"/>
    <x v="1"/>
    <n v="2818"/>
    <n v="5044"/>
    <n v="2"/>
    <s v="Y"/>
    <s v="Yes"/>
    <n v="24"/>
    <x v="1"/>
    <n v="3"/>
    <n v="80"/>
    <n v="1"/>
    <n v="10"/>
    <n v="2"/>
    <n v="2"/>
    <n v="3"/>
    <n v="2"/>
    <n v="0"/>
    <n v="2"/>
  </r>
  <r>
    <n v="42"/>
    <x v="1"/>
    <x v="1"/>
    <n v="1271"/>
    <x v="1"/>
    <n v="2"/>
    <n v="1"/>
    <s v="Medical"/>
    <n v="1"/>
    <n v="875"/>
    <n v="2"/>
    <x v="1"/>
    <n v="35"/>
    <x v="0"/>
    <n v="1"/>
    <x v="1"/>
    <n v="4"/>
    <x v="0"/>
    <n v="2515"/>
    <n v="9068"/>
    <n v="5"/>
    <s v="Y"/>
    <s v="Yes"/>
    <n v="14"/>
    <x v="0"/>
    <n v="4"/>
    <n v="80"/>
    <n v="0"/>
    <n v="8"/>
    <n v="2"/>
    <n v="3"/>
    <n v="2"/>
    <n v="1"/>
    <n v="2"/>
    <n v="2"/>
  </r>
  <r>
    <n v="36"/>
    <x v="1"/>
    <x v="0"/>
    <n v="1278"/>
    <x v="2"/>
    <n v="8"/>
    <n v="3"/>
    <s v="Life Sciences"/>
    <n v="1"/>
    <n v="878"/>
    <n v="1"/>
    <x v="1"/>
    <n v="77"/>
    <x v="1"/>
    <n v="1"/>
    <x v="8"/>
    <n v="1"/>
    <x v="1"/>
    <n v="2342"/>
    <n v="8635"/>
    <n v="0"/>
    <s v="Y"/>
    <s v="No"/>
    <n v="21"/>
    <x v="1"/>
    <n v="3"/>
    <n v="80"/>
    <n v="0"/>
    <n v="6"/>
    <n v="3"/>
    <n v="3"/>
    <n v="5"/>
    <n v="4"/>
    <n v="0"/>
    <n v="3"/>
  </r>
  <r>
    <n v="25"/>
    <x v="1"/>
    <x v="0"/>
    <n v="141"/>
    <x v="0"/>
    <n v="3"/>
    <n v="1"/>
    <s v="Other"/>
    <n v="1"/>
    <n v="879"/>
    <n v="3"/>
    <x v="1"/>
    <n v="98"/>
    <x v="0"/>
    <n v="2"/>
    <x v="0"/>
    <n v="1"/>
    <x v="1"/>
    <n v="4194"/>
    <n v="14363"/>
    <n v="1"/>
    <s v="Y"/>
    <s v="Yes"/>
    <n v="18"/>
    <x v="0"/>
    <n v="4"/>
    <n v="80"/>
    <n v="0"/>
    <n v="5"/>
    <n v="3"/>
    <n v="3"/>
    <n v="5"/>
    <n v="3"/>
    <n v="0"/>
    <n v="3"/>
  </r>
  <r>
    <n v="35"/>
    <x v="1"/>
    <x v="0"/>
    <n v="607"/>
    <x v="1"/>
    <n v="9"/>
    <n v="3"/>
    <s v="Life Sciences"/>
    <n v="1"/>
    <n v="880"/>
    <n v="4"/>
    <x v="0"/>
    <n v="66"/>
    <x v="1"/>
    <n v="3"/>
    <x v="3"/>
    <n v="3"/>
    <x v="1"/>
    <n v="10685"/>
    <n v="23457"/>
    <n v="1"/>
    <s v="Y"/>
    <s v="Yes"/>
    <n v="20"/>
    <x v="1"/>
    <n v="2"/>
    <n v="80"/>
    <n v="1"/>
    <n v="17"/>
    <n v="2"/>
    <n v="3"/>
    <n v="17"/>
    <n v="14"/>
    <n v="5"/>
    <n v="15"/>
  </r>
  <r>
    <n v="35"/>
    <x v="0"/>
    <x v="1"/>
    <n v="130"/>
    <x v="1"/>
    <n v="25"/>
    <n v="4"/>
    <s v="Life Sciences"/>
    <n v="1"/>
    <n v="881"/>
    <n v="4"/>
    <x v="0"/>
    <n v="96"/>
    <x v="0"/>
    <n v="1"/>
    <x v="1"/>
    <n v="2"/>
    <x v="2"/>
    <n v="2022"/>
    <n v="16612"/>
    <n v="1"/>
    <s v="Y"/>
    <s v="Yes"/>
    <n v="19"/>
    <x v="0"/>
    <n v="1"/>
    <n v="80"/>
    <n v="1"/>
    <n v="10"/>
    <n v="3"/>
    <n v="2"/>
    <n v="10"/>
    <n v="2"/>
    <n v="7"/>
    <n v="8"/>
  </r>
  <r>
    <n v="32"/>
    <x v="1"/>
    <x v="2"/>
    <n v="300"/>
    <x v="1"/>
    <n v="1"/>
    <n v="3"/>
    <s v="Life Sciences"/>
    <n v="1"/>
    <n v="882"/>
    <n v="4"/>
    <x v="1"/>
    <n v="61"/>
    <x v="0"/>
    <n v="1"/>
    <x v="2"/>
    <n v="4"/>
    <x v="2"/>
    <n v="2314"/>
    <n v="9148"/>
    <n v="0"/>
    <s v="Y"/>
    <s v="No"/>
    <n v="12"/>
    <x v="0"/>
    <n v="2"/>
    <n v="80"/>
    <n v="1"/>
    <n v="4"/>
    <n v="2"/>
    <n v="3"/>
    <n v="3"/>
    <n v="0"/>
    <n v="0"/>
    <n v="2"/>
  </r>
  <r>
    <n v="25"/>
    <x v="1"/>
    <x v="0"/>
    <n v="583"/>
    <x v="0"/>
    <n v="4"/>
    <n v="1"/>
    <s v="Marketing"/>
    <n v="1"/>
    <n v="885"/>
    <n v="3"/>
    <x v="1"/>
    <n v="87"/>
    <x v="1"/>
    <n v="2"/>
    <x v="0"/>
    <n v="1"/>
    <x v="1"/>
    <n v="4256"/>
    <n v="18154"/>
    <n v="1"/>
    <s v="Y"/>
    <s v="No"/>
    <n v="12"/>
    <x v="0"/>
    <n v="1"/>
    <n v="80"/>
    <n v="0"/>
    <n v="5"/>
    <n v="1"/>
    <n v="4"/>
    <n v="5"/>
    <n v="2"/>
    <n v="0"/>
    <n v="3"/>
  </r>
  <r>
    <n v="49"/>
    <x v="1"/>
    <x v="0"/>
    <n v="1418"/>
    <x v="1"/>
    <n v="1"/>
    <n v="3"/>
    <s v="Technical Degree"/>
    <n v="1"/>
    <n v="887"/>
    <n v="3"/>
    <x v="0"/>
    <n v="36"/>
    <x v="0"/>
    <n v="1"/>
    <x v="1"/>
    <n v="1"/>
    <x v="1"/>
    <n v="3580"/>
    <n v="10554"/>
    <n v="2"/>
    <s v="Y"/>
    <s v="No"/>
    <n v="16"/>
    <x v="0"/>
    <n v="2"/>
    <n v="80"/>
    <n v="1"/>
    <n v="7"/>
    <n v="2"/>
    <n v="3"/>
    <n v="4"/>
    <n v="2"/>
    <n v="0"/>
    <n v="2"/>
  </r>
  <r>
    <n v="24"/>
    <x v="1"/>
    <x v="2"/>
    <n v="1269"/>
    <x v="1"/>
    <n v="4"/>
    <n v="1"/>
    <s v="Life Sciences"/>
    <n v="1"/>
    <n v="888"/>
    <n v="1"/>
    <x v="1"/>
    <n v="46"/>
    <x v="1"/>
    <n v="1"/>
    <x v="2"/>
    <n v="4"/>
    <x v="1"/>
    <n v="3162"/>
    <n v="10778"/>
    <n v="0"/>
    <s v="Y"/>
    <s v="No"/>
    <n v="17"/>
    <x v="0"/>
    <n v="4"/>
    <n v="80"/>
    <n v="0"/>
    <n v="6"/>
    <n v="2"/>
    <n v="2"/>
    <n v="5"/>
    <n v="2"/>
    <n v="3"/>
    <n v="4"/>
  </r>
  <r>
    <n v="32"/>
    <x v="1"/>
    <x v="1"/>
    <n v="379"/>
    <x v="0"/>
    <n v="5"/>
    <n v="2"/>
    <s v="Life Sciences"/>
    <n v="1"/>
    <n v="889"/>
    <n v="2"/>
    <x v="1"/>
    <n v="48"/>
    <x v="0"/>
    <n v="2"/>
    <x v="0"/>
    <n v="2"/>
    <x v="1"/>
    <n v="6524"/>
    <n v="8891"/>
    <n v="1"/>
    <s v="Y"/>
    <s v="No"/>
    <n v="14"/>
    <x v="0"/>
    <n v="4"/>
    <n v="80"/>
    <n v="1"/>
    <n v="10"/>
    <n v="3"/>
    <n v="3"/>
    <n v="10"/>
    <n v="8"/>
    <n v="5"/>
    <n v="3"/>
  </r>
  <r>
    <n v="38"/>
    <x v="1"/>
    <x v="0"/>
    <n v="395"/>
    <x v="0"/>
    <n v="9"/>
    <n v="3"/>
    <s v="Marketing"/>
    <n v="1"/>
    <n v="893"/>
    <n v="2"/>
    <x v="1"/>
    <n v="98"/>
    <x v="1"/>
    <n v="1"/>
    <x v="6"/>
    <n v="2"/>
    <x v="1"/>
    <n v="2899"/>
    <n v="12102"/>
    <n v="0"/>
    <s v="Y"/>
    <s v="No"/>
    <n v="19"/>
    <x v="0"/>
    <n v="4"/>
    <n v="80"/>
    <n v="1"/>
    <n v="3"/>
    <n v="3"/>
    <n v="3"/>
    <n v="2"/>
    <n v="2"/>
    <n v="1"/>
    <n v="2"/>
  </r>
  <r>
    <n v="42"/>
    <x v="1"/>
    <x v="0"/>
    <n v="1265"/>
    <x v="1"/>
    <n v="3"/>
    <n v="3"/>
    <s v="Life Sciences"/>
    <n v="1"/>
    <n v="894"/>
    <n v="3"/>
    <x v="0"/>
    <n v="95"/>
    <x v="2"/>
    <n v="2"/>
    <x v="2"/>
    <n v="4"/>
    <x v="1"/>
    <n v="5231"/>
    <n v="23726"/>
    <n v="2"/>
    <s v="Y"/>
    <s v="Yes"/>
    <n v="13"/>
    <x v="0"/>
    <n v="2"/>
    <n v="80"/>
    <n v="1"/>
    <n v="17"/>
    <n v="1"/>
    <n v="2"/>
    <n v="5"/>
    <n v="3"/>
    <n v="1"/>
    <n v="3"/>
  </r>
  <r>
    <n v="31"/>
    <x v="1"/>
    <x v="0"/>
    <n v="1222"/>
    <x v="1"/>
    <n v="11"/>
    <n v="4"/>
    <s v="Life Sciences"/>
    <n v="1"/>
    <n v="895"/>
    <n v="4"/>
    <x v="1"/>
    <n v="48"/>
    <x v="0"/>
    <n v="1"/>
    <x v="1"/>
    <n v="4"/>
    <x v="1"/>
    <n v="2356"/>
    <n v="14871"/>
    <n v="3"/>
    <s v="Y"/>
    <s v="Yes"/>
    <n v="19"/>
    <x v="0"/>
    <n v="2"/>
    <n v="80"/>
    <n v="1"/>
    <n v="8"/>
    <n v="2"/>
    <n v="3"/>
    <n v="6"/>
    <n v="4"/>
    <n v="0"/>
    <n v="2"/>
  </r>
  <r>
    <n v="29"/>
    <x v="0"/>
    <x v="0"/>
    <n v="341"/>
    <x v="0"/>
    <n v="1"/>
    <n v="3"/>
    <s v="Medical"/>
    <n v="1"/>
    <n v="896"/>
    <n v="2"/>
    <x v="0"/>
    <n v="48"/>
    <x v="1"/>
    <n v="1"/>
    <x v="6"/>
    <n v="3"/>
    <x v="2"/>
    <n v="2800"/>
    <n v="23522"/>
    <n v="6"/>
    <s v="Y"/>
    <s v="Yes"/>
    <n v="19"/>
    <x v="0"/>
    <n v="3"/>
    <n v="80"/>
    <n v="3"/>
    <n v="5"/>
    <n v="3"/>
    <n v="3"/>
    <n v="3"/>
    <n v="2"/>
    <n v="0"/>
    <n v="2"/>
  </r>
  <r>
    <n v="53"/>
    <x v="1"/>
    <x v="0"/>
    <n v="868"/>
    <x v="0"/>
    <n v="8"/>
    <n v="3"/>
    <s v="Marketing"/>
    <n v="1"/>
    <n v="897"/>
    <n v="1"/>
    <x v="1"/>
    <n v="73"/>
    <x v="0"/>
    <n v="4"/>
    <x v="0"/>
    <n v="4"/>
    <x v="1"/>
    <n v="11836"/>
    <n v="22789"/>
    <n v="5"/>
    <s v="Y"/>
    <s v="No"/>
    <n v="14"/>
    <x v="0"/>
    <n v="3"/>
    <n v="80"/>
    <n v="1"/>
    <n v="28"/>
    <n v="3"/>
    <n v="3"/>
    <n v="2"/>
    <n v="0"/>
    <n v="2"/>
    <n v="2"/>
  </r>
  <r>
    <n v="35"/>
    <x v="1"/>
    <x v="0"/>
    <n v="672"/>
    <x v="1"/>
    <n v="25"/>
    <n v="3"/>
    <s v="Technical Degree"/>
    <n v="1"/>
    <n v="899"/>
    <n v="4"/>
    <x v="1"/>
    <n v="78"/>
    <x v="1"/>
    <n v="3"/>
    <x v="3"/>
    <n v="2"/>
    <x v="1"/>
    <n v="10903"/>
    <n v="9129"/>
    <n v="3"/>
    <s v="Y"/>
    <s v="No"/>
    <n v="16"/>
    <x v="0"/>
    <n v="1"/>
    <n v="80"/>
    <n v="0"/>
    <n v="16"/>
    <n v="2"/>
    <n v="3"/>
    <n v="13"/>
    <n v="10"/>
    <n v="4"/>
    <n v="8"/>
  </r>
  <r>
    <n v="37"/>
    <x v="1"/>
    <x v="1"/>
    <n v="1231"/>
    <x v="0"/>
    <n v="21"/>
    <n v="2"/>
    <s v="Medical"/>
    <n v="1"/>
    <n v="900"/>
    <n v="3"/>
    <x v="0"/>
    <n v="54"/>
    <x v="0"/>
    <n v="1"/>
    <x v="6"/>
    <n v="4"/>
    <x v="1"/>
    <n v="2973"/>
    <n v="21222"/>
    <n v="5"/>
    <s v="Y"/>
    <s v="No"/>
    <n v="15"/>
    <x v="0"/>
    <n v="2"/>
    <n v="80"/>
    <n v="1"/>
    <n v="10"/>
    <n v="3"/>
    <n v="3"/>
    <n v="5"/>
    <n v="4"/>
    <n v="0"/>
    <n v="0"/>
  </r>
  <r>
    <n v="53"/>
    <x v="1"/>
    <x v="0"/>
    <n v="102"/>
    <x v="1"/>
    <n v="23"/>
    <n v="4"/>
    <s v="Life Sciences"/>
    <n v="1"/>
    <n v="901"/>
    <n v="4"/>
    <x v="0"/>
    <n v="72"/>
    <x v="0"/>
    <n v="4"/>
    <x v="7"/>
    <n v="4"/>
    <x v="0"/>
    <n v="14275"/>
    <n v="20206"/>
    <n v="6"/>
    <s v="Y"/>
    <s v="No"/>
    <n v="18"/>
    <x v="0"/>
    <n v="3"/>
    <n v="80"/>
    <n v="0"/>
    <n v="33"/>
    <n v="0"/>
    <n v="3"/>
    <n v="12"/>
    <n v="9"/>
    <n v="3"/>
    <n v="8"/>
  </r>
  <r>
    <n v="43"/>
    <x v="1"/>
    <x v="1"/>
    <n v="422"/>
    <x v="1"/>
    <n v="1"/>
    <n v="3"/>
    <s v="Life Sciences"/>
    <n v="1"/>
    <n v="902"/>
    <n v="4"/>
    <x v="0"/>
    <n v="33"/>
    <x v="0"/>
    <n v="2"/>
    <x v="4"/>
    <n v="4"/>
    <x v="1"/>
    <n v="5562"/>
    <n v="21782"/>
    <n v="4"/>
    <s v="Y"/>
    <s v="No"/>
    <n v="13"/>
    <x v="0"/>
    <n v="2"/>
    <n v="80"/>
    <n v="1"/>
    <n v="12"/>
    <n v="2"/>
    <n v="2"/>
    <n v="5"/>
    <n v="2"/>
    <n v="2"/>
    <n v="2"/>
  </r>
  <r>
    <n v="47"/>
    <x v="1"/>
    <x v="0"/>
    <n v="249"/>
    <x v="0"/>
    <n v="2"/>
    <n v="2"/>
    <s v="Marketing"/>
    <n v="1"/>
    <n v="903"/>
    <n v="3"/>
    <x v="0"/>
    <n v="35"/>
    <x v="0"/>
    <n v="2"/>
    <x v="0"/>
    <n v="4"/>
    <x v="1"/>
    <n v="4537"/>
    <n v="17783"/>
    <n v="0"/>
    <s v="Y"/>
    <s v="Yes"/>
    <n v="22"/>
    <x v="1"/>
    <n v="1"/>
    <n v="80"/>
    <n v="1"/>
    <n v="8"/>
    <n v="2"/>
    <n v="3"/>
    <n v="7"/>
    <n v="6"/>
    <n v="7"/>
    <n v="7"/>
  </r>
  <r>
    <n v="37"/>
    <x v="1"/>
    <x v="2"/>
    <n v="1252"/>
    <x v="0"/>
    <n v="19"/>
    <n v="2"/>
    <s v="Medical"/>
    <n v="1"/>
    <n v="904"/>
    <n v="1"/>
    <x v="1"/>
    <n v="32"/>
    <x v="0"/>
    <n v="3"/>
    <x v="0"/>
    <n v="2"/>
    <x v="0"/>
    <n v="7642"/>
    <n v="4814"/>
    <n v="1"/>
    <s v="Y"/>
    <s v="Yes"/>
    <n v="13"/>
    <x v="0"/>
    <n v="4"/>
    <n v="80"/>
    <n v="0"/>
    <n v="10"/>
    <n v="2"/>
    <n v="3"/>
    <n v="10"/>
    <n v="0"/>
    <n v="0"/>
    <n v="9"/>
  </r>
  <r>
    <n v="50"/>
    <x v="1"/>
    <x v="2"/>
    <n v="881"/>
    <x v="1"/>
    <n v="2"/>
    <n v="4"/>
    <s v="Life Sciences"/>
    <n v="1"/>
    <n v="905"/>
    <n v="1"/>
    <x v="1"/>
    <n v="98"/>
    <x v="0"/>
    <n v="4"/>
    <x v="5"/>
    <n v="1"/>
    <x v="2"/>
    <n v="17924"/>
    <n v="4544"/>
    <n v="1"/>
    <s v="Y"/>
    <s v="No"/>
    <n v="11"/>
    <x v="0"/>
    <n v="4"/>
    <n v="80"/>
    <n v="1"/>
    <n v="31"/>
    <n v="3"/>
    <n v="3"/>
    <n v="31"/>
    <n v="6"/>
    <n v="14"/>
    <n v="7"/>
  </r>
  <r>
    <n v="39"/>
    <x v="1"/>
    <x v="0"/>
    <n v="1383"/>
    <x v="2"/>
    <n v="2"/>
    <n v="3"/>
    <s v="Life Sciences"/>
    <n v="1"/>
    <n v="909"/>
    <n v="4"/>
    <x v="0"/>
    <n v="42"/>
    <x v="1"/>
    <n v="2"/>
    <x v="8"/>
    <n v="4"/>
    <x v="1"/>
    <n v="5204"/>
    <n v="7790"/>
    <n v="8"/>
    <s v="Y"/>
    <s v="No"/>
    <n v="11"/>
    <x v="0"/>
    <n v="3"/>
    <n v="80"/>
    <n v="2"/>
    <n v="13"/>
    <n v="2"/>
    <n v="3"/>
    <n v="5"/>
    <n v="4"/>
    <n v="0"/>
    <n v="4"/>
  </r>
  <r>
    <n v="33"/>
    <x v="1"/>
    <x v="0"/>
    <n v="1075"/>
    <x v="2"/>
    <n v="3"/>
    <n v="2"/>
    <s v="Human Resources"/>
    <n v="1"/>
    <n v="910"/>
    <n v="4"/>
    <x v="1"/>
    <n v="57"/>
    <x v="0"/>
    <n v="1"/>
    <x v="8"/>
    <n v="2"/>
    <x v="2"/>
    <n v="2277"/>
    <n v="22650"/>
    <n v="3"/>
    <s v="Y"/>
    <s v="Yes"/>
    <n v="11"/>
    <x v="0"/>
    <n v="3"/>
    <n v="80"/>
    <n v="1"/>
    <n v="7"/>
    <n v="4"/>
    <n v="4"/>
    <n v="4"/>
    <n v="3"/>
    <n v="0"/>
    <n v="3"/>
  </r>
  <r>
    <n v="32"/>
    <x v="0"/>
    <x v="0"/>
    <n v="374"/>
    <x v="1"/>
    <n v="25"/>
    <n v="4"/>
    <s v="Life Sciences"/>
    <n v="1"/>
    <n v="911"/>
    <n v="1"/>
    <x v="1"/>
    <n v="87"/>
    <x v="0"/>
    <n v="1"/>
    <x v="2"/>
    <n v="4"/>
    <x v="0"/>
    <n v="2795"/>
    <n v="18016"/>
    <n v="1"/>
    <s v="Y"/>
    <s v="Yes"/>
    <n v="24"/>
    <x v="1"/>
    <n v="3"/>
    <n v="80"/>
    <n v="0"/>
    <n v="1"/>
    <n v="2"/>
    <n v="1"/>
    <n v="1"/>
    <n v="0"/>
    <n v="0"/>
    <n v="1"/>
  </r>
  <r>
    <n v="29"/>
    <x v="1"/>
    <x v="0"/>
    <n v="1086"/>
    <x v="1"/>
    <n v="7"/>
    <n v="1"/>
    <s v="Medical"/>
    <n v="1"/>
    <n v="912"/>
    <n v="1"/>
    <x v="0"/>
    <n v="62"/>
    <x v="1"/>
    <n v="1"/>
    <x v="2"/>
    <n v="4"/>
    <x v="2"/>
    <n v="2532"/>
    <n v="6054"/>
    <n v="6"/>
    <s v="Y"/>
    <s v="No"/>
    <n v="14"/>
    <x v="0"/>
    <n v="3"/>
    <n v="80"/>
    <n v="3"/>
    <n v="8"/>
    <n v="5"/>
    <n v="3"/>
    <n v="4"/>
    <n v="3"/>
    <n v="0"/>
    <n v="3"/>
  </r>
  <r>
    <n v="44"/>
    <x v="1"/>
    <x v="0"/>
    <n v="661"/>
    <x v="1"/>
    <n v="9"/>
    <n v="2"/>
    <s v="Life Sciences"/>
    <n v="1"/>
    <n v="913"/>
    <n v="2"/>
    <x v="1"/>
    <n v="61"/>
    <x v="0"/>
    <n v="1"/>
    <x v="1"/>
    <n v="1"/>
    <x v="1"/>
    <n v="2559"/>
    <n v="7508"/>
    <n v="1"/>
    <s v="Y"/>
    <s v="Yes"/>
    <n v="13"/>
    <x v="0"/>
    <n v="4"/>
    <n v="80"/>
    <n v="0"/>
    <n v="8"/>
    <n v="0"/>
    <n v="3"/>
    <n v="8"/>
    <n v="7"/>
    <n v="7"/>
    <n v="1"/>
  </r>
  <r>
    <n v="28"/>
    <x v="1"/>
    <x v="0"/>
    <n v="821"/>
    <x v="0"/>
    <n v="5"/>
    <n v="4"/>
    <s v="Medical"/>
    <n v="1"/>
    <n v="916"/>
    <n v="1"/>
    <x v="1"/>
    <n v="98"/>
    <x v="0"/>
    <n v="2"/>
    <x v="0"/>
    <n v="4"/>
    <x v="0"/>
    <n v="4908"/>
    <n v="24252"/>
    <n v="1"/>
    <s v="Y"/>
    <s v="No"/>
    <n v="14"/>
    <x v="0"/>
    <n v="2"/>
    <n v="80"/>
    <n v="0"/>
    <n v="4"/>
    <n v="3"/>
    <n v="3"/>
    <n v="4"/>
    <n v="2"/>
    <n v="0"/>
    <n v="2"/>
  </r>
  <r>
    <n v="58"/>
    <x v="0"/>
    <x v="1"/>
    <n v="781"/>
    <x v="1"/>
    <n v="2"/>
    <n v="1"/>
    <s v="Life Sciences"/>
    <n v="1"/>
    <n v="918"/>
    <n v="4"/>
    <x v="1"/>
    <n v="57"/>
    <x v="1"/>
    <n v="1"/>
    <x v="2"/>
    <n v="4"/>
    <x v="2"/>
    <n v="2380"/>
    <n v="13384"/>
    <n v="9"/>
    <s v="Y"/>
    <s v="Yes"/>
    <n v="14"/>
    <x v="0"/>
    <n v="4"/>
    <n v="80"/>
    <n v="1"/>
    <n v="3"/>
    <n v="3"/>
    <n v="2"/>
    <n v="1"/>
    <n v="0"/>
    <n v="0"/>
    <n v="0"/>
  </r>
  <r>
    <n v="43"/>
    <x v="1"/>
    <x v="0"/>
    <n v="177"/>
    <x v="1"/>
    <n v="8"/>
    <n v="3"/>
    <s v="Life Sciences"/>
    <n v="1"/>
    <n v="920"/>
    <n v="1"/>
    <x v="0"/>
    <n v="55"/>
    <x v="0"/>
    <n v="2"/>
    <x v="3"/>
    <n v="2"/>
    <x v="2"/>
    <n v="4765"/>
    <n v="23814"/>
    <n v="4"/>
    <s v="Y"/>
    <s v="No"/>
    <n v="21"/>
    <x v="1"/>
    <n v="3"/>
    <n v="80"/>
    <n v="1"/>
    <n v="4"/>
    <n v="2"/>
    <n v="4"/>
    <n v="1"/>
    <n v="0"/>
    <n v="0"/>
    <n v="0"/>
  </r>
  <r>
    <n v="20"/>
    <x v="0"/>
    <x v="0"/>
    <n v="500"/>
    <x v="0"/>
    <n v="2"/>
    <n v="3"/>
    <s v="Medical"/>
    <n v="1"/>
    <n v="922"/>
    <n v="3"/>
    <x v="0"/>
    <n v="49"/>
    <x v="1"/>
    <n v="1"/>
    <x v="6"/>
    <n v="3"/>
    <x v="0"/>
    <n v="2044"/>
    <n v="22052"/>
    <n v="1"/>
    <s v="Y"/>
    <s v="No"/>
    <n v="13"/>
    <x v="0"/>
    <n v="4"/>
    <n v="80"/>
    <n v="0"/>
    <n v="2"/>
    <n v="3"/>
    <n v="2"/>
    <n v="2"/>
    <n v="2"/>
    <n v="0"/>
    <n v="2"/>
  </r>
  <r>
    <n v="21"/>
    <x v="0"/>
    <x v="0"/>
    <n v="1427"/>
    <x v="1"/>
    <n v="18"/>
    <n v="1"/>
    <s v="Other"/>
    <n v="1"/>
    <n v="923"/>
    <n v="4"/>
    <x v="0"/>
    <n v="65"/>
    <x v="0"/>
    <n v="1"/>
    <x v="1"/>
    <n v="4"/>
    <x v="0"/>
    <n v="2693"/>
    <n v="8870"/>
    <n v="1"/>
    <s v="Y"/>
    <s v="No"/>
    <n v="19"/>
    <x v="0"/>
    <n v="1"/>
    <n v="80"/>
    <n v="0"/>
    <n v="1"/>
    <n v="3"/>
    <n v="2"/>
    <n v="1"/>
    <n v="0"/>
    <n v="0"/>
    <n v="0"/>
  </r>
  <r>
    <n v="36"/>
    <x v="1"/>
    <x v="0"/>
    <n v="1425"/>
    <x v="1"/>
    <n v="14"/>
    <n v="1"/>
    <s v="Life Sciences"/>
    <n v="1"/>
    <n v="924"/>
    <n v="3"/>
    <x v="1"/>
    <n v="68"/>
    <x v="0"/>
    <n v="2"/>
    <x v="4"/>
    <n v="4"/>
    <x v="1"/>
    <n v="6586"/>
    <n v="4821"/>
    <n v="0"/>
    <s v="Y"/>
    <s v="Yes"/>
    <n v="17"/>
    <x v="0"/>
    <n v="1"/>
    <n v="80"/>
    <n v="1"/>
    <n v="17"/>
    <n v="2"/>
    <n v="2"/>
    <n v="16"/>
    <n v="8"/>
    <n v="4"/>
    <n v="11"/>
  </r>
  <r>
    <n v="47"/>
    <x v="1"/>
    <x v="0"/>
    <n v="1454"/>
    <x v="0"/>
    <n v="2"/>
    <n v="4"/>
    <s v="Life Sciences"/>
    <n v="1"/>
    <n v="925"/>
    <n v="4"/>
    <x v="0"/>
    <n v="65"/>
    <x v="1"/>
    <n v="1"/>
    <x v="6"/>
    <n v="4"/>
    <x v="0"/>
    <n v="3294"/>
    <n v="13137"/>
    <n v="1"/>
    <s v="Y"/>
    <s v="Yes"/>
    <n v="18"/>
    <x v="0"/>
    <n v="1"/>
    <n v="80"/>
    <n v="0"/>
    <n v="3"/>
    <n v="3"/>
    <n v="2"/>
    <n v="3"/>
    <n v="2"/>
    <n v="1"/>
    <n v="2"/>
  </r>
  <r>
    <n v="22"/>
    <x v="0"/>
    <x v="0"/>
    <n v="617"/>
    <x v="1"/>
    <n v="3"/>
    <n v="1"/>
    <s v="Life Sciences"/>
    <n v="1"/>
    <n v="926"/>
    <n v="2"/>
    <x v="0"/>
    <n v="34"/>
    <x v="0"/>
    <n v="2"/>
    <x v="3"/>
    <n v="3"/>
    <x v="1"/>
    <n v="4171"/>
    <n v="10022"/>
    <n v="0"/>
    <s v="Y"/>
    <s v="Yes"/>
    <n v="19"/>
    <x v="0"/>
    <n v="1"/>
    <n v="80"/>
    <n v="1"/>
    <n v="4"/>
    <n v="3"/>
    <n v="4"/>
    <n v="3"/>
    <n v="2"/>
    <n v="0"/>
    <n v="2"/>
  </r>
  <r>
    <n v="41"/>
    <x v="0"/>
    <x v="0"/>
    <n v="1085"/>
    <x v="1"/>
    <n v="2"/>
    <n v="4"/>
    <s v="Life Sciences"/>
    <n v="1"/>
    <n v="927"/>
    <n v="2"/>
    <x v="0"/>
    <n v="57"/>
    <x v="3"/>
    <n v="1"/>
    <x v="2"/>
    <n v="4"/>
    <x v="2"/>
    <n v="2778"/>
    <n v="17725"/>
    <n v="4"/>
    <s v="Y"/>
    <s v="Yes"/>
    <n v="13"/>
    <x v="0"/>
    <n v="3"/>
    <n v="80"/>
    <n v="1"/>
    <n v="10"/>
    <n v="1"/>
    <n v="2"/>
    <n v="7"/>
    <n v="7"/>
    <n v="1"/>
    <n v="0"/>
  </r>
  <r>
    <n v="28"/>
    <x v="1"/>
    <x v="0"/>
    <n v="995"/>
    <x v="1"/>
    <n v="9"/>
    <n v="3"/>
    <s v="Medical"/>
    <n v="1"/>
    <n v="930"/>
    <n v="3"/>
    <x v="0"/>
    <n v="77"/>
    <x v="0"/>
    <n v="1"/>
    <x v="1"/>
    <n v="3"/>
    <x v="2"/>
    <n v="2377"/>
    <n v="9834"/>
    <n v="5"/>
    <s v="Y"/>
    <s v="No"/>
    <n v="18"/>
    <x v="0"/>
    <n v="2"/>
    <n v="80"/>
    <n v="1"/>
    <n v="6"/>
    <n v="2"/>
    <n v="3"/>
    <n v="2"/>
    <n v="2"/>
    <n v="2"/>
    <n v="2"/>
  </r>
  <r>
    <n v="39"/>
    <x v="0"/>
    <x v="0"/>
    <n v="1122"/>
    <x v="1"/>
    <n v="6"/>
    <n v="3"/>
    <s v="Medical"/>
    <n v="1"/>
    <n v="932"/>
    <n v="4"/>
    <x v="1"/>
    <n v="70"/>
    <x v="0"/>
    <n v="1"/>
    <x v="2"/>
    <n v="1"/>
    <x v="1"/>
    <n v="2404"/>
    <n v="4303"/>
    <n v="7"/>
    <s v="Y"/>
    <s v="Yes"/>
    <n v="21"/>
    <x v="1"/>
    <n v="4"/>
    <n v="80"/>
    <n v="0"/>
    <n v="8"/>
    <n v="2"/>
    <n v="1"/>
    <n v="2"/>
    <n v="2"/>
    <n v="2"/>
    <n v="2"/>
  </r>
  <r>
    <n v="27"/>
    <x v="1"/>
    <x v="0"/>
    <n v="618"/>
    <x v="1"/>
    <n v="4"/>
    <n v="3"/>
    <s v="Life Sciences"/>
    <n v="1"/>
    <n v="933"/>
    <n v="2"/>
    <x v="0"/>
    <n v="76"/>
    <x v="0"/>
    <n v="1"/>
    <x v="1"/>
    <n v="3"/>
    <x v="0"/>
    <n v="2318"/>
    <n v="17808"/>
    <n v="1"/>
    <s v="Y"/>
    <s v="No"/>
    <n v="19"/>
    <x v="0"/>
    <n v="3"/>
    <n v="80"/>
    <n v="0"/>
    <n v="1"/>
    <n v="2"/>
    <n v="3"/>
    <n v="1"/>
    <n v="1"/>
    <n v="0"/>
    <n v="0"/>
  </r>
  <r>
    <n v="34"/>
    <x v="1"/>
    <x v="0"/>
    <n v="546"/>
    <x v="1"/>
    <n v="10"/>
    <n v="3"/>
    <s v="Life Sciences"/>
    <n v="1"/>
    <n v="934"/>
    <n v="2"/>
    <x v="1"/>
    <n v="83"/>
    <x v="0"/>
    <n v="1"/>
    <x v="2"/>
    <n v="2"/>
    <x v="2"/>
    <n v="2008"/>
    <n v="6896"/>
    <n v="1"/>
    <s v="Y"/>
    <s v="No"/>
    <n v="14"/>
    <x v="0"/>
    <n v="2"/>
    <n v="80"/>
    <n v="2"/>
    <n v="1"/>
    <n v="3"/>
    <n v="3"/>
    <n v="1"/>
    <n v="0"/>
    <n v="1"/>
    <n v="0"/>
  </r>
  <r>
    <n v="42"/>
    <x v="1"/>
    <x v="0"/>
    <n v="462"/>
    <x v="0"/>
    <n v="14"/>
    <n v="2"/>
    <s v="Medical"/>
    <n v="1"/>
    <n v="936"/>
    <n v="3"/>
    <x v="0"/>
    <n v="68"/>
    <x v="1"/>
    <n v="2"/>
    <x v="0"/>
    <n v="3"/>
    <x v="0"/>
    <n v="6244"/>
    <n v="7824"/>
    <n v="7"/>
    <s v="Y"/>
    <s v="No"/>
    <n v="17"/>
    <x v="0"/>
    <n v="1"/>
    <n v="80"/>
    <n v="0"/>
    <n v="10"/>
    <n v="6"/>
    <n v="3"/>
    <n v="5"/>
    <n v="4"/>
    <n v="0"/>
    <n v="3"/>
  </r>
  <r>
    <n v="33"/>
    <x v="1"/>
    <x v="0"/>
    <n v="1198"/>
    <x v="1"/>
    <n v="1"/>
    <n v="4"/>
    <s v="Other"/>
    <n v="1"/>
    <n v="939"/>
    <n v="3"/>
    <x v="1"/>
    <n v="100"/>
    <x v="1"/>
    <n v="1"/>
    <x v="1"/>
    <n v="1"/>
    <x v="0"/>
    <n v="2799"/>
    <n v="3339"/>
    <n v="3"/>
    <s v="Y"/>
    <s v="Yes"/>
    <n v="11"/>
    <x v="0"/>
    <n v="2"/>
    <n v="80"/>
    <n v="0"/>
    <n v="6"/>
    <n v="1"/>
    <n v="3"/>
    <n v="3"/>
    <n v="2"/>
    <n v="0"/>
    <n v="2"/>
  </r>
  <r>
    <n v="58"/>
    <x v="1"/>
    <x v="0"/>
    <n v="1272"/>
    <x v="1"/>
    <n v="5"/>
    <n v="3"/>
    <s v="Technical Degree"/>
    <n v="1"/>
    <n v="940"/>
    <n v="3"/>
    <x v="0"/>
    <n v="37"/>
    <x v="1"/>
    <n v="3"/>
    <x v="4"/>
    <n v="2"/>
    <x v="2"/>
    <n v="10552"/>
    <n v="9255"/>
    <n v="2"/>
    <s v="Y"/>
    <s v="Yes"/>
    <n v="13"/>
    <x v="0"/>
    <n v="4"/>
    <n v="80"/>
    <n v="1"/>
    <n v="24"/>
    <n v="3"/>
    <n v="3"/>
    <n v="6"/>
    <n v="0"/>
    <n v="0"/>
    <n v="4"/>
  </r>
  <r>
    <n v="31"/>
    <x v="1"/>
    <x v="0"/>
    <n v="154"/>
    <x v="0"/>
    <n v="7"/>
    <n v="4"/>
    <s v="Life Sciences"/>
    <n v="1"/>
    <n v="941"/>
    <n v="2"/>
    <x v="1"/>
    <n v="41"/>
    <x v="1"/>
    <n v="1"/>
    <x v="6"/>
    <n v="3"/>
    <x v="1"/>
    <n v="2329"/>
    <n v="11737"/>
    <n v="3"/>
    <s v="Y"/>
    <s v="No"/>
    <n v="15"/>
    <x v="0"/>
    <n v="2"/>
    <n v="80"/>
    <n v="0"/>
    <n v="13"/>
    <n v="2"/>
    <n v="4"/>
    <n v="7"/>
    <n v="7"/>
    <n v="5"/>
    <n v="2"/>
  </r>
  <r>
    <n v="35"/>
    <x v="1"/>
    <x v="0"/>
    <n v="1137"/>
    <x v="1"/>
    <n v="21"/>
    <n v="1"/>
    <s v="Life Sciences"/>
    <n v="1"/>
    <n v="942"/>
    <n v="4"/>
    <x v="0"/>
    <n v="51"/>
    <x v="0"/>
    <n v="2"/>
    <x v="4"/>
    <n v="4"/>
    <x v="1"/>
    <n v="4014"/>
    <n v="19170"/>
    <n v="1"/>
    <s v="Y"/>
    <s v="Yes"/>
    <n v="25"/>
    <x v="1"/>
    <n v="4"/>
    <n v="80"/>
    <n v="1"/>
    <n v="10"/>
    <n v="2"/>
    <n v="1"/>
    <n v="10"/>
    <n v="6"/>
    <n v="0"/>
    <n v="7"/>
  </r>
  <r>
    <n v="49"/>
    <x v="1"/>
    <x v="0"/>
    <n v="527"/>
    <x v="1"/>
    <n v="8"/>
    <n v="2"/>
    <s v="Other"/>
    <n v="1"/>
    <n v="944"/>
    <n v="1"/>
    <x v="0"/>
    <n v="51"/>
    <x v="0"/>
    <n v="3"/>
    <x v="2"/>
    <n v="2"/>
    <x v="1"/>
    <n v="7403"/>
    <n v="22477"/>
    <n v="4"/>
    <s v="Y"/>
    <s v="No"/>
    <n v="11"/>
    <x v="0"/>
    <n v="3"/>
    <n v="80"/>
    <n v="1"/>
    <n v="29"/>
    <n v="3"/>
    <n v="2"/>
    <n v="26"/>
    <n v="9"/>
    <n v="1"/>
    <n v="7"/>
  </r>
  <r>
    <n v="48"/>
    <x v="1"/>
    <x v="0"/>
    <n v="1469"/>
    <x v="1"/>
    <n v="20"/>
    <n v="4"/>
    <s v="Medical"/>
    <n v="1"/>
    <n v="945"/>
    <n v="4"/>
    <x v="1"/>
    <n v="51"/>
    <x v="0"/>
    <n v="1"/>
    <x v="1"/>
    <n v="3"/>
    <x v="1"/>
    <n v="2259"/>
    <n v="5543"/>
    <n v="4"/>
    <s v="Y"/>
    <s v="No"/>
    <n v="17"/>
    <x v="0"/>
    <n v="1"/>
    <n v="80"/>
    <n v="2"/>
    <n v="13"/>
    <n v="2"/>
    <n v="2"/>
    <n v="0"/>
    <n v="0"/>
    <n v="0"/>
    <n v="0"/>
  </r>
  <r>
    <n v="31"/>
    <x v="1"/>
    <x v="2"/>
    <n v="1188"/>
    <x v="0"/>
    <n v="20"/>
    <n v="2"/>
    <s v="Marketing"/>
    <n v="1"/>
    <n v="947"/>
    <n v="4"/>
    <x v="0"/>
    <n v="45"/>
    <x v="0"/>
    <n v="2"/>
    <x v="0"/>
    <n v="3"/>
    <x v="1"/>
    <n v="6932"/>
    <n v="24406"/>
    <n v="1"/>
    <s v="Y"/>
    <s v="No"/>
    <n v="13"/>
    <x v="0"/>
    <n v="4"/>
    <n v="80"/>
    <n v="1"/>
    <n v="9"/>
    <n v="2"/>
    <n v="2"/>
    <n v="9"/>
    <n v="8"/>
    <n v="0"/>
    <n v="0"/>
  </r>
  <r>
    <n v="36"/>
    <x v="1"/>
    <x v="0"/>
    <n v="188"/>
    <x v="1"/>
    <n v="7"/>
    <n v="4"/>
    <s v="Other"/>
    <n v="1"/>
    <n v="949"/>
    <n v="2"/>
    <x v="1"/>
    <n v="65"/>
    <x v="0"/>
    <n v="1"/>
    <x v="1"/>
    <n v="4"/>
    <x v="0"/>
    <n v="4678"/>
    <n v="23293"/>
    <n v="2"/>
    <s v="Y"/>
    <s v="No"/>
    <n v="18"/>
    <x v="0"/>
    <n v="3"/>
    <n v="80"/>
    <n v="0"/>
    <n v="8"/>
    <n v="6"/>
    <n v="3"/>
    <n v="6"/>
    <n v="2"/>
    <n v="0"/>
    <n v="1"/>
  </r>
  <r>
    <n v="38"/>
    <x v="1"/>
    <x v="0"/>
    <n v="1333"/>
    <x v="1"/>
    <n v="1"/>
    <n v="3"/>
    <s v="Technical Degree"/>
    <n v="1"/>
    <n v="950"/>
    <n v="4"/>
    <x v="0"/>
    <n v="80"/>
    <x v="0"/>
    <n v="3"/>
    <x v="7"/>
    <n v="1"/>
    <x v="1"/>
    <n v="13582"/>
    <n v="16292"/>
    <n v="1"/>
    <s v="Y"/>
    <s v="No"/>
    <n v="13"/>
    <x v="0"/>
    <n v="2"/>
    <n v="80"/>
    <n v="1"/>
    <n v="15"/>
    <n v="3"/>
    <n v="3"/>
    <n v="15"/>
    <n v="12"/>
    <n v="5"/>
    <n v="11"/>
  </r>
  <r>
    <n v="32"/>
    <x v="1"/>
    <x v="2"/>
    <n v="1184"/>
    <x v="1"/>
    <n v="1"/>
    <n v="3"/>
    <s v="Life Sciences"/>
    <n v="1"/>
    <n v="951"/>
    <n v="3"/>
    <x v="0"/>
    <n v="70"/>
    <x v="1"/>
    <n v="1"/>
    <x v="2"/>
    <n v="2"/>
    <x v="1"/>
    <n v="2332"/>
    <n v="3974"/>
    <n v="6"/>
    <s v="Y"/>
    <s v="No"/>
    <n v="20"/>
    <x v="1"/>
    <n v="3"/>
    <n v="80"/>
    <n v="0"/>
    <n v="5"/>
    <n v="3"/>
    <n v="3"/>
    <n v="3"/>
    <n v="0"/>
    <n v="0"/>
    <n v="2"/>
  </r>
  <r>
    <n v="25"/>
    <x v="0"/>
    <x v="0"/>
    <n v="867"/>
    <x v="0"/>
    <n v="19"/>
    <n v="2"/>
    <s v="Marketing"/>
    <n v="1"/>
    <n v="952"/>
    <n v="3"/>
    <x v="1"/>
    <n v="36"/>
    <x v="1"/>
    <n v="1"/>
    <x v="6"/>
    <n v="2"/>
    <x v="1"/>
    <n v="2413"/>
    <n v="18798"/>
    <n v="1"/>
    <s v="Y"/>
    <s v="Yes"/>
    <n v="18"/>
    <x v="0"/>
    <n v="3"/>
    <n v="80"/>
    <n v="3"/>
    <n v="1"/>
    <n v="2"/>
    <n v="3"/>
    <n v="1"/>
    <n v="0"/>
    <n v="0"/>
    <n v="0"/>
  </r>
  <r>
    <n v="40"/>
    <x v="1"/>
    <x v="0"/>
    <n v="658"/>
    <x v="0"/>
    <n v="10"/>
    <n v="4"/>
    <s v="Marketing"/>
    <n v="1"/>
    <n v="954"/>
    <n v="1"/>
    <x v="1"/>
    <n v="67"/>
    <x v="1"/>
    <n v="3"/>
    <x v="0"/>
    <n v="2"/>
    <x v="2"/>
    <n v="9705"/>
    <n v="20652"/>
    <n v="2"/>
    <s v="Y"/>
    <s v="No"/>
    <n v="12"/>
    <x v="0"/>
    <n v="2"/>
    <n v="80"/>
    <n v="1"/>
    <n v="11"/>
    <n v="2"/>
    <n v="2"/>
    <n v="1"/>
    <n v="0"/>
    <n v="0"/>
    <n v="0"/>
  </r>
  <r>
    <n v="26"/>
    <x v="1"/>
    <x v="1"/>
    <n v="1283"/>
    <x v="0"/>
    <n v="1"/>
    <n v="3"/>
    <s v="Medical"/>
    <n v="1"/>
    <n v="956"/>
    <n v="3"/>
    <x v="1"/>
    <n v="52"/>
    <x v="1"/>
    <n v="2"/>
    <x v="0"/>
    <n v="1"/>
    <x v="0"/>
    <n v="4294"/>
    <n v="11148"/>
    <n v="1"/>
    <s v="Y"/>
    <s v="No"/>
    <n v="12"/>
    <x v="0"/>
    <n v="2"/>
    <n v="80"/>
    <n v="0"/>
    <n v="7"/>
    <n v="2"/>
    <n v="3"/>
    <n v="7"/>
    <n v="7"/>
    <n v="0"/>
    <n v="7"/>
  </r>
  <r>
    <n v="41"/>
    <x v="1"/>
    <x v="0"/>
    <n v="263"/>
    <x v="1"/>
    <n v="6"/>
    <n v="3"/>
    <s v="Medical"/>
    <n v="1"/>
    <n v="957"/>
    <n v="4"/>
    <x v="1"/>
    <n v="59"/>
    <x v="0"/>
    <n v="1"/>
    <x v="2"/>
    <n v="1"/>
    <x v="0"/>
    <n v="4721"/>
    <n v="3119"/>
    <n v="2"/>
    <s v="Y"/>
    <s v="Yes"/>
    <n v="13"/>
    <x v="0"/>
    <n v="3"/>
    <n v="80"/>
    <n v="0"/>
    <n v="20"/>
    <n v="3"/>
    <n v="3"/>
    <n v="18"/>
    <n v="13"/>
    <n v="2"/>
    <n v="17"/>
  </r>
  <r>
    <n v="36"/>
    <x v="1"/>
    <x v="0"/>
    <n v="938"/>
    <x v="1"/>
    <n v="2"/>
    <n v="4"/>
    <s v="Medical"/>
    <n v="1"/>
    <n v="958"/>
    <n v="3"/>
    <x v="1"/>
    <n v="79"/>
    <x v="0"/>
    <n v="1"/>
    <x v="2"/>
    <n v="3"/>
    <x v="0"/>
    <n v="2519"/>
    <n v="12287"/>
    <n v="4"/>
    <s v="Y"/>
    <s v="No"/>
    <n v="21"/>
    <x v="1"/>
    <n v="3"/>
    <n v="80"/>
    <n v="0"/>
    <n v="16"/>
    <n v="6"/>
    <n v="3"/>
    <n v="11"/>
    <n v="8"/>
    <n v="3"/>
    <n v="9"/>
  </r>
  <r>
    <n v="19"/>
    <x v="0"/>
    <x v="0"/>
    <n v="419"/>
    <x v="0"/>
    <n v="21"/>
    <n v="3"/>
    <s v="Other"/>
    <n v="1"/>
    <n v="959"/>
    <n v="4"/>
    <x v="1"/>
    <n v="37"/>
    <x v="1"/>
    <n v="1"/>
    <x v="6"/>
    <n v="2"/>
    <x v="0"/>
    <n v="2121"/>
    <n v="9947"/>
    <n v="1"/>
    <s v="Y"/>
    <s v="Yes"/>
    <n v="13"/>
    <x v="0"/>
    <n v="2"/>
    <n v="80"/>
    <n v="0"/>
    <n v="1"/>
    <n v="3"/>
    <n v="4"/>
    <n v="1"/>
    <n v="0"/>
    <n v="0"/>
    <n v="0"/>
  </r>
  <r>
    <n v="20"/>
    <x v="0"/>
    <x v="0"/>
    <n v="129"/>
    <x v="1"/>
    <n v="4"/>
    <n v="3"/>
    <s v="Technical Degree"/>
    <n v="1"/>
    <n v="960"/>
    <n v="1"/>
    <x v="1"/>
    <n v="84"/>
    <x v="0"/>
    <n v="1"/>
    <x v="2"/>
    <n v="1"/>
    <x v="0"/>
    <n v="2973"/>
    <n v="13008"/>
    <n v="1"/>
    <s v="Y"/>
    <s v="No"/>
    <n v="19"/>
    <x v="0"/>
    <n v="2"/>
    <n v="80"/>
    <n v="0"/>
    <n v="1"/>
    <n v="2"/>
    <n v="3"/>
    <n v="1"/>
    <n v="0"/>
    <n v="0"/>
    <n v="0"/>
  </r>
  <r>
    <n v="31"/>
    <x v="1"/>
    <x v="0"/>
    <n v="616"/>
    <x v="1"/>
    <n v="12"/>
    <n v="3"/>
    <s v="Medical"/>
    <n v="1"/>
    <n v="961"/>
    <n v="4"/>
    <x v="0"/>
    <n v="41"/>
    <x v="0"/>
    <n v="2"/>
    <x v="4"/>
    <n v="4"/>
    <x v="1"/>
    <n v="5855"/>
    <n v="17369"/>
    <n v="0"/>
    <s v="Y"/>
    <s v="Yes"/>
    <n v="11"/>
    <x v="0"/>
    <n v="3"/>
    <n v="80"/>
    <n v="2"/>
    <n v="10"/>
    <n v="2"/>
    <n v="1"/>
    <n v="9"/>
    <n v="7"/>
    <n v="8"/>
    <n v="5"/>
  </r>
  <r>
    <n v="40"/>
    <x v="1"/>
    <x v="1"/>
    <n v="1469"/>
    <x v="1"/>
    <n v="9"/>
    <n v="4"/>
    <s v="Medical"/>
    <n v="1"/>
    <n v="964"/>
    <n v="4"/>
    <x v="1"/>
    <n v="35"/>
    <x v="0"/>
    <n v="1"/>
    <x v="1"/>
    <n v="2"/>
    <x v="2"/>
    <n v="3617"/>
    <n v="25063"/>
    <n v="8"/>
    <s v="Y"/>
    <s v="Yes"/>
    <n v="14"/>
    <x v="0"/>
    <n v="4"/>
    <n v="80"/>
    <n v="1"/>
    <n v="3"/>
    <n v="2"/>
    <n v="3"/>
    <n v="1"/>
    <n v="1"/>
    <n v="0"/>
    <n v="0"/>
  </r>
  <r>
    <n v="32"/>
    <x v="1"/>
    <x v="0"/>
    <n v="498"/>
    <x v="1"/>
    <n v="3"/>
    <n v="4"/>
    <s v="Medical"/>
    <n v="1"/>
    <n v="966"/>
    <n v="3"/>
    <x v="0"/>
    <n v="93"/>
    <x v="0"/>
    <n v="2"/>
    <x v="3"/>
    <n v="1"/>
    <x v="1"/>
    <n v="6725"/>
    <n v="13554"/>
    <n v="1"/>
    <s v="Y"/>
    <s v="No"/>
    <n v="12"/>
    <x v="0"/>
    <n v="3"/>
    <n v="80"/>
    <n v="1"/>
    <n v="8"/>
    <n v="2"/>
    <n v="4"/>
    <n v="8"/>
    <n v="7"/>
    <n v="6"/>
    <n v="3"/>
  </r>
  <r>
    <n v="36"/>
    <x v="0"/>
    <x v="0"/>
    <n v="530"/>
    <x v="0"/>
    <n v="3"/>
    <n v="1"/>
    <s v="Life Sciences"/>
    <n v="1"/>
    <n v="967"/>
    <n v="3"/>
    <x v="1"/>
    <n v="51"/>
    <x v="1"/>
    <n v="3"/>
    <x v="0"/>
    <n v="4"/>
    <x v="1"/>
    <n v="10325"/>
    <n v="5518"/>
    <n v="1"/>
    <s v="Y"/>
    <s v="Yes"/>
    <n v="11"/>
    <x v="0"/>
    <n v="1"/>
    <n v="80"/>
    <n v="1"/>
    <n v="16"/>
    <n v="6"/>
    <n v="3"/>
    <n v="16"/>
    <n v="7"/>
    <n v="3"/>
    <n v="7"/>
  </r>
  <r>
    <n v="33"/>
    <x v="1"/>
    <x v="0"/>
    <n v="1069"/>
    <x v="1"/>
    <n v="1"/>
    <n v="3"/>
    <s v="Life Sciences"/>
    <n v="1"/>
    <n v="969"/>
    <n v="2"/>
    <x v="0"/>
    <n v="42"/>
    <x v="1"/>
    <n v="2"/>
    <x v="4"/>
    <n v="4"/>
    <x v="0"/>
    <n v="6949"/>
    <n v="12291"/>
    <n v="0"/>
    <s v="Y"/>
    <s v="No"/>
    <n v="14"/>
    <x v="0"/>
    <n v="1"/>
    <n v="80"/>
    <n v="0"/>
    <n v="6"/>
    <n v="3"/>
    <n v="3"/>
    <n v="5"/>
    <n v="0"/>
    <n v="1"/>
    <n v="4"/>
  </r>
  <r>
    <n v="37"/>
    <x v="0"/>
    <x v="0"/>
    <n v="625"/>
    <x v="0"/>
    <n v="1"/>
    <n v="4"/>
    <s v="Life Sciences"/>
    <n v="1"/>
    <n v="970"/>
    <n v="1"/>
    <x v="1"/>
    <n v="46"/>
    <x v="1"/>
    <n v="3"/>
    <x v="0"/>
    <n v="3"/>
    <x v="1"/>
    <n v="10609"/>
    <n v="14922"/>
    <n v="5"/>
    <s v="Y"/>
    <s v="No"/>
    <n v="11"/>
    <x v="0"/>
    <n v="3"/>
    <n v="80"/>
    <n v="0"/>
    <n v="17"/>
    <n v="2"/>
    <n v="1"/>
    <n v="14"/>
    <n v="1"/>
    <n v="11"/>
    <n v="7"/>
  </r>
  <r>
    <n v="45"/>
    <x v="1"/>
    <x v="2"/>
    <n v="805"/>
    <x v="1"/>
    <n v="4"/>
    <n v="2"/>
    <s v="Life Sciences"/>
    <n v="1"/>
    <n v="972"/>
    <n v="3"/>
    <x v="1"/>
    <n v="57"/>
    <x v="0"/>
    <n v="2"/>
    <x v="2"/>
    <n v="2"/>
    <x v="1"/>
    <n v="4447"/>
    <n v="23163"/>
    <n v="1"/>
    <s v="Y"/>
    <s v="No"/>
    <n v="12"/>
    <x v="0"/>
    <n v="2"/>
    <n v="80"/>
    <n v="0"/>
    <n v="9"/>
    <n v="5"/>
    <n v="2"/>
    <n v="9"/>
    <n v="7"/>
    <n v="0"/>
    <n v="8"/>
  </r>
  <r>
    <n v="29"/>
    <x v="1"/>
    <x v="1"/>
    <n v="1404"/>
    <x v="0"/>
    <n v="20"/>
    <n v="3"/>
    <s v="Technical Degree"/>
    <n v="1"/>
    <n v="974"/>
    <n v="3"/>
    <x v="0"/>
    <n v="84"/>
    <x v="0"/>
    <n v="1"/>
    <x v="6"/>
    <n v="4"/>
    <x v="1"/>
    <n v="2157"/>
    <n v="18203"/>
    <n v="1"/>
    <s v="Y"/>
    <s v="No"/>
    <n v="15"/>
    <x v="0"/>
    <n v="2"/>
    <n v="80"/>
    <n v="1"/>
    <n v="3"/>
    <n v="5"/>
    <n v="3"/>
    <n v="3"/>
    <n v="1"/>
    <n v="0"/>
    <n v="2"/>
  </r>
  <r>
    <n v="35"/>
    <x v="1"/>
    <x v="0"/>
    <n v="1219"/>
    <x v="0"/>
    <n v="18"/>
    <n v="3"/>
    <s v="Medical"/>
    <n v="1"/>
    <n v="975"/>
    <n v="3"/>
    <x v="0"/>
    <n v="86"/>
    <x v="0"/>
    <n v="2"/>
    <x v="0"/>
    <n v="3"/>
    <x v="1"/>
    <n v="4601"/>
    <n v="6179"/>
    <n v="1"/>
    <s v="Y"/>
    <s v="No"/>
    <n v="16"/>
    <x v="0"/>
    <n v="2"/>
    <n v="80"/>
    <n v="0"/>
    <n v="5"/>
    <n v="3"/>
    <n v="3"/>
    <n v="5"/>
    <n v="2"/>
    <n v="1"/>
    <n v="0"/>
  </r>
  <r>
    <n v="52"/>
    <x v="1"/>
    <x v="0"/>
    <n v="1053"/>
    <x v="1"/>
    <n v="1"/>
    <n v="2"/>
    <s v="Life Sciences"/>
    <n v="1"/>
    <n v="976"/>
    <n v="4"/>
    <x v="1"/>
    <n v="70"/>
    <x v="0"/>
    <n v="4"/>
    <x v="5"/>
    <n v="4"/>
    <x v="1"/>
    <n v="17099"/>
    <n v="13829"/>
    <n v="2"/>
    <s v="Y"/>
    <s v="No"/>
    <n v="15"/>
    <x v="0"/>
    <n v="2"/>
    <n v="80"/>
    <n v="1"/>
    <n v="26"/>
    <n v="2"/>
    <n v="2"/>
    <n v="9"/>
    <n v="8"/>
    <n v="7"/>
    <n v="8"/>
  </r>
  <r>
    <n v="58"/>
    <x v="0"/>
    <x v="0"/>
    <n v="289"/>
    <x v="1"/>
    <n v="2"/>
    <n v="3"/>
    <s v="Technical Degree"/>
    <n v="1"/>
    <n v="977"/>
    <n v="4"/>
    <x v="1"/>
    <n v="51"/>
    <x v="0"/>
    <n v="1"/>
    <x v="1"/>
    <n v="3"/>
    <x v="0"/>
    <n v="2479"/>
    <n v="26227"/>
    <n v="4"/>
    <s v="Y"/>
    <s v="No"/>
    <n v="24"/>
    <x v="1"/>
    <n v="1"/>
    <n v="80"/>
    <n v="0"/>
    <n v="7"/>
    <n v="4"/>
    <n v="3"/>
    <n v="1"/>
    <n v="0"/>
    <n v="0"/>
    <n v="0"/>
  </r>
  <r>
    <n v="53"/>
    <x v="1"/>
    <x v="0"/>
    <n v="1376"/>
    <x v="0"/>
    <n v="2"/>
    <n v="2"/>
    <s v="Medical"/>
    <n v="1"/>
    <n v="981"/>
    <n v="3"/>
    <x v="1"/>
    <n v="45"/>
    <x v="0"/>
    <n v="4"/>
    <x v="5"/>
    <n v="3"/>
    <x v="2"/>
    <n v="14852"/>
    <n v="13938"/>
    <n v="6"/>
    <s v="Y"/>
    <s v="No"/>
    <n v="13"/>
    <x v="0"/>
    <n v="3"/>
    <n v="80"/>
    <n v="1"/>
    <n v="22"/>
    <n v="3"/>
    <n v="4"/>
    <n v="17"/>
    <n v="13"/>
    <n v="15"/>
    <n v="2"/>
  </r>
  <r>
    <n v="30"/>
    <x v="1"/>
    <x v="0"/>
    <n v="231"/>
    <x v="0"/>
    <n v="8"/>
    <n v="2"/>
    <s v="Other"/>
    <n v="1"/>
    <n v="982"/>
    <n v="3"/>
    <x v="1"/>
    <n v="62"/>
    <x v="0"/>
    <n v="3"/>
    <x v="0"/>
    <n v="3"/>
    <x v="2"/>
    <n v="7264"/>
    <n v="9977"/>
    <n v="5"/>
    <s v="Y"/>
    <s v="No"/>
    <n v="11"/>
    <x v="0"/>
    <n v="1"/>
    <n v="80"/>
    <n v="1"/>
    <n v="10"/>
    <n v="2"/>
    <n v="4"/>
    <n v="8"/>
    <n v="4"/>
    <n v="7"/>
    <n v="7"/>
  </r>
  <r>
    <n v="38"/>
    <x v="1"/>
    <x v="2"/>
    <n v="152"/>
    <x v="0"/>
    <n v="10"/>
    <n v="3"/>
    <s v="Technical Degree"/>
    <n v="1"/>
    <n v="983"/>
    <n v="3"/>
    <x v="0"/>
    <n v="85"/>
    <x v="0"/>
    <n v="2"/>
    <x v="0"/>
    <n v="4"/>
    <x v="0"/>
    <n v="5666"/>
    <n v="19899"/>
    <n v="1"/>
    <s v="Y"/>
    <s v="Yes"/>
    <n v="13"/>
    <x v="0"/>
    <n v="2"/>
    <n v="80"/>
    <n v="0"/>
    <n v="6"/>
    <n v="1"/>
    <n v="3"/>
    <n v="5"/>
    <n v="3"/>
    <n v="1"/>
    <n v="3"/>
  </r>
  <r>
    <n v="35"/>
    <x v="1"/>
    <x v="0"/>
    <n v="882"/>
    <x v="0"/>
    <n v="3"/>
    <n v="4"/>
    <s v="Life Sciences"/>
    <n v="1"/>
    <n v="984"/>
    <n v="4"/>
    <x v="1"/>
    <n v="92"/>
    <x v="0"/>
    <n v="3"/>
    <x v="0"/>
    <n v="4"/>
    <x v="2"/>
    <n v="7823"/>
    <n v="6812"/>
    <n v="6"/>
    <s v="Y"/>
    <s v="No"/>
    <n v="13"/>
    <x v="0"/>
    <n v="2"/>
    <n v="80"/>
    <n v="1"/>
    <n v="12"/>
    <n v="2"/>
    <n v="3"/>
    <n v="10"/>
    <n v="9"/>
    <n v="0"/>
    <n v="8"/>
  </r>
  <r>
    <n v="39"/>
    <x v="1"/>
    <x v="0"/>
    <n v="903"/>
    <x v="0"/>
    <n v="2"/>
    <n v="5"/>
    <s v="Life Sciences"/>
    <n v="1"/>
    <n v="985"/>
    <n v="1"/>
    <x v="1"/>
    <n v="41"/>
    <x v="2"/>
    <n v="3"/>
    <x v="0"/>
    <n v="3"/>
    <x v="0"/>
    <n v="7880"/>
    <n v="2560"/>
    <n v="0"/>
    <s v="Y"/>
    <s v="No"/>
    <n v="18"/>
    <x v="0"/>
    <n v="4"/>
    <n v="80"/>
    <n v="0"/>
    <n v="9"/>
    <n v="3"/>
    <n v="3"/>
    <n v="8"/>
    <n v="7"/>
    <n v="0"/>
    <n v="7"/>
  </r>
  <r>
    <n v="40"/>
    <x v="0"/>
    <x v="2"/>
    <n v="1479"/>
    <x v="0"/>
    <n v="24"/>
    <n v="3"/>
    <s v="Life Sciences"/>
    <n v="1"/>
    <n v="986"/>
    <n v="2"/>
    <x v="0"/>
    <n v="100"/>
    <x v="2"/>
    <n v="4"/>
    <x v="0"/>
    <n v="2"/>
    <x v="0"/>
    <n v="13194"/>
    <n v="17071"/>
    <n v="4"/>
    <s v="Y"/>
    <s v="Yes"/>
    <n v="16"/>
    <x v="0"/>
    <n v="4"/>
    <n v="80"/>
    <n v="0"/>
    <n v="22"/>
    <n v="2"/>
    <n v="2"/>
    <n v="1"/>
    <n v="0"/>
    <n v="0"/>
    <n v="0"/>
  </r>
  <r>
    <n v="47"/>
    <x v="1"/>
    <x v="1"/>
    <n v="1379"/>
    <x v="1"/>
    <n v="16"/>
    <n v="4"/>
    <s v="Medical"/>
    <n v="1"/>
    <n v="987"/>
    <n v="3"/>
    <x v="1"/>
    <n v="64"/>
    <x v="2"/>
    <n v="2"/>
    <x v="3"/>
    <n v="3"/>
    <x v="2"/>
    <n v="5067"/>
    <n v="6759"/>
    <n v="1"/>
    <s v="Y"/>
    <s v="Yes"/>
    <n v="19"/>
    <x v="0"/>
    <n v="3"/>
    <n v="80"/>
    <n v="0"/>
    <n v="20"/>
    <n v="3"/>
    <n v="4"/>
    <n v="19"/>
    <n v="10"/>
    <n v="2"/>
    <n v="7"/>
  </r>
  <r>
    <n v="36"/>
    <x v="1"/>
    <x v="2"/>
    <n v="1229"/>
    <x v="0"/>
    <n v="8"/>
    <n v="4"/>
    <s v="Technical Degree"/>
    <n v="1"/>
    <n v="990"/>
    <n v="1"/>
    <x v="1"/>
    <n v="84"/>
    <x v="0"/>
    <n v="2"/>
    <x v="0"/>
    <n v="4"/>
    <x v="2"/>
    <n v="5079"/>
    <n v="25952"/>
    <n v="4"/>
    <s v="Y"/>
    <s v="No"/>
    <n v="13"/>
    <x v="0"/>
    <n v="4"/>
    <n v="80"/>
    <n v="2"/>
    <n v="12"/>
    <n v="3"/>
    <n v="3"/>
    <n v="7"/>
    <n v="7"/>
    <n v="0"/>
    <n v="7"/>
  </r>
  <r>
    <n v="31"/>
    <x v="0"/>
    <x v="2"/>
    <n v="335"/>
    <x v="1"/>
    <n v="9"/>
    <n v="2"/>
    <s v="Medical"/>
    <n v="1"/>
    <n v="991"/>
    <n v="3"/>
    <x v="1"/>
    <n v="46"/>
    <x v="1"/>
    <n v="1"/>
    <x v="1"/>
    <n v="1"/>
    <x v="0"/>
    <n v="2321"/>
    <n v="10322"/>
    <n v="0"/>
    <s v="Y"/>
    <s v="Yes"/>
    <n v="22"/>
    <x v="1"/>
    <n v="1"/>
    <n v="80"/>
    <n v="0"/>
    <n v="4"/>
    <n v="0"/>
    <n v="3"/>
    <n v="3"/>
    <n v="2"/>
    <n v="1"/>
    <n v="2"/>
  </r>
  <r>
    <n v="33"/>
    <x v="1"/>
    <x v="2"/>
    <n v="722"/>
    <x v="0"/>
    <n v="17"/>
    <n v="3"/>
    <s v="Life Sciences"/>
    <n v="1"/>
    <n v="992"/>
    <n v="4"/>
    <x v="1"/>
    <n v="38"/>
    <x v="0"/>
    <n v="4"/>
    <x v="5"/>
    <n v="3"/>
    <x v="0"/>
    <n v="17444"/>
    <n v="20489"/>
    <n v="1"/>
    <s v="Y"/>
    <s v="No"/>
    <n v="11"/>
    <x v="0"/>
    <n v="4"/>
    <n v="80"/>
    <n v="0"/>
    <n v="10"/>
    <n v="2"/>
    <n v="3"/>
    <n v="10"/>
    <n v="8"/>
    <n v="6"/>
    <n v="0"/>
  </r>
  <r>
    <n v="29"/>
    <x v="0"/>
    <x v="0"/>
    <n v="906"/>
    <x v="1"/>
    <n v="10"/>
    <n v="3"/>
    <s v="Life Sciences"/>
    <n v="1"/>
    <n v="994"/>
    <n v="4"/>
    <x v="0"/>
    <n v="92"/>
    <x v="1"/>
    <n v="1"/>
    <x v="1"/>
    <n v="1"/>
    <x v="0"/>
    <n v="2404"/>
    <n v="11479"/>
    <n v="6"/>
    <s v="Y"/>
    <s v="Yes"/>
    <n v="20"/>
    <x v="1"/>
    <n v="3"/>
    <n v="80"/>
    <n v="0"/>
    <n v="3"/>
    <n v="5"/>
    <n v="3"/>
    <n v="0"/>
    <n v="0"/>
    <n v="0"/>
    <n v="0"/>
  </r>
  <r>
    <n v="33"/>
    <x v="1"/>
    <x v="0"/>
    <n v="461"/>
    <x v="1"/>
    <n v="13"/>
    <n v="1"/>
    <s v="Life Sciences"/>
    <n v="1"/>
    <n v="995"/>
    <n v="2"/>
    <x v="0"/>
    <n v="53"/>
    <x v="0"/>
    <n v="1"/>
    <x v="1"/>
    <n v="4"/>
    <x v="0"/>
    <n v="3452"/>
    <n v="17241"/>
    <n v="3"/>
    <s v="Y"/>
    <s v="No"/>
    <n v="18"/>
    <x v="0"/>
    <n v="1"/>
    <n v="80"/>
    <n v="0"/>
    <n v="5"/>
    <n v="4"/>
    <n v="3"/>
    <n v="3"/>
    <n v="2"/>
    <n v="0"/>
    <n v="2"/>
  </r>
  <r>
    <n v="45"/>
    <x v="1"/>
    <x v="0"/>
    <n v="974"/>
    <x v="1"/>
    <n v="1"/>
    <n v="4"/>
    <s v="Medical"/>
    <n v="1"/>
    <n v="996"/>
    <n v="4"/>
    <x v="0"/>
    <n v="91"/>
    <x v="0"/>
    <n v="1"/>
    <x v="2"/>
    <n v="4"/>
    <x v="2"/>
    <n v="2270"/>
    <n v="11005"/>
    <n v="3"/>
    <s v="Y"/>
    <s v="No"/>
    <n v="14"/>
    <x v="0"/>
    <n v="4"/>
    <n v="80"/>
    <n v="2"/>
    <n v="8"/>
    <n v="2"/>
    <n v="3"/>
    <n v="5"/>
    <n v="3"/>
    <n v="0"/>
    <n v="2"/>
  </r>
  <r>
    <n v="50"/>
    <x v="1"/>
    <x v="0"/>
    <n v="1126"/>
    <x v="1"/>
    <n v="1"/>
    <n v="2"/>
    <s v="Medical"/>
    <n v="1"/>
    <n v="997"/>
    <n v="4"/>
    <x v="1"/>
    <n v="66"/>
    <x v="0"/>
    <n v="4"/>
    <x v="7"/>
    <n v="4"/>
    <x v="2"/>
    <n v="17399"/>
    <n v="6615"/>
    <n v="9"/>
    <s v="Y"/>
    <s v="No"/>
    <n v="22"/>
    <x v="1"/>
    <n v="3"/>
    <n v="80"/>
    <n v="1"/>
    <n v="32"/>
    <n v="1"/>
    <n v="2"/>
    <n v="5"/>
    <n v="4"/>
    <n v="1"/>
    <n v="3"/>
  </r>
  <r>
    <n v="33"/>
    <x v="1"/>
    <x v="1"/>
    <n v="827"/>
    <x v="1"/>
    <n v="1"/>
    <n v="4"/>
    <s v="Other"/>
    <n v="1"/>
    <n v="998"/>
    <n v="3"/>
    <x v="0"/>
    <n v="84"/>
    <x v="2"/>
    <n v="2"/>
    <x v="4"/>
    <n v="2"/>
    <x v="1"/>
    <n v="5488"/>
    <n v="20161"/>
    <n v="1"/>
    <s v="Y"/>
    <s v="Yes"/>
    <n v="13"/>
    <x v="0"/>
    <n v="1"/>
    <n v="80"/>
    <n v="1"/>
    <n v="6"/>
    <n v="2"/>
    <n v="3"/>
    <n v="6"/>
    <n v="5"/>
    <n v="1"/>
    <n v="2"/>
  </r>
  <r>
    <n v="41"/>
    <x v="1"/>
    <x v="1"/>
    <n v="840"/>
    <x v="1"/>
    <n v="9"/>
    <n v="3"/>
    <s v="Medical"/>
    <n v="1"/>
    <n v="999"/>
    <n v="1"/>
    <x v="1"/>
    <n v="64"/>
    <x v="0"/>
    <n v="5"/>
    <x v="7"/>
    <n v="3"/>
    <x v="2"/>
    <n v="19419"/>
    <n v="3735"/>
    <n v="2"/>
    <s v="Y"/>
    <s v="No"/>
    <n v="17"/>
    <x v="0"/>
    <n v="2"/>
    <n v="80"/>
    <n v="1"/>
    <n v="21"/>
    <n v="2"/>
    <n v="4"/>
    <n v="18"/>
    <n v="16"/>
    <n v="0"/>
    <n v="11"/>
  </r>
  <r>
    <n v="27"/>
    <x v="1"/>
    <x v="0"/>
    <n v="1134"/>
    <x v="1"/>
    <n v="16"/>
    <n v="4"/>
    <s v="Technical Degree"/>
    <n v="1"/>
    <n v="1001"/>
    <n v="3"/>
    <x v="0"/>
    <n v="37"/>
    <x v="0"/>
    <n v="1"/>
    <x v="2"/>
    <n v="2"/>
    <x v="1"/>
    <n v="2811"/>
    <n v="12086"/>
    <n v="9"/>
    <s v="Y"/>
    <s v="No"/>
    <n v="14"/>
    <x v="0"/>
    <n v="2"/>
    <n v="80"/>
    <n v="1"/>
    <n v="4"/>
    <n v="2"/>
    <n v="3"/>
    <n v="2"/>
    <n v="2"/>
    <n v="2"/>
    <n v="2"/>
  </r>
  <r>
    <n v="45"/>
    <x v="1"/>
    <x v="2"/>
    <n v="248"/>
    <x v="1"/>
    <n v="23"/>
    <n v="2"/>
    <s v="Life Sciences"/>
    <n v="1"/>
    <n v="1002"/>
    <n v="4"/>
    <x v="1"/>
    <n v="42"/>
    <x v="0"/>
    <n v="2"/>
    <x v="2"/>
    <n v="1"/>
    <x v="1"/>
    <n v="3633"/>
    <n v="14039"/>
    <n v="1"/>
    <s v="Y"/>
    <s v="Yes"/>
    <n v="15"/>
    <x v="0"/>
    <n v="3"/>
    <n v="80"/>
    <n v="1"/>
    <n v="9"/>
    <n v="2"/>
    <n v="3"/>
    <n v="9"/>
    <n v="8"/>
    <n v="0"/>
    <n v="8"/>
  </r>
  <r>
    <n v="47"/>
    <x v="1"/>
    <x v="0"/>
    <n v="955"/>
    <x v="0"/>
    <n v="4"/>
    <n v="2"/>
    <s v="Life Sciences"/>
    <n v="1"/>
    <n v="1003"/>
    <n v="4"/>
    <x v="0"/>
    <n v="83"/>
    <x v="0"/>
    <n v="2"/>
    <x v="0"/>
    <n v="4"/>
    <x v="0"/>
    <n v="4163"/>
    <n v="8571"/>
    <n v="1"/>
    <s v="Y"/>
    <s v="Yes"/>
    <n v="17"/>
    <x v="0"/>
    <n v="3"/>
    <n v="80"/>
    <n v="0"/>
    <n v="9"/>
    <n v="0"/>
    <n v="3"/>
    <n v="9"/>
    <n v="0"/>
    <n v="0"/>
    <n v="7"/>
  </r>
  <r>
    <n v="30"/>
    <x v="0"/>
    <x v="0"/>
    <n v="138"/>
    <x v="1"/>
    <n v="22"/>
    <n v="3"/>
    <s v="Life Sciences"/>
    <n v="1"/>
    <n v="1004"/>
    <n v="1"/>
    <x v="0"/>
    <n v="48"/>
    <x v="0"/>
    <n v="1"/>
    <x v="1"/>
    <n v="3"/>
    <x v="1"/>
    <n v="2132"/>
    <n v="11539"/>
    <n v="4"/>
    <s v="Y"/>
    <s v="Yes"/>
    <n v="11"/>
    <x v="0"/>
    <n v="2"/>
    <n v="80"/>
    <n v="0"/>
    <n v="7"/>
    <n v="2"/>
    <n v="3"/>
    <n v="5"/>
    <n v="2"/>
    <n v="0"/>
    <n v="1"/>
  </r>
  <r>
    <n v="50"/>
    <x v="1"/>
    <x v="0"/>
    <n v="939"/>
    <x v="1"/>
    <n v="24"/>
    <n v="3"/>
    <s v="Life Sciences"/>
    <n v="1"/>
    <n v="1005"/>
    <n v="4"/>
    <x v="1"/>
    <n v="95"/>
    <x v="0"/>
    <n v="4"/>
    <x v="3"/>
    <n v="3"/>
    <x v="1"/>
    <n v="13973"/>
    <n v="4161"/>
    <n v="3"/>
    <s v="Y"/>
    <s v="Yes"/>
    <n v="18"/>
    <x v="0"/>
    <n v="4"/>
    <n v="80"/>
    <n v="1"/>
    <n v="22"/>
    <n v="2"/>
    <n v="3"/>
    <n v="12"/>
    <n v="11"/>
    <n v="1"/>
    <n v="5"/>
  </r>
  <r>
    <n v="38"/>
    <x v="1"/>
    <x v="1"/>
    <n v="1391"/>
    <x v="1"/>
    <n v="10"/>
    <n v="1"/>
    <s v="Medical"/>
    <n v="1"/>
    <n v="1006"/>
    <n v="3"/>
    <x v="1"/>
    <n v="66"/>
    <x v="0"/>
    <n v="1"/>
    <x v="1"/>
    <n v="3"/>
    <x v="1"/>
    <n v="2684"/>
    <n v="12127"/>
    <n v="0"/>
    <s v="Y"/>
    <s v="No"/>
    <n v="17"/>
    <x v="0"/>
    <n v="2"/>
    <n v="80"/>
    <n v="1"/>
    <n v="3"/>
    <n v="0"/>
    <n v="2"/>
    <n v="2"/>
    <n v="1"/>
    <n v="0"/>
    <n v="2"/>
  </r>
  <r>
    <n v="46"/>
    <x v="1"/>
    <x v="0"/>
    <n v="566"/>
    <x v="1"/>
    <n v="7"/>
    <n v="2"/>
    <s v="Medical"/>
    <n v="1"/>
    <n v="1007"/>
    <n v="4"/>
    <x v="1"/>
    <n v="75"/>
    <x v="0"/>
    <n v="3"/>
    <x v="3"/>
    <n v="3"/>
    <x v="2"/>
    <n v="10845"/>
    <n v="24208"/>
    <n v="6"/>
    <s v="Y"/>
    <s v="No"/>
    <n v="13"/>
    <x v="0"/>
    <n v="2"/>
    <n v="80"/>
    <n v="1"/>
    <n v="13"/>
    <n v="3"/>
    <n v="3"/>
    <n v="8"/>
    <n v="7"/>
    <n v="0"/>
    <n v="7"/>
  </r>
  <r>
    <n v="24"/>
    <x v="1"/>
    <x v="0"/>
    <n v="1206"/>
    <x v="1"/>
    <n v="17"/>
    <n v="1"/>
    <s v="Medical"/>
    <n v="1"/>
    <n v="1009"/>
    <n v="4"/>
    <x v="0"/>
    <n v="41"/>
    <x v="1"/>
    <n v="2"/>
    <x v="3"/>
    <n v="3"/>
    <x v="2"/>
    <n v="4377"/>
    <n v="24117"/>
    <n v="1"/>
    <s v="Y"/>
    <s v="No"/>
    <n v="15"/>
    <x v="0"/>
    <n v="2"/>
    <n v="80"/>
    <n v="2"/>
    <n v="5"/>
    <n v="6"/>
    <n v="3"/>
    <n v="4"/>
    <n v="2"/>
    <n v="3"/>
    <n v="2"/>
  </r>
  <r>
    <n v="35"/>
    <x v="0"/>
    <x v="0"/>
    <n v="622"/>
    <x v="1"/>
    <n v="14"/>
    <n v="4"/>
    <s v="Other"/>
    <n v="1"/>
    <n v="1010"/>
    <n v="3"/>
    <x v="1"/>
    <n v="39"/>
    <x v="1"/>
    <n v="1"/>
    <x v="2"/>
    <n v="2"/>
    <x v="2"/>
    <n v="3743"/>
    <n v="10074"/>
    <n v="1"/>
    <s v="Y"/>
    <s v="Yes"/>
    <n v="24"/>
    <x v="1"/>
    <n v="4"/>
    <n v="80"/>
    <n v="1"/>
    <n v="5"/>
    <n v="2"/>
    <n v="1"/>
    <n v="4"/>
    <n v="2"/>
    <n v="0"/>
    <n v="2"/>
  </r>
  <r>
    <n v="31"/>
    <x v="1"/>
    <x v="1"/>
    <n v="853"/>
    <x v="1"/>
    <n v="1"/>
    <n v="1"/>
    <s v="Life Sciences"/>
    <n v="1"/>
    <n v="1011"/>
    <n v="3"/>
    <x v="0"/>
    <n v="96"/>
    <x v="0"/>
    <n v="2"/>
    <x v="3"/>
    <n v="1"/>
    <x v="1"/>
    <n v="4148"/>
    <n v="11275"/>
    <n v="1"/>
    <s v="Y"/>
    <s v="No"/>
    <n v="12"/>
    <x v="0"/>
    <n v="3"/>
    <n v="80"/>
    <n v="1"/>
    <n v="4"/>
    <n v="1"/>
    <n v="3"/>
    <n v="4"/>
    <n v="3"/>
    <n v="0"/>
    <n v="3"/>
  </r>
  <r>
    <n v="18"/>
    <x v="1"/>
    <x v="2"/>
    <n v="287"/>
    <x v="1"/>
    <n v="5"/>
    <n v="2"/>
    <s v="Life Sciences"/>
    <n v="1"/>
    <n v="1012"/>
    <n v="2"/>
    <x v="1"/>
    <n v="73"/>
    <x v="0"/>
    <n v="1"/>
    <x v="1"/>
    <n v="4"/>
    <x v="0"/>
    <n v="1051"/>
    <n v="13493"/>
    <n v="1"/>
    <s v="Y"/>
    <s v="No"/>
    <n v="15"/>
    <x v="0"/>
    <n v="4"/>
    <n v="80"/>
    <n v="0"/>
    <n v="0"/>
    <n v="2"/>
    <n v="3"/>
    <n v="0"/>
    <n v="0"/>
    <n v="0"/>
    <n v="0"/>
  </r>
  <r>
    <n v="54"/>
    <x v="1"/>
    <x v="0"/>
    <n v="1441"/>
    <x v="1"/>
    <n v="17"/>
    <n v="3"/>
    <s v="Technical Degree"/>
    <n v="1"/>
    <n v="1013"/>
    <n v="3"/>
    <x v="0"/>
    <n v="56"/>
    <x v="0"/>
    <n v="3"/>
    <x v="3"/>
    <n v="3"/>
    <x v="1"/>
    <n v="10739"/>
    <n v="13943"/>
    <n v="8"/>
    <s v="Y"/>
    <s v="No"/>
    <n v="11"/>
    <x v="0"/>
    <n v="3"/>
    <n v="80"/>
    <n v="1"/>
    <n v="22"/>
    <n v="2"/>
    <n v="3"/>
    <n v="10"/>
    <n v="7"/>
    <n v="0"/>
    <n v="8"/>
  </r>
  <r>
    <n v="35"/>
    <x v="1"/>
    <x v="0"/>
    <n v="583"/>
    <x v="1"/>
    <n v="25"/>
    <n v="4"/>
    <s v="Medical"/>
    <n v="1"/>
    <n v="1014"/>
    <n v="3"/>
    <x v="0"/>
    <n v="57"/>
    <x v="0"/>
    <n v="3"/>
    <x v="4"/>
    <n v="3"/>
    <x v="2"/>
    <n v="10388"/>
    <n v="6975"/>
    <n v="1"/>
    <s v="Y"/>
    <s v="Yes"/>
    <n v="11"/>
    <x v="0"/>
    <n v="3"/>
    <n v="80"/>
    <n v="1"/>
    <n v="16"/>
    <n v="3"/>
    <n v="2"/>
    <n v="16"/>
    <n v="10"/>
    <n v="10"/>
    <n v="1"/>
  </r>
  <r>
    <n v="30"/>
    <x v="1"/>
    <x v="0"/>
    <n v="153"/>
    <x v="1"/>
    <n v="8"/>
    <n v="2"/>
    <s v="Life Sciences"/>
    <n v="1"/>
    <n v="1015"/>
    <n v="2"/>
    <x v="0"/>
    <n v="73"/>
    <x v="2"/>
    <n v="3"/>
    <x v="7"/>
    <n v="1"/>
    <x v="1"/>
    <n v="11416"/>
    <n v="17802"/>
    <n v="0"/>
    <s v="Y"/>
    <s v="Yes"/>
    <n v="12"/>
    <x v="0"/>
    <n v="3"/>
    <n v="80"/>
    <n v="3"/>
    <n v="9"/>
    <n v="4"/>
    <n v="2"/>
    <n v="8"/>
    <n v="7"/>
    <n v="1"/>
    <n v="7"/>
  </r>
  <r>
    <n v="20"/>
    <x v="0"/>
    <x v="0"/>
    <n v="1097"/>
    <x v="1"/>
    <n v="11"/>
    <n v="3"/>
    <s v="Medical"/>
    <n v="1"/>
    <n v="1016"/>
    <n v="4"/>
    <x v="0"/>
    <n v="98"/>
    <x v="1"/>
    <n v="1"/>
    <x v="1"/>
    <n v="1"/>
    <x v="0"/>
    <n v="2600"/>
    <n v="18275"/>
    <n v="1"/>
    <s v="Y"/>
    <s v="Yes"/>
    <n v="15"/>
    <x v="0"/>
    <n v="1"/>
    <n v="80"/>
    <n v="0"/>
    <n v="1"/>
    <n v="2"/>
    <n v="3"/>
    <n v="1"/>
    <n v="0"/>
    <n v="0"/>
    <n v="0"/>
  </r>
  <r>
    <n v="30"/>
    <x v="0"/>
    <x v="1"/>
    <n v="109"/>
    <x v="1"/>
    <n v="5"/>
    <n v="3"/>
    <s v="Medical"/>
    <n v="1"/>
    <n v="1017"/>
    <n v="2"/>
    <x v="0"/>
    <n v="60"/>
    <x v="0"/>
    <n v="1"/>
    <x v="2"/>
    <n v="2"/>
    <x v="0"/>
    <n v="2422"/>
    <n v="25725"/>
    <n v="0"/>
    <s v="Y"/>
    <s v="No"/>
    <n v="17"/>
    <x v="0"/>
    <n v="1"/>
    <n v="80"/>
    <n v="0"/>
    <n v="4"/>
    <n v="3"/>
    <n v="3"/>
    <n v="3"/>
    <n v="2"/>
    <n v="1"/>
    <n v="2"/>
  </r>
  <r>
    <n v="26"/>
    <x v="1"/>
    <x v="0"/>
    <n v="1066"/>
    <x v="1"/>
    <n v="2"/>
    <n v="2"/>
    <s v="Medical"/>
    <n v="1"/>
    <n v="1018"/>
    <n v="4"/>
    <x v="1"/>
    <n v="32"/>
    <x v="2"/>
    <n v="2"/>
    <x v="3"/>
    <n v="4"/>
    <x v="1"/>
    <n v="5472"/>
    <n v="3334"/>
    <n v="1"/>
    <s v="Y"/>
    <s v="No"/>
    <n v="12"/>
    <x v="0"/>
    <n v="2"/>
    <n v="80"/>
    <n v="0"/>
    <n v="8"/>
    <n v="2"/>
    <n v="3"/>
    <n v="8"/>
    <n v="7"/>
    <n v="1"/>
    <n v="3"/>
  </r>
  <r>
    <n v="22"/>
    <x v="1"/>
    <x v="0"/>
    <n v="217"/>
    <x v="1"/>
    <n v="8"/>
    <n v="1"/>
    <s v="Life Sciences"/>
    <n v="1"/>
    <n v="1019"/>
    <n v="2"/>
    <x v="1"/>
    <n v="94"/>
    <x v="3"/>
    <n v="1"/>
    <x v="2"/>
    <n v="1"/>
    <x v="1"/>
    <n v="2451"/>
    <n v="6881"/>
    <n v="1"/>
    <s v="Y"/>
    <s v="No"/>
    <n v="15"/>
    <x v="0"/>
    <n v="1"/>
    <n v="80"/>
    <n v="1"/>
    <n v="4"/>
    <n v="3"/>
    <n v="2"/>
    <n v="4"/>
    <n v="3"/>
    <n v="1"/>
    <n v="1"/>
  </r>
  <r>
    <n v="48"/>
    <x v="1"/>
    <x v="0"/>
    <n v="277"/>
    <x v="1"/>
    <n v="6"/>
    <n v="3"/>
    <s v="Life Sciences"/>
    <n v="1"/>
    <n v="1022"/>
    <n v="1"/>
    <x v="1"/>
    <n v="97"/>
    <x v="1"/>
    <n v="2"/>
    <x v="4"/>
    <n v="3"/>
    <x v="0"/>
    <n v="4240"/>
    <n v="13119"/>
    <n v="2"/>
    <s v="Y"/>
    <s v="No"/>
    <n v="13"/>
    <x v="0"/>
    <n v="4"/>
    <n v="80"/>
    <n v="0"/>
    <n v="19"/>
    <n v="0"/>
    <n v="3"/>
    <n v="2"/>
    <n v="2"/>
    <n v="2"/>
    <n v="2"/>
  </r>
  <r>
    <n v="48"/>
    <x v="1"/>
    <x v="0"/>
    <n v="1355"/>
    <x v="1"/>
    <n v="4"/>
    <n v="4"/>
    <s v="Life Sciences"/>
    <n v="1"/>
    <n v="1024"/>
    <n v="3"/>
    <x v="1"/>
    <n v="78"/>
    <x v="1"/>
    <n v="3"/>
    <x v="4"/>
    <n v="3"/>
    <x v="0"/>
    <n v="10999"/>
    <n v="22245"/>
    <n v="7"/>
    <s v="Y"/>
    <s v="No"/>
    <n v="14"/>
    <x v="0"/>
    <n v="2"/>
    <n v="80"/>
    <n v="0"/>
    <n v="27"/>
    <n v="3"/>
    <n v="3"/>
    <n v="15"/>
    <n v="11"/>
    <n v="4"/>
    <n v="8"/>
  </r>
  <r>
    <n v="41"/>
    <x v="1"/>
    <x v="0"/>
    <n v="549"/>
    <x v="1"/>
    <n v="7"/>
    <n v="2"/>
    <s v="Medical"/>
    <n v="1"/>
    <n v="1025"/>
    <n v="4"/>
    <x v="0"/>
    <n v="42"/>
    <x v="0"/>
    <n v="2"/>
    <x v="3"/>
    <n v="3"/>
    <x v="0"/>
    <n v="5003"/>
    <n v="23371"/>
    <n v="6"/>
    <s v="Y"/>
    <s v="No"/>
    <n v="14"/>
    <x v="0"/>
    <n v="2"/>
    <n v="80"/>
    <n v="0"/>
    <n v="8"/>
    <n v="6"/>
    <n v="3"/>
    <n v="2"/>
    <n v="2"/>
    <n v="2"/>
    <n v="1"/>
  </r>
  <r>
    <n v="39"/>
    <x v="1"/>
    <x v="0"/>
    <n v="466"/>
    <x v="1"/>
    <n v="1"/>
    <n v="1"/>
    <s v="Life Sciences"/>
    <n v="1"/>
    <n v="1026"/>
    <n v="4"/>
    <x v="0"/>
    <n v="65"/>
    <x v="1"/>
    <n v="4"/>
    <x v="3"/>
    <n v="4"/>
    <x v="1"/>
    <n v="12742"/>
    <n v="7060"/>
    <n v="1"/>
    <s v="Y"/>
    <s v="No"/>
    <n v="16"/>
    <x v="0"/>
    <n v="3"/>
    <n v="80"/>
    <n v="1"/>
    <n v="21"/>
    <n v="3"/>
    <n v="3"/>
    <n v="21"/>
    <n v="6"/>
    <n v="11"/>
    <n v="8"/>
  </r>
  <r>
    <n v="27"/>
    <x v="1"/>
    <x v="0"/>
    <n v="1055"/>
    <x v="1"/>
    <n v="2"/>
    <n v="4"/>
    <s v="Life Sciences"/>
    <n v="1"/>
    <n v="1027"/>
    <n v="1"/>
    <x v="0"/>
    <n v="47"/>
    <x v="0"/>
    <n v="2"/>
    <x v="3"/>
    <n v="4"/>
    <x v="1"/>
    <n v="4227"/>
    <n v="4658"/>
    <n v="0"/>
    <s v="Y"/>
    <s v="No"/>
    <n v="18"/>
    <x v="0"/>
    <n v="2"/>
    <n v="80"/>
    <n v="1"/>
    <n v="4"/>
    <n v="2"/>
    <n v="3"/>
    <n v="3"/>
    <n v="2"/>
    <n v="2"/>
    <n v="2"/>
  </r>
  <r>
    <n v="35"/>
    <x v="1"/>
    <x v="0"/>
    <n v="802"/>
    <x v="1"/>
    <n v="10"/>
    <n v="3"/>
    <s v="Other"/>
    <n v="1"/>
    <n v="1028"/>
    <n v="2"/>
    <x v="1"/>
    <n v="45"/>
    <x v="0"/>
    <n v="1"/>
    <x v="2"/>
    <n v="4"/>
    <x v="2"/>
    <n v="3917"/>
    <n v="9541"/>
    <n v="1"/>
    <s v="Y"/>
    <s v="No"/>
    <n v="20"/>
    <x v="1"/>
    <n v="1"/>
    <n v="80"/>
    <n v="1"/>
    <n v="3"/>
    <n v="4"/>
    <n v="2"/>
    <n v="3"/>
    <n v="2"/>
    <n v="1"/>
    <n v="2"/>
  </r>
  <r>
    <n v="42"/>
    <x v="1"/>
    <x v="0"/>
    <n v="265"/>
    <x v="0"/>
    <n v="5"/>
    <n v="2"/>
    <s v="Marketing"/>
    <n v="1"/>
    <n v="1029"/>
    <n v="4"/>
    <x v="1"/>
    <n v="90"/>
    <x v="0"/>
    <n v="5"/>
    <x v="5"/>
    <n v="3"/>
    <x v="1"/>
    <n v="18303"/>
    <n v="7770"/>
    <n v="6"/>
    <s v="Y"/>
    <s v="No"/>
    <n v="13"/>
    <x v="0"/>
    <n v="2"/>
    <n v="80"/>
    <n v="0"/>
    <n v="21"/>
    <n v="3"/>
    <n v="4"/>
    <n v="1"/>
    <n v="0"/>
    <n v="0"/>
    <n v="0"/>
  </r>
  <r>
    <n v="50"/>
    <x v="1"/>
    <x v="0"/>
    <n v="804"/>
    <x v="1"/>
    <n v="9"/>
    <n v="3"/>
    <s v="Life Sciences"/>
    <n v="1"/>
    <n v="1030"/>
    <n v="1"/>
    <x v="1"/>
    <n v="64"/>
    <x v="0"/>
    <n v="1"/>
    <x v="2"/>
    <n v="4"/>
    <x v="1"/>
    <n v="2380"/>
    <n v="20165"/>
    <n v="4"/>
    <s v="Y"/>
    <s v="No"/>
    <n v="18"/>
    <x v="0"/>
    <n v="2"/>
    <n v="80"/>
    <n v="0"/>
    <n v="8"/>
    <n v="5"/>
    <n v="3"/>
    <n v="1"/>
    <n v="0"/>
    <n v="0"/>
    <n v="0"/>
  </r>
  <r>
    <n v="59"/>
    <x v="1"/>
    <x v="0"/>
    <n v="715"/>
    <x v="1"/>
    <n v="2"/>
    <n v="3"/>
    <s v="Life Sciences"/>
    <n v="1"/>
    <n v="1032"/>
    <n v="3"/>
    <x v="0"/>
    <n v="69"/>
    <x v="1"/>
    <n v="4"/>
    <x v="3"/>
    <n v="4"/>
    <x v="0"/>
    <n v="13726"/>
    <n v="21829"/>
    <n v="3"/>
    <s v="Y"/>
    <s v="Yes"/>
    <n v="13"/>
    <x v="0"/>
    <n v="1"/>
    <n v="80"/>
    <n v="0"/>
    <n v="30"/>
    <n v="4"/>
    <n v="3"/>
    <n v="5"/>
    <n v="3"/>
    <n v="4"/>
    <n v="3"/>
  </r>
  <r>
    <n v="37"/>
    <x v="0"/>
    <x v="0"/>
    <n v="1141"/>
    <x v="1"/>
    <n v="11"/>
    <n v="2"/>
    <s v="Medical"/>
    <n v="1"/>
    <n v="1033"/>
    <n v="1"/>
    <x v="0"/>
    <n v="61"/>
    <x v="3"/>
    <n v="2"/>
    <x v="4"/>
    <n v="2"/>
    <x v="1"/>
    <n v="4777"/>
    <n v="14382"/>
    <n v="5"/>
    <s v="Y"/>
    <s v="No"/>
    <n v="15"/>
    <x v="0"/>
    <n v="1"/>
    <n v="80"/>
    <n v="0"/>
    <n v="15"/>
    <n v="2"/>
    <n v="1"/>
    <n v="1"/>
    <n v="0"/>
    <n v="0"/>
    <n v="0"/>
  </r>
  <r>
    <n v="55"/>
    <x v="1"/>
    <x v="1"/>
    <n v="135"/>
    <x v="1"/>
    <n v="18"/>
    <n v="4"/>
    <s v="Medical"/>
    <n v="1"/>
    <n v="1034"/>
    <n v="3"/>
    <x v="1"/>
    <n v="62"/>
    <x v="0"/>
    <n v="2"/>
    <x v="4"/>
    <n v="2"/>
    <x v="1"/>
    <n v="6385"/>
    <n v="12992"/>
    <n v="3"/>
    <s v="Y"/>
    <s v="Yes"/>
    <n v="14"/>
    <x v="0"/>
    <n v="4"/>
    <n v="80"/>
    <n v="2"/>
    <n v="17"/>
    <n v="3"/>
    <n v="3"/>
    <n v="8"/>
    <n v="7"/>
    <n v="6"/>
    <n v="7"/>
  </r>
  <r>
    <n v="41"/>
    <x v="1"/>
    <x v="2"/>
    <n v="247"/>
    <x v="1"/>
    <n v="7"/>
    <n v="1"/>
    <s v="Life Sciences"/>
    <n v="1"/>
    <n v="1035"/>
    <n v="2"/>
    <x v="0"/>
    <n v="55"/>
    <x v="3"/>
    <n v="5"/>
    <x v="7"/>
    <n v="3"/>
    <x v="2"/>
    <n v="19973"/>
    <n v="20284"/>
    <n v="1"/>
    <s v="Y"/>
    <s v="No"/>
    <n v="22"/>
    <x v="1"/>
    <n v="2"/>
    <n v="80"/>
    <n v="2"/>
    <n v="21"/>
    <n v="3"/>
    <n v="3"/>
    <n v="21"/>
    <n v="16"/>
    <n v="5"/>
    <n v="10"/>
  </r>
  <r>
    <n v="38"/>
    <x v="1"/>
    <x v="0"/>
    <n v="1035"/>
    <x v="0"/>
    <n v="3"/>
    <n v="4"/>
    <s v="Life Sciences"/>
    <n v="1"/>
    <n v="1036"/>
    <n v="2"/>
    <x v="1"/>
    <n v="42"/>
    <x v="0"/>
    <n v="2"/>
    <x v="0"/>
    <n v="4"/>
    <x v="0"/>
    <n v="6861"/>
    <n v="4981"/>
    <n v="8"/>
    <s v="Y"/>
    <s v="Yes"/>
    <n v="12"/>
    <x v="0"/>
    <n v="3"/>
    <n v="80"/>
    <n v="0"/>
    <n v="19"/>
    <n v="1"/>
    <n v="3"/>
    <n v="1"/>
    <n v="0"/>
    <n v="0"/>
    <n v="0"/>
  </r>
  <r>
    <n v="26"/>
    <x v="0"/>
    <x v="2"/>
    <n v="265"/>
    <x v="0"/>
    <n v="29"/>
    <n v="2"/>
    <s v="Medical"/>
    <n v="1"/>
    <n v="1037"/>
    <n v="2"/>
    <x v="1"/>
    <n v="79"/>
    <x v="3"/>
    <n v="2"/>
    <x v="0"/>
    <n v="1"/>
    <x v="0"/>
    <n v="4969"/>
    <n v="21813"/>
    <n v="8"/>
    <s v="Y"/>
    <s v="No"/>
    <n v="18"/>
    <x v="0"/>
    <n v="4"/>
    <n v="80"/>
    <n v="0"/>
    <n v="7"/>
    <n v="6"/>
    <n v="3"/>
    <n v="2"/>
    <n v="2"/>
    <n v="2"/>
    <n v="2"/>
  </r>
  <r>
    <n v="52"/>
    <x v="0"/>
    <x v="0"/>
    <n v="266"/>
    <x v="0"/>
    <n v="2"/>
    <n v="1"/>
    <s v="Marketing"/>
    <n v="1"/>
    <n v="1038"/>
    <n v="1"/>
    <x v="0"/>
    <n v="57"/>
    <x v="3"/>
    <n v="5"/>
    <x v="5"/>
    <n v="4"/>
    <x v="1"/>
    <n v="19845"/>
    <n v="25846"/>
    <n v="1"/>
    <s v="Y"/>
    <s v="No"/>
    <n v="15"/>
    <x v="0"/>
    <n v="4"/>
    <n v="80"/>
    <n v="1"/>
    <n v="33"/>
    <n v="3"/>
    <n v="3"/>
    <n v="32"/>
    <n v="14"/>
    <n v="6"/>
    <n v="9"/>
  </r>
  <r>
    <n v="44"/>
    <x v="1"/>
    <x v="0"/>
    <n v="1448"/>
    <x v="0"/>
    <n v="28"/>
    <n v="3"/>
    <s v="Medical"/>
    <n v="1"/>
    <n v="1039"/>
    <n v="4"/>
    <x v="0"/>
    <n v="53"/>
    <x v="2"/>
    <n v="4"/>
    <x v="0"/>
    <n v="4"/>
    <x v="1"/>
    <n v="13320"/>
    <n v="11737"/>
    <n v="3"/>
    <s v="Y"/>
    <s v="Yes"/>
    <n v="18"/>
    <x v="0"/>
    <n v="3"/>
    <n v="80"/>
    <n v="1"/>
    <n v="23"/>
    <n v="2"/>
    <n v="3"/>
    <n v="12"/>
    <n v="11"/>
    <n v="11"/>
    <n v="11"/>
  </r>
  <r>
    <n v="50"/>
    <x v="1"/>
    <x v="2"/>
    <n v="145"/>
    <x v="0"/>
    <n v="1"/>
    <n v="3"/>
    <s v="Life Sciences"/>
    <n v="1"/>
    <n v="1040"/>
    <n v="4"/>
    <x v="0"/>
    <n v="95"/>
    <x v="0"/>
    <n v="2"/>
    <x v="0"/>
    <n v="3"/>
    <x v="1"/>
    <n v="6347"/>
    <n v="24920"/>
    <n v="0"/>
    <s v="Y"/>
    <s v="No"/>
    <n v="12"/>
    <x v="0"/>
    <n v="1"/>
    <n v="80"/>
    <n v="1"/>
    <n v="19"/>
    <n v="3"/>
    <n v="3"/>
    <n v="18"/>
    <n v="7"/>
    <n v="0"/>
    <n v="13"/>
  </r>
  <r>
    <n v="36"/>
    <x v="0"/>
    <x v="0"/>
    <n v="885"/>
    <x v="1"/>
    <n v="16"/>
    <n v="4"/>
    <s v="Life Sciences"/>
    <n v="1"/>
    <n v="1042"/>
    <n v="3"/>
    <x v="0"/>
    <n v="43"/>
    <x v="2"/>
    <n v="1"/>
    <x v="2"/>
    <n v="1"/>
    <x v="0"/>
    <n v="2743"/>
    <n v="8269"/>
    <n v="1"/>
    <s v="Y"/>
    <s v="No"/>
    <n v="16"/>
    <x v="0"/>
    <n v="3"/>
    <n v="80"/>
    <n v="0"/>
    <n v="18"/>
    <n v="1"/>
    <n v="3"/>
    <n v="17"/>
    <n v="13"/>
    <n v="15"/>
    <n v="14"/>
  </r>
  <r>
    <n v="39"/>
    <x v="1"/>
    <x v="1"/>
    <n v="945"/>
    <x v="1"/>
    <n v="22"/>
    <n v="3"/>
    <s v="Medical"/>
    <n v="1"/>
    <n v="1043"/>
    <n v="4"/>
    <x v="0"/>
    <n v="82"/>
    <x v="0"/>
    <n v="3"/>
    <x v="3"/>
    <n v="1"/>
    <x v="0"/>
    <n v="10880"/>
    <n v="5083"/>
    <n v="1"/>
    <s v="Y"/>
    <s v="Yes"/>
    <n v="13"/>
    <x v="0"/>
    <n v="3"/>
    <n v="80"/>
    <n v="0"/>
    <n v="21"/>
    <n v="2"/>
    <n v="3"/>
    <n v="21"/>
    <n v="6"/>
    <n v="2"/>
    <n v="8"/>
  </r>
  <r>
    <n v="33"/>
    <x v="1"/>
    <x v="2"/>
    <n v="1038"/>
    <x v="0"/>
    <n v="8"/>
    <n v="1"/>
    <s v="Life Sciences"/>
    <n v="1"/>
    <n v="1044"/>
    <n v="2"/>
    <x v="0"/>
    <n v="88"/>
    <x v="1"/>
    <n v="1"/>
    <x v="6"/>
    <n v="4"/>
    <x v="0"/>
    <n v="2342"/>
    <n v="21437"/>
    <n v="0"/>
    <s v="Y"/>
    <s v="No"/>
    <n v="19"/>
    <x v="0"/>
    <n v="4"/>
    <n v="80"/>
    <n v="0"/>
    <n v="3"/>
    <n v="2"/>
    <n v="2"/>
    <n v="2"/>
    <n v="2"/>
    <n v="2"/>
    <n v="2"/>
  </r>
  <r>
    <n v="45"/>
    <x v="1"/>
    <x v="0"/>
    <n v="1234"/>
    <x v="0"/>
    <n v="11"/>
    <n v="2"/>
    <s v="Life Sciences"/>
    <n v="1"/>
    <n v="1045"/>
    <n v="4"/>
    <x v="0"/>
    <n v="90"/>
    <x v="0"/>
    <n v="4"/>
    <x v="5"/>
    <n v="4"/>
    <x v="1"/>
    <n v="17650"/>
    <n v="5404"/>
    <n v="3"/>
    <s v="Y"/>
    <s v="No"/>
    <n v="13"/>
    <x v="0"/>
    <n v="2"/>
    <n v="80"/>
    <n v="1"/>
    <n v="26"/>
    <n v="4"/>
    <n v="4"/>
    <n v="9"/>
    <n v="3"/>
    <n v="1"/>
    <n v="1"/>
  </r>
  <r>
    <n v="32"/>
    <x v="1"/>
    <x v="2"/>
    <n v="1109"/>
    <x v="1"/>
    <n v="29"/>
    <n v="4"/>
    <s v="Medical"/>
    <n v="1"/>
    <n v="1046"/>
    <n v="4"/>
    <x v="0"/>
    <n v="69"/>
    <x v="0"/>
    <n v="1"/>
    <x v="2"/>
    <n v="3"/>
    <x v="0"/>
    <n v="4025"/>
    <n v="11135"/>
    <n v="9"/>
    <s v="Y"/>
    <s v="No"/>
    <n v="12"/>
    <x v="0"/>
    <n v="2"/>
    <n v="80"/>
    <n v="0"/>
    <n v="10"/>
    <n v="2"/>
    <n v="3"/>
    <n v="8"/>
    <n v="7"/>
    <n v="7"/>
    <n v="7"/>
  </r>
  <r>
    <n v="34"/>
    <x v="1"/>
    <x v="0"/>
    <n v="216"/>
    <x v="0"/>
    <n v="1"/>
    <n v="4"/>
    <s v="Marketing"/>
    <n v="1"/>
    <n v="1047"/>
    <n v="2"/>
    <x v="1"/>
    <n v="75"/>
    <x v="2"/>
    <n v="2"/>
    <x v="0"/>
    <n v="4"/>
    <x v="2"/>
    <n v="9725"/>
    <n v="12278"/>
    <n v="0"/>
    <s v="Y"/>
    <s v="No"/>
    <n v="11"/>
    <x v="0"/>
    <n v="4"/>
    <n v="80"/>
    <n v="1"/>
    <n v="16"/>
    <n v="2"/>
    <n v="2"/>
    <n v="15"/>
    <n v="1"/>
    <n v="0"/>
    <n v="9"/>
  </r>
  <r>
    <n v="59"/>
    <x v="1"/>
    <x v="0"/>
    <n v="1089"/>
    <x v="0"/>
    <n v="1"/>
    <n v="2"/>
    <s v="Technical Degree"/>
    <n v="1"/>
    <n v="1048"/>
    <n v="2"/>
    <x v="1"/>
    <n v="66"/>
    <x v="0"/>
    <n v="3"/>
    <x v="5"/>
    <n v="4"/>
    <x v="1"/>
    <n v="11904"/>
    <n v="11038"/>
    <n v="3"/>
    <s v="Y"/>
    <s v="Yes"/>
    <n v="14"/>
    <x v="0"/>
    <n v="3"/>
    <n v="80"/>
    <n v="1"/>
    <n v="14"/>
    <n v="1"/>
    <n v="1"/>
    <n v="6"/>
    <n v="4"/>
    <n v="0"/>
    <n v="4"/>
  </r>
  <r>
    <n v="45"/>
    <x v="1"/>
    <x v="0"/>
    <n v="788"/>
    <x v="2"/>
    <n v="24"/>
    <n v="4"/>
    <s v="Medical"/>
    <n v="1"/>
    <n v="1049"/>
    <n v="2"/>
    <x v="1"/>
    <n v="36"/>
    <x v="0"/>
    <n v="1"/>
    <x v="8"/>
    <n v="2"/>
    <x v="0"/>
    <n v="2177"/>
    <n v="8318"/>
    <n v="1"/>
    <s v="Y"/>
    <s v="No"/>
    <n v="16"/>
    <x v="0"/>
    <n v="1"/>
    <n v="80"/>
    <n v="0"/>
    <n v="6"/>
    <n v="3"/>
    <n v="3"/>
    <n v="6"/>
    <n v="3"/>
    <n v="0"/>
    <n v="4"/>
  </r>
  <r>
    <n v="53"/>
    <x v="1"/>
    <x v="1"/>
    <n v="124"/>
    <x v="0"/>
    <n v="2"/>
    <n v="3"/>
    <s v="Marketing"/>
    <n v="1"/>
    <n v="1050"/>
    <n v="3"/>
    <x v="0"/>
    <n v="38"/>
    <x v="1"/>
    <n v="3"/>
    <x v="0"/>
    <n v="2"/>
    <x v="1"/>
    <n v="7525"/>
    <n v="23537"/>
    <n v="2"/>
    <s v="Y"/>
    <s v="No"/>
    <n v="12"/>
    <x v="0"/>
    <n v="1"/>
    <n v="80"/>
    <n v="1"/>
    <n v="30"/>
    <n v="2"/>
    <n v="3"/>
    <n v="15"/>
    <n v="7"/>
    <n v="6"/>
    <n v="12"/>
  </r>
  <r>
    <n v="36"/>
    <x v="0"/>
    <x v="0"/>
    <n v="660"/>
    <x v="1"/>
    <n v="15"/>
    <n v="3"/>
    <s v="Other"/>
    <n v="1"/>
    <n v="1052"/>
    <n v="1"/>
    <x v="1"/>
    <n v="81"/>
    <x v="0"/>
    <n v="2"/>
    <x v="2"/>
    <n v="3"/>
    <x v="2"/>
    <n v="4834"/>
    <n v="7858"/>
    <n v="7"/>
    <s v="Y"/>
    <s v="No"/>
    <n v="14"/>
    <x v="0"/>
    <n v="2"/>
    <n v="80"/>
    <n v="1"/>
    <n v="9"/>
    <n v="3"/>
    <n v="2"/>
    <n v="1"/>
    <n v="0"/>
    <n v="0"/>
    <n v="0"/>
  </r>
  <r>
    <n v="26"/>
    <x v="0"/>
    <x v="1"/>
    <n v="342"/>
    <x v="1"/>
    <n v="2"/>
    <n v="3"/>
    <s v="Life Sciences"/>
    <n v="1"/>
    <n v="1053"/>
    <n v="1"/>
    <x v="1"/>
    <n v="57"/>
    <x v="0"/>
    <n v="1"/>
    <x v="1"/>
    <n v="1"/>
    <x v="1"/>
    <n v="2042"/>
    <n v="15346"/>
    <n v="6"/>
    <s v="Y"/>
    <s v="Yes"/>
    <n v="14"/>
    <x v="0"/>
    <n v="2"/>
    <n v="80"/>
    <n v="1"/>
    <n v="6"/>
    <n v="2"/>
    <n v="3"/>
    <n v="3"/>
    <n v="2"/>
    <n v="1"/>
    <n v="2"/>
  </r>
  <r>
    <n v="34"/>
    <x v="1"/>
    <x v="0"/>
    <n v="1333"/>
    <x v="0"/>
    <n v="10"/>
    <n v="4"/>
    <s v="Life Sciences"/>
    <n v="1"/>
    <n v="1055"/>
    <n v="3"/>
    <x v="0"/>
    <n v="87"/>
    <x v="0"/>
    <n v="1"/>
    <x v="6"/>
    <n v="3"/>
    <x v="1"/>
    <n v="2220"/>
    <n v="18410"/>
    <n v="1"/>
    <s v="Y"/>
    <s v="Yes"/>
    <n v="19"/>
    <x v="0"/>
    <n v="4"/>
    <n v="80"/>
    <n v="1"/>
    <n v="1"/>
    <n v="2"/>
    <n v="3"/>
    <n v="1"/>
    <n v="1"/>
    <n v="0"/>
    <n v="0"/>
  </r>
  <r>
    <n v="28"/>
    <x v="1"/>
    <x v="0"/>
    <n v="1144"/>
    <x v="0"/>
    <n v="10"/>
    <n v="1"/>
    <s v="Medical"/>
    <n v="1"/>
    <n v="1056"/>
    <n v="4"/>
    <x v="1"/>
    <n v="74"/>
    <x v="0"/>
    <n v="1"/>
    <x v="6"/>
    <n v="2"/>
    <x v="1"/>
    <n v="1052"/>
    <n v="23384"/>
    <n v="1"/>
    <s v="Y"/>
    <s v="No"/>
    <n v="22"/>
    <x v="1"/>
    <n v="2"/>
    <n v="80"/>
    <n v="0"/>
    <n v="1"/>
    <n v="5"/>
    <n v="3"/>
    <n v="1"/>
    <n v="0"/>
    <n v="0"/>
    <n v="0"/>
  </r>
  <r>
    <n v="38"/>
    <x v="1"/>
    <x v="1"/>
    <n v="1186"/>
    <x v="1"/>
    <n v="3"/>
    <n v="4"/>
    <s v="Other"/>
    <n v="1"/>
    <n v="1060"/>
    <n v="3"/>
    <x v="1"/>
    <n v="44"/>
    <x v="0"/>
    <n v="1"/>
    <x v="1"/>
    <n v="3"/>
    <x v="1"/>
    <n v="2821"/>
    <n v="2997"/>
    <n v="3"/>
    <s v="Y"/>
    <s v="No"/>
    <n v="16"/>
    <x v="0"/>
    <n v="1"/>
    <n v="80"/>
    <n v="1"/>
    <n v="8"/>
    <n v="2"/>
    <n v="3"/>
    <n v="2"/>
    <n v="2"/>
    <n v="2"/>
    <n v="2"/>
  </r>
  <r>
    <n v="50"/>
    <x v="1"/>
    <x v="0"/>
    <n v="1464"/>
    <x v="1"/>
    <n v="2"/>
    <n v="4"/>
    <s v="Medical"/>
    <n v="1"/>
    <n v="1061"/>
    <n v="2"/>
    <x v="1"/>
    <n v="62"/>
    <x v="0"/>
    <n v="5"/>
    <x v="7"/>
    <n v="3"/>
    <x v="1"/>
    <n v="19237"/>
    <n v="12853"/>
    <n v="2"/>
    <s v="Y"/>
    <s v="Yes"/>
    <n v="11"/>
    <x v="0"/>
    <n v="4"/>
    <n v="80"/>
    <n v="1"/>
    <n v="29"/>
    <n v="2"/>
    <n v="2"/>
    <n v="8"/>
    <n v="1"/>
    <n v="7"/>
    <n v="7"/>
  </r>
  <r>
    <n v="37"/>
    <x v="1"/>
    <x v="0"/>
    <n v="124"/>
    <x v="1"/>
    <n v="3"/>
    <n v="3"/>
    <s v="Other"/>
    <n v="1"/>
    <n v="1062"/>
    <n v="4"/>
    <x v="0"/>
    <n v="35"/>
    <x v="0"/>
    <n v="2"/>
    <x v="4"/>
    <n v="2"/>
    <x v="0"/>
    <n v="4107"/>
    <n v="13848"/>
    <n v="3"/>
    <s v="Y"/>
    <s v="No"/>
    <n v="15"/>
    <x v="0"/>
    <n v="1"/>
    <n v="80"/>
    <n v="0"/>
    <n v="8"/>
    <n v="3"/>
    <n v="2"/>
    <n v="4"/>
    <n v="3"/>
    <n v="0"/>
    <n v="1"/>
  </r>
  <r>
    <n v="40"/>
    <x v="1"/>
    <x v="0"/>
    <n v="300"/>
    <x v="0"/>
    <n v="26"/>
    <n v="3"/>
    <s v="Marketing"/>
    <n v="1"/>
    <n v="1066"/>
    <n v="3"/>
    <x v="1"/>
    <n v="74"/>
    <x v="0"/>
    <n v="2"/>
    <x v="0"/>
    <n v="1"/>
    <x v="1"/>
    <n v="8396"/>
    <n v="22217"/>
    <n v="1"/>
    <s v="Y"/>
    <s v="No"/>
    <n v="14"/>
    <x v="0"/>
    <n v="2"/>
    <n v="80"/>
    <n v="1"/>
    <n v="8"/>
    <n v="3"/>
    <n v="2"/>
    <n v="7"/>
    <n v="7"/>
    <n v="7"/>
    <n v="5"/>
  </r>
  <r>
    <n v="26"/>
    <x v="1"/>
    <x v="1"/>
    <n v="921"/>
    <x v="1"/>
    <n v="1"/>
    <n v="1"/>
    <s v="Medical"/>
    <n v="1"/>
    <n v="1068"/>
    <n v="1"/>
    <x v="0"/>
    <n v="66"/>
    <x v="1"/>
    <n v="1"/>
    <x v="1"/>
    <n v="3"/>
    <x v="2"/>
    <n v="2007"/>
    <n v="25265"/>
    <n v="1"/>
    <s v="Y"/>
    <s v="No"/>
    <n v="13"/>
    <x v="0"/>
    <n v="3"/>
    <n v="80"/>
    <n v="2"/>
    <n v="5"/>
    <n v="5"/>
    <n v="3"/>
    <n v="5"/>
    <n v="3"/>
    <n v="1"/>
    <n v="3"/>
  </r>
  <r>
    <n v="46"/>
    <x v="1"/>
    <x v="0"/>
    <n v="430"/>
    <x v="1"/>
    <n v="1"/>
    <n v="4"/>
    <s v="Medical"/>
    <n v="1"/>
    <n v="1069"/>
    <n v="4"/>
    <x v="1"/>
    <n v="40"/>
    <x v="0"/>
    <n v="5"/>
    <x v="7"/>
    <n v="4"/>
    <x v="2"/>
    <n v="19627"/>
    <n v="21445"/>
    <n v="9"/>
    <s v="Y"/>
    <s v="No"/>
    <n v="17"/>
    <x v="0"/>
    <n v="4"/>
    <n v="80"/>
    <n v="2"/>
    <n v="23"/>
    <n v="0"/>
    <n v="3"/>
    <n v="2"/>
    <n v="2"/>
    <n v="2"/>
    <n v="2"/>
  </r>
  <r>
    <n v="54"/>
    <x v="1"/>
    <x v="0"/>
    <n v="1082"/>
    <x v="0"/>
    <n v="2"/>
    <n v="4"/>
    <s v="Life Sciences"/>
    <n v="1"/>
    <n v="1070"/>
    <n v="3"/>
    <x v="0"/>
    <n v="41"/>
    <x v="1"/>
    <n v="3"/>
    <x v="0"/>
    <n v="3"/>
    <x v="1"/>
    <n v="10686"/>
    <n v="8392"/>
    <n v="6"/>
    <s v="Y"/>
    <s v="No"/>
    <n v="11"/>
    <x v="0"/>
    <n v="2"/>
    <n v="80"/>
    <n v="1"/>
    <n v="13"/>
    <n v="4"/>
    <n v="3"/>
    <n v="9"/>
    <n v="4"/>
    <n v="7"/>
    <n v="0"/>
  </r>
  <r>
    <n v="56"/>
    <x v="1"/>
    <x v="1"/>
    <n v="1240"/>
    <x v="1"/>
    <n v="9"/>
    <n v="3"/>
    <s v="Medical"/>
    <n v="1"/>
    <n v="1071"/>
    <n v="1"/>
    <x v="0"/>
    <n v="63"/>
    <x v="0"/>
    <n v="1"/>
    <x v="1"/>
    <n v="3"/>
    <x v="1"/>
    <n v="2942"/>
    <n v="12154"/>
    <n v="2"/>
    <s v="Y"/>
    <s v="No"/>
    <n v="19"/>
    <x v="0"/>
    <n v="2"/>
    <n v="80"/>
    <n v="1"/>
    <n v="18"/>
    <n v="4"/>
    <n v="3"/>
    <n v="5"/>
    <n v="4"/>
    <n v="0"/>
    <n v="3"/>
  </r>
  <r>
    <n v="36"/>
    <x v="1"/>
    <x v="0"/>
    <n v="796"/>
    <x v="1"/>
    <n v="12"/>
    <n v="5"/>
    <s v="Medical"/>
    <n v="1"/>
    <n v="1073"/>
    <n v="4"/>
    <x v="0"/>
    <n v="51"/>
    <x v="1"/>
    <n v="3"/>
    <x v="3"/>
    <n v="4"/>
    <x v="0"/>
    <n v="8858"/>
    <n v="15669"/>
    <n v="0"/>
    <s v="Y"/>
    <s v="No"/>
    <n v="11"/>
    <x v="0"/>
    <n v="2"/>
    <n v="80"/>
    <n v="0"/>
    <n v="15"/>
    <n v="2"/>
    <n v="2"/>
    <n v="14"/>
    <n v="8"/>
    <n v="7"/>
    <n v="8"/>
  </r>
  <r>
    <n v="55"/>
    <x v="1"/>
    <x v="2"/>
    <n v="444"/>
    <x v="1"/>
    <n v="2"/>
    <n v="1"/>
    <s v="Medical"/>
    <n v="1"/>
    <n v="1074"/>
    <n v="3"/>
    <x v="1"/>
    <n v="40"/>
    <x v="1"/>
    <n v="4"/>
    <x v="5"/>
    <n v="1"/>
    <x v="0"/>
    <n v="16756"/>
    <n v="17323"/>
    <n v="7"/>
    <s v="Y"/>
    <s v="No"/>
    <n v="15"/>
    <x v="0"/>
    <n v="2"/>
    <n v="80"/>
    <n v="0"/>
    <n v="31"/>
    <n v="3"/>
    <n v="4"/>
    <n v="9"/>
    <n v="7"/>
    <n v="6"/>
    <n v="2"/>
  </r>
  <r>
    <n v="43"/>
    <x v="1"/>
    <x v="0"/>
    <n v="415"/>
    <x v="0"/>
    <n v="25"/>
    <n v="3"/>
    <s v="Medical"/>
    <n v="1"/>
    <n v="1076"/>
    <n v="3"/>
    <x v="1"/>
    <n v="79"/>
    <x v="1"/>
    <n v="3"/>
    <x v="0"/>
    <n v="4"/>
    <x v="2"/>
    <n v="10798"/>
    <n v="5268"/>
    <n v="5"/>
    <s v="Y"/>
    <s v="No"/>
    <n v="13"/>
    <x v="0"/>
    <n v="3"/>
    <n v="80"/>
    <n v="1"/>
    <n v="18"/>
    <n v="5"/>
    <n v="3"/>
    <n v="1"/>
    <n v="0"/>
    <n v="0"/>
    <n v="0"/>
  </r>
  <r>
    <n v="20"/>
    <x v="0"/>
    <x v="1"/>
    <n v="769"/>
    <x v="0"/>
    <n v="9"/>
    <n v="3"/>
    <s v="Marketing"/>
    <n v="1"/>
    <n v="1077"/>
    <n v="4"/>
    <x v="0"/>
    <n v="54"/>
    <x v="0"/>
    <n v="1"/>
    <x v="6"/>
    <n v="4"/>
    <x v="0"/>
    <n v="2323"/>
    <n v="17205"/>
    <n v="1"/>
    <s v="Y"/>
    <s v="Yes"/>
    <n v="14"/>
    <x v="0"/>
    <n v="2"/>
    <n v="80"/>
    <n v="0"/>
    <n v="2"/>
    <n v="3"/>
    <n v="3"/>
    <n v="2"/>
    <n v="2"/>
    <n v="0"/>
    <n v="2"/>
  </r>
  <r>
    <n v="21"/>
    <x v="0"/>
    <x v="0"/>
    <n v="1334"/>
    <x v="1"/>
    <n v="10"/>
    <n v="3"/>
    <s v="Life Sciences"/>
    <n v="1"/>
    <n v="1079"/>
    <n v="3"/>
    <x v="0"/>
    <n v="36"/>
    <x v="1"/>
    <n v="1"/>
    <x v="2"/>
    <n v="1"/>
    <x v="0"/>
    <n v="1416"/>
    <n v="17258"/>
    <n v="1"/>
    <s v="Y"/>
    <s v="No"/>
    <n v="13"/>
    <x v="0"/>
    <n v="1"/>
    <n v="80"/>
    <n v="0"/>
    <n v="1"/>
    <n v="6"/>
    <n v="2"/>
    <n v="1"/>
    <n v="0"/>
    <n v="1"/>
    <n v="0"/>
  </r>
  <r>
    <n v="46"/>
    <x v="1"/>
    <x v="0"/>
    <n v="1003"/>
    <x v="1"/>
    <n v="8"/>
    <n v="4"/>
    <s v="Life Sciences"/>
    <n v="1"/>
    <n v="1080"/>
    <n v="4"/>
    <x v="0"/>
    <n v="74"/>
    <x v="1"/>
    <n v="2"/>
    <x v="1"/>
    <n v="1"/>
    <x v="2"/>
    <n v="4615"/>
    <n v="21029"/>
    <n v="8"/>
    <s v="Y"/>
    <s v="Yes"/>
    <n v="23"/>
    <x v="1"/>
    <n v="1"/>
    <n v="80"/>
    <n v="3"/>
    <n v="19"/>
    <n v="2"/>
    <n v="3"/>
    <n v="16"/>
    <n v="13"/>
    <n v="1"/>
    <n v="7"/>
  </r>
  <r>
    <n v="51"/>
    <x v="0"/>
    <x v="0"/>
    <n v="1323"/>
    <x v="1"/>
    <n v="4"/>
    <n v="4"/>
    <s v="Life Sciences"/>
    <n v="1"/>
    <n v="1081"/>
    <n v="1"/>
    <x v="1"/>
    <n v="34"/>
    <x v="0"/>
    <n v="1"/>
    <x v="1"/>
    <n v="3"/>
    <x v="1"/>
    <n v="2461"/>
    <n v="10332"/>
    <n v="9"/>
    <s v="Y"/>
    <s v="Yes"/>
    <n v="12"/>
    <x v="0"/>
    <n v="3"/>
    <n v="80"/>
    <n v="3"/>
    <n v="18"/>
    <n v="2"/>
    <n v="4"/>
    <n v="10"/>
    <n v="0"/>
    <n v="2"/>
    <n v="7"/>
  </r>
  <r>
    <n v="28"/>
    <x v="0"/>
    <x v="2"/>
    <n v="1366"/>
    <x v="1"/>
    <n v="24"/>
    <n v="2"/>
    <s v="Technical Degree"/>
    <n v="1"/>
    <n v="1082"/>
    <n v="2"/>
    <x v="1"/>
    <n v="72"/>
    <x v="1"/>
    <n v="3"/>
    <x v="4"/>
    <n v="1"/>
    <x v="0"/>
    <n v="8722"/>
    <n v="12355"/>
    <n v="1"/>
    <s v="Y"/>
    <s v="No"/>
    <n v="12"/>
    <x v="0"/>
    <n v="1"/>
    <n v="80"/>
    <n v="0"/>
    <n v="10"/>
    <n v="2"/>
    <n v="2"/>
    <n v="10"/>
    <n v="7"/>
    <n v="1"/>
    <n v="9"/>
  </r>
  <r>
    <n v="26"/>
    <x v="1"/>
    <x v="0"/>
    <n v="192"/>
    <x v="1"/>
    <n v="1"/>
    <n v="2"/>
    <s v="Medical"/>
    <n v="1"/>
    <n v="1083"/>
    <n v="1"/>
    <x v="1"/>
    <n v="59"/>
    <x v="1"/>
    <n v="1"/>
    <x v="2"/>
    <n v="1"/>
    <x v="1"/>
    <n v="3955"/>
    <n v="11141"/>
    <n v="1"/>
    <s v="Y"/>
    <s v="No"/>
    <n v="16"/>
    <x v="0"/>
    <n v="1"/>
    <n v="80"/>
    <n v="2"/>
    <n v="6"/>
    <n v="2"/>
    <n v="3"/>
    <n v="5"/>
    <n v="3"/>
    <n v="1"/>
    <n v="3"/>
  </r>
  <r>
    <n v="30"/>
    <x v="1"/>
    <x v="0"/>
    <n v="1176"/>
    <x v="1"/>
    <n v="20"/>
    <n v="3"/>
    <s v="Other"/>
    <n v="1"/>
    <n v="1084"/>
    <n v="3"/>
    <x v="1"/>
    <n v="85"/>
    <x v="0"/>
    <n v="2"/>
    <x v="3"/>
    <n v="1"/>
    <x v="1"/>
    <n v="9957"/>
    <n v="9096"/>
    <n v="0"/>
    <s v="Y"/>
    <s v="No"/>
    <n v="15"/>
    <x v="0"/>
    <n v="3"/>
    <n v="80"/>
    <n v="1"/>
    <n v="7"/>
    <n v="1"/>
    <n v="2"/>
    <n v="6"/>
    <n v="2"/>
    <n v="0"/>
    <n v="2"/>
  </r>
  <r>
    <n v="41"/>
    <x v="1"/>
    <x v="0"/>
    <n v="509"/>
    <x v="1"/>
    <n v="7"/>
    <n v="2"/>
    <s v="Technical Degree"/>
    <n v="1"/>
    <n v="1085"/>
    <n v="2"/>
    <x v="0"/>
    <n v="43"/>
    <x v="2"/>
    <n v="1"/>
    <x v="1"/>
    <n v="3"/>
    <x v="1"/>
    <n v="3376"/>
    <n v="18863"/>
    <n v="1"/>
    <s v="Y"/>
    <s v="No"/>
    <n v="13"/>
    <x v="0"/>
    <n v="3"/>
    <n v="80"/>
    <n v="0"/>
    <n v="10"/>
    <n v="3"/>
    <n v="3"/>
    <n v="10"/>
    <n v="6"/>
    <n v="0"/>
    <n v="8"/>
  </r>
  <r>
    <n v="38"/>
    <x v="1"/>
    <x v="0"/>
    <n v="330"/>
    <x v="1"/>
    <n v="17"/>
    <n v="1"/>
    <s v="Life Sciences"/>
    <n v="1"/>
    <n v="1088"/>
    <n v="3"/>
    <x v="0"/>
    <n v="65"/>
    <x v="1"/>
    <n v="3"/>
    <x v="4"/>
    <n v="3"/>
    <x v="1"/>
    <n v="8823"/>
    <n v="24608"/>
    <n v="0"/>
    <s v="Y"/>
    <s v="No"/>
    <n v="18"/>
    <x v="0"/>
    <n v="1"/>
    <n v="80"/>
    <n v="1"/>
    <n v="20"/>
    <n v="4"/>
    <n v="2"/>
    <n v="19"/>
    <n v="9"/>
    <n v="1"/>
    <n v="9"/>
  </r>
  <r>
    <n v="40"/>
    <x v="1"/>
    <x v="0"/>
    <n v="1492"/>
    <x v="1"/>
    <n v="20"/>
    <n v="4"/>
    <s v="Technical Degree"/>
    <n v="1"/>
    <n v="1092"/>
    <n v="1"/>
    <x v="1"/>
    <n v="61"/>
    <x v="0"/>
    <n v="3"/>
    <x v="4"/>
    <n v="4"/>
    <x v="1"/>
    <n v="10322"/>
    <n v="26542"/>
    <n v="4"/>
    <s v="Y"/>
    <s v="No"/>
    <n v="20"/>
    <x v="1"/>
    <n v="4"/>
    <n v="80"/>
    <n v="1"/>
    <n v="14"/>
    <n v="6"/>
    <n v="3"/>
    <n v="11"/>
    <n v="10"/>
    <n v="11"/>
    <n v="1"/>
  </r>
  <r>
    <n v="27"/>
    <x v="1"/>
    <x v="2"/>
    <n v="1277"/>
    <x v="1"/>
    <n v="8"/>
    <n v="5"/>
    <s v="Life Sciences"/>
    <n v="1"/>
    <n v="1094"/>
    <n v="1"/>
    <x v="1"/>
    <n v="87"/>
    <x v="3"/>
    <n v="1"/>
    <x v="2"/>
    <n v="3"/>
    <x v="1"/>
    <n v="4621"/>
    <n v="5869"/>
    <n v="1"/>
    <s v="Y"/>
    <s v="No"/>
    <n v="19"/>
    <x v="0"/>
    <n v="4"/>
    <n v="80"/>
    <n v="3"/>
    <n v="3"/>
    <n v="4"/>
    <n v="3"/>
    <n v="3"/>
    <n v="2"/>
    <n v="1"/>
    <n v="2"/>
  </r>
  <r>
    <n v="55"/>
    <x v="1"/>
    <x v="1"/>
    <n v="1091"/>
    <x v="1"/>
    <n v="2"/>
    <n v="1"/>
    <s v="Life Sciences"/>
    <n v="1"/>
    <n v="1096"/>
    <n v="4"/>
    <x v="1"/>
    <n v="65"/>
    <x v="0"/>
    <n v="3"/>
    <x v="3"/>
    <n v="2"/>
    <x v="1"/>
    <n v="10976"/>
    <n v="15813"/>
    <n v="3"/>
    <s v="Y"/>
    <s v="No"/>
    <n v="18"/>
    <x v="0"/>
    <n v="2"/>
    <n v="80"/>
    <n v="1"/>
    <n v="23"/>
    <n v="4"/>
    <n v="3"/>
    <n v="3"/>
    <n v="2"/>
    <n v="1"/>
    <n v="2"/>
  </r>
  <r>
    <n v="28"/>
    <x v="1"/>
    <x v="0"/>
    <n v="857"/>
    <x v="1"/>
    <n v="10"/>
    <n v="3"/>
    <s v="Other"/>
    <n v="1"/>
    <n v="1097"/>
    <n v="3"/>
    <x v="0"/>
    <n v="59"/>
    <x v="0"/>
    <n v="2"/>
    <x v="1"/>
    <n v="3"/>
    <x v="0"/>
    <n v="3660"/>
    <n v="7909"/>
    <n v="3"/>
    <s v="Y"/>
    <s v="No"/>
    <n v="13"/>
    <x v="0"/>
    <n v="4"/>
    <n v="80"/>
    <n v="0"/>
    <n v="10"/>
    <n v="4"/>
    <n v="4"/>
    <n v="8"/>
    <n v="7"/>
    <n v="1"/>
    <n v="7"/>
  </r>
  <r>
    <n v="44"/>
    <x v="0"/>
    <x v="0"/>
    <n v="1376"/>
    <x v="2"/>
    <n v="1"/>
    <n v="2"/>
    <s v="Medical"/>
    <n v="1"/>
    <n v="1098"/>
    <n v="2"/>
    <x v="1"/>
    <n v="91"/>
    <x v="1"/>
    <n v="3"/>
    <x v="8"/>
    <n v="1"/>
    <x v="1"/>
    <n v="10482"/>
    <n v="2326"/>
    <n v="9"/>
    <s v="Y"/>
    <s v="No"/>
    <n v="14"/>
    <x v="0"/>
    <n v="4"/>
    <n v="80"/>
    <n v="1"/>
    <n v="24"/>
    <n v="1"/>
    <n v="3"/>
    <n v="20"/>
    <n v="6"/>
    <n v="3"/>
    <n v="6"/>
  </r>
  <r>
    <n v="33"/>
    <x v="1"/>
    <x v="0"/>
    <n v="654"/>
    <x v="1"/>
    <n v="5"/>
    <n v="3"/>
    <s v="Life Sciences"/>
    <n v="1"/>
    <n v="1099"/>
    <n v="4"/>
    <x v="1"/>
    <n v="34"/>
    <x v="1"/>
    <n v="3"/>
    <x v="4"/>
    <n v="4"/>
    <x v="2"/>
    <n v="7119"/>
    <n v="21214"/>
    <n v="4"/>
    <s v="Y"/>
    <s v="No"/>
    <n v="15"/>
    <x v="0"/>
    <n v="3"/>
    <n v="80"/>
    <n v="1"/>
    <n v="9"/>
    <n v="2"/>
    <n v="3"/>
    <n v="3"/>
    <n v="2"/>
    <n v="1"/>
    <n v="2"/>
  </r>
  <r>
    <n v="35"/>
    <x v="0"/>
    <x v="0"/>
    <n v="1204"/>
    <x v="0"/>
    <n v="4"/>
    <n v="3"/>
    <s v="Technical Degree"/>
    <n v="1"/>
    <n v="1100"/>
    <n v="4"/>
    <x v="1"/>
    <n v="86"/>
    <x v="0"/>
    <n v="3"/>
    <x v="0"/>
    <n v="1"/>
    <x v="0"/>
    <n v="9582"/>
    <n v="10333"/>
    <n v="0"/>
    <s v="Y"/>
    <s v="Yes"/>
    <n v="22"/>
    <x v="1"/>
    <n v="1"/>
    <n v="80"/>
    <n v="0"/>
    <n v="9"/>
    <n v="2"/>
    <n v="3"/>
    <n v="8"/>
    <n v="7"/>
    <n v="4"/>
    <n v="7"/>
  </r>
  <r>
    <n v="33"/>
    <x v="0"/>
    <x v="1"/>
    <n v="827"/>
    <x v="1"/>
    <n v="29"/>
    <n v="4"/>
    <s v="Medical"/>
    <n v="1"/>
    <n v="1101"/>
    <n v="1"/>
    <x v="0"/>
    <n v="54"/>
    <x v="1"/>
    <n v="2"/>
    <x v="1"/>
    <n v="3"/>
    <x v="0"/>
    <n v="4508"/>
    <n v="3129"/>
    <n v="1"/>
    <s v="Y"/>
    <s v="No"/>
    <n v="22"/>
    <x v="1"/>
    <n v="2"/>
    <n v="80"/>
    <n v="0"/>
    <n v="14"/>
    <n v="4"/>
    <n v="3"/>
    <n v="13"/>
    <n v="7"/>
    <n v="3"/>
    <n v="8"/>
  </r>
  <r>
    <n v="28"/>
    <x v="1"/>
    <x v="0"/>
    <n v="895"/>
    <x v="1"/>
    <n v="15"/>
    <n v="2"/>
    <s v="Life Sciences"/>
    <n v="1"/>
    <n v="1102"/>
    <n v="1"/>
    <x v="1"/>
    <n v="50"/>
    <x v="0"/>
    <n v="1"/>
    <x v="2"/>
    <n v="3"/>
    <x v="2"/>
    <n v="2207"/>
    <n v="22482"/>
    <n v="1"/>
    <s v="Y"/>
    <s v="No"/>
    <n v="16"/>
    <x v="0"/>
    <n v="4"/>
    <n v="80"/>
    <n v="1"/>
    <n v="4"/>
    <n v="5"/>
    <n v="2"/>
    <n v="4"/>
    <n v="2"/>
    <n v="2"/>
    <n v="2"/>
  </r>
  <r>
    <n v="34"/>
    <x v="1"/>
    <x v="1"/>
    <n v="618"/>
    <x v="1"/>
    <n v="3"/>
    <n v="1"/>
    <s v="Life Sciences"/>
    <n v="1"/>
    <n v="1103"/>
    <n v="1"/>
    <x v="1"/>
    <n v="45"/>
    <x v="0"/>
    <n v="2"/>
    <x v="4"/>
    <n v="4"/>
    <x v="0"/>
    <n v="7756"/>
    <n v="22266"/>
    <n v="0"/>
    <s v="Y"/>
    <s v="No"/>
    <n v="17"/>
    <x v="0"/>
    <n v="3"/>
    <n v="80"/>
    <n v="0"/>
    <n v="7"/>
    <n v="1"/>
    <n v="2"/>
    <n v="6"/>
    <n v="2"/>
    <n v="0"/>
    <n v="4"/>
  </r>
  <r>
    <n v="37"/>
    <x v="1"/>
    <x v="0"/>
    <n v="309"/>
    <x v="0"/>
    <n v="10"/>
    <n v="4"/>
    <s v="Life Sciences"/>
    <n v="1"/>
    <n v="1105"/>
    <n v="4"/>
    <x v="0"/>
    <n v="88"/>
    <x v="1"/>
    <n v="2"/>
    <x v="0"/>
    <n v="4"/>
    <x v="2"/>
    <n v="6694"/>
    <n v="24223"/>
    <n v="2"/>
    <s v="Y"/>
    <s v="Yes"/>
    <n v="14"/>
    <x v="0"/>
    <n v="3"/>
    <n v="80"/>
    <n v="3"/>
    <n v="8"/>
    <n v="5"/>
    <n v="3"/>
    <n v="1"/>
    <n v="0"/>
    <n v="0"/>
    <n v="0"/>
  </r>
  <r>
    <n v="25"/>
    <x v="0"/>
    <x v="0"/>
    <n v="1219"/>
    <x v="1"/>
    <n v="4"/>
    <n v="1"/>
    <s v="Technical Degree"/>
    <n v="1"/>
    <n v="1106"/>
    <n v="4"/>
    <x v="1"/>
    <n v="32"/>
    <x v="0"/>
    <n v="1"/>
    <x v="2"/>
    <n v="4"/>
    <x v="1"/>
    <n v="3691"/>
    <n v="4605"/>
    <n v="1"/>
    <s v="Y"/>
    <s v="Yes"/>
    <n v="15"/>
    <x v="0"/>
    <n v="2"/>
    <n v="80"/>
    <n v="1"/>
    <n v="7"/>
    <n v="3"/>
    <n v="4"/>
    <n v="7"/>
    <n v="7"/>
    <n v="5"/>
    <n v="6"/>
  </r>
  <r>
    <n v="26"/>
    <x v="0"/>
    <x v="0"/>
    <n v="1330"/>
    <x v="1"/>
    <n v="21"/>
    <n v="3"/>
    <s v="Medical"/>
    <n v="1"/>
    <n v="1107"/>
    <n v="1"/>
    <x v="1"/>
    <n v="37"/>
    <x v="0"/>
    <n v="1"/>
    <x v="2"/>
    <n v="3"/>
    <x v="2"/>
    <n v="2377"/>
    <n v="19373"/>
    <n v="1"/>
    <s v="Y"/>
    <s v="No"/>
    <n v="20"/>
    <x v="1"/>
    <n v="3"/>
    <n v="80"/>
    <n v="1"/>
    <n v="1"/>
    <n v="0"/>
    <n v="2"/>
    <n v="1"/>
    <n v="1"/>
    <n v="0"/>
    <n v="0"/>
  </r>
  <r>
    <n v="33"/>
    <x v="0"/>
    <x v="0"/>
    <n v="1017"/>
    <x v="1"/>
    <n v="25"/>
    <n v="3"/>
    <s v="Medical"/>
    <n v="1"/>
    <n v="1108"/>
    <n v="1"/>
    <x v="1"/>
    <n v="55"/>
    <x v="1"/>
    <n v="1"/>
    <x v="1"/>
    <n v="2"/>
    <x v="0"/>
    <n v="2313"/>
    <n v="2993"/>
    <n v="4"/>
    <s v="Y"/>
    <s v="Yes"/>
    <n v="20"/>
    <x v="1"/>
    <n v="2"/>
    <n v="80"/>
    <n v="0"/>
    <n v="5"/>
    <n v="0"/>
    <n v="3"/>
    <n v="2"/>
    <n v="2"/>
    <n v="2"/>
    <n v="2"/>
  </r>
  <r>
    <n v="42"/>
    <x v="1"/>
    <x v="0"/>
    <n v="469"/>
    <x v="1"/>
    <n v="2"/>
    <n v="2"/>
    <s v="Medical"/>
    <n v="1"/>
    <n v="1109"/>
    <n v="4"/>
    <x v="1"/>
    <n v="35"/>
    <x v="0"/>
    <n v="4"/>
    <x v="5"/>
    <n v="1"/>
    <x v="1"/>
    <n v="17665"/>
    <n v="14399"/>
    <n v="0"/>
    <s v="Y"/>
    <s v="No"/>
    <n v="17"/>
    <x v="0"/>
    <n v="4"/>
    <n v="80"/>
    <n v="1"/>
    <n v="23"/>
    <n v="3"/>
    <n v="3"/>
    <n v="22"/>
    <n v="6"/>
    <n v="13"/>
    <n v="7"/>
  </r>
  <r>
    <n v="28"/>
    <x v="0"/>
    <x v="1"/>
    <n v="1009"/>
    <x v="1"/>
    <n v="1"/>
    <n v="3"/>
    <s v="Medical"/>
    <n v="1"/>
    <n v="1111"/>
    <n v="1"/>
    <x v="1"/>
    <n v="45"/>
    <x v="1"/>
    <n v="1"/>
    <x v="2"/>
    <n v="2"/>
    <x v="2"/>
    <n v="2596"/>
    <n v="7160"/>
    <n v="1"/>
    <s v="Y"/>
    <s v="No"/>
    <n v="15"/>
    <x v="0"/>
    <n v="1"/>
    <n v="80"/>
    <n v="2"/>
    <n v="1"/>
    <n v="2"/>
    <n v="3"/>
    <n v="1"/>
    <n v="0"/>
    <n v="0"/>
    <n v="0"/>
  </r>
  <r>
    <n v="50"/>
    <x v="0"/>
    <x v="1"/>
    <n v="959"/>
    <x v="0"/>
    <n v="1"/>
    <n v="4"/>
    <s v="Other"/>
    <n v="1"/>
    <n v="1113"/>
    <n v="4"/>
    <x v="1"/>
    <n v="81"/>
    <x v="0"/>
    <n v="2"/>
    <x v="0"/>
    <n v="3"/>
    <x v="0"/>
    <n v="4728"/>
    <n v="17251"/>
    <n v="3"/>
    <s v="Y"/>
    <s v="Yes"/>
    <n v="14"/>
    <x v="0"/>
    <n v="4"/>
    <n v="80"/>
    <n v="0"/>
    <n v="5"/>
    <n v="4"/>
    <n v="3"/>
    <n v="0"/>
    <n v="0"/>
    <n v="0"/>
    <n v="0"/>
  </r>
  <r>
    <n v="33"/>
    <x v="1"/>
    <x v="1"/>
    <n v="970"/>
    <x v="0"/>
    <n v="7"/>
    <n v="3"/>
    <s v="Life Sciences"/>
    <n v="1"/>
    <n v="1114"/>
    <n v="4"/>
    <x v="0"/>
    <n v="30"/>
    <x v="0"/>
    <n v="2"/>
    <x v="0"/>
    <n v="2"/>
    <x v="1"/>
    <n v="4302"/>
    <n v="13401"/>
    <n v="0"/>
    <s v="Y"/>
    <s v="No"/>
    <n v="17"/>
    <x v="0"/>
    <n v="3"/>
    <n v="80"/>
    <n v="1"/>
    <n v="4"/>
    <n v="3"/>
    <n v="3"/>
    <n v="3"/>
    <n v="2"/>
    <n v="0"/>
    <n v="2"/>
  </r>
  <r>
    <n v="34"/>
    <x v="1"/>
    <x v="2"/>
    <n v="697"/>
    <x v="1"/>
    <n v="3"/>
    <n v="4"/>
    <s v="Life Sciences"/>
    <n v="1"/>
    <n v="1115"/>
    <n v="3"/>
    <x v="1"/>
    <n v="40"/>
    <x v="1"/>
    <n v="1"/>
    <x v="1"/>
    <n v="4"/>
    <x v="1"/>
    <n v="2979"/>
    <n v="22478"/>
    <n v="3"/>
    <s v="Y"/>
    <s v="No"/>
    <n v="17"/>
    <x v="0"/>
    <n v="4"/>
    <n v="80"/>
    <n v="3"/>
    <n v="6"/>
    <n v="2"/>
    <n v="3"/>
    <n v="0"/>
    <n v="0"/>
    <n v="0"/>
    <n v="0"/>
  </r>
  <r>
    <n v="48"/>
    <x v="1"/>
    <x v="2"/>
    <n v="1262"/>
    <x v="1"/>
    <n v="1"/>
    <n v="4"/>
    <s v="Medical"/>
    <n v="1"/>
    <n v="1116"/>
    <n v="1"/>
    <x v="1"/>
    <n v="35"/>
    <x v="2"/>
    <n v="4"/>
    <x v="5"/>
    <n v="4"/>
    <x v="0"/>
    <n v="16885"/>
    <n v="16154"/>
    <n v="2"/>
    <s v="Y"/>
    <s v="No"/>
    <n v="22"/>
    <x v="1"/>
    <n v="3"/>
    <n v="80"/>
    <n v="0"/>
    <n v="27"/>
    <n v="3"/>
    <n v="2"/>
    <n v="5"/>
    <n v="4"/>
    <n v="2"/>
    <n v="1"/>
  </r>
  <r>
    <n v="45"/>
    <x v="1"/>
    <x v="2"/>
    <n v="1050"/>
    <x v="0"/>
    <n v="9"/>
    <n v="4"/>
    <s v="Life Sciences"/>
    <n v="1"/>
    <n v="1117"/>
    <n v="2"/>
    <x v="0"/>
    <n v="65"/>
    <x v="1"/>
    <n v="2"/>
    <x v="0"/>
    <n v="3"/>
    <x v="1"/>
    <n v="5593"/>
    <n v="17970"/>
    <n v="1"/>
    <s v="Y"/>
    <s v="No"/>
    <n v="13"/>
    <x v="0"/>
    <n v="4"/>
    <n v="80"/>
    <n v="1"/>
    <n v="15"/>
    <n v="2"/>
    <n v="3"/>
    <n v="15"/>
    <n v="10"/>
    <n v="4"/>
    <n v="12"/>
  </r>
  <r>
    <n v="52"/>
    <x v="1"/>
    <x v="0"/>
    <n v="994"/>
    <x v="1"/>
    <n v="7"/>
    <n v="4"/>
    <s v="Life Sciences"/>
    <n v="1"/>
    <n v="1118"/>
    <n v="2"/>
    <x v="1"/>
    <n v="87"/>
    <x v="0"/>
    <n v="3"/>
    <x v="4"/>
    <n v="2"/>
    <x v="0"/>
    <n v="10445"/>
    <n v="15322"/>
    <n v="7"/>
    <s v="Y"/>
    <s v="No"/>
    <n v="19"/>
    <x v="0"/>
    <n v="4"/>
    <n v="80"/>
    <n v="0"/>
    <n v="18"/>
    <n v="4"/>
    <n v="3"/>
    <n v="8"/>
    <n v="6"/>
    <n v="4"/>
    <n v="0"/>
  </r>
  <r>
    <n v="38"/>
    <x v="1"/>
    <x v="0"/>
    <n v="770"/>
    <x v="0"/>
    <n v="10"/>
    <n v="4"/>
    <s v="Marketing"/>
    <n v="1"/>
    <n v="1119"/>
    <n v="3"/>
    <x v="1"/>
    <n v="73"/>
    <x v="1"/>
    <n v="3"/>
    <x v="0"/>
    <n v="3"/>
    <x v="2"/>
    <n v="8740"/>
    <n v="5569"/>
    <n v="0"/>
    <s v="Y"/>
    <s v="Yes"/>
    <n v="14"/>
    <x v="0"/>
    <n v="2"/>
    <n v="80"/>
    <n v="2"/>
    <n v="9"/>
    <n v="2"/>
    <n v="3"/>
    <n v="8"/>
    <n v="7"/>
    <n v="2"/>
    <n v="7"/>
  </r>
  <r>
    <n v="29"/>
    <x v="1"/>
    <x v="0"/>
    <n v="1107"/>
    <x v="1"/>
    <n v="28"/>
    <n v="4"/>
    <s v="Life Sciences"/>
    <n v="1"/>
    <n v="1120"/>
    <n v="3"/>
    <x v="0"/>
    <n v="93"/>
    <x v="0"/>
    <n v="1"/>
    <x v="1"/>
    <n v="4"/>
    <x v="2"/>
    <n v="2514"/>
    <n v="26968"/>
    <n v="4"/>
    <s v="Y"/>
    <s v="No"/>
    <n v="22"/>
    <x v="1"/>
    <n v="1"/>
    <n v="80"/>
    <n v="1"/>
    <n v="11"/>
    <n v="1"/>
    <n v="3"/>
    <n v="7"/>
    <n v="5"/>
    <n v="1"/>
    <n v="7"/>
  </r>
  <r>
    <n v="28"/>
    <x v="1"/>
    <x v="0"/>
    <n v="950"/>
    <x v="1"/>
    <n v="3"/>
    <n v="3"/>
    <s v="Medical"/>
    <n v="1"/>
    <n v="1121"/>
    <n v="4"/>
    <x v="0"/>
    <n v="93"/>
    <x v="0"/>
    <n v="3"/>
    <x v="3"/>
    <n v="2"/>
    <x v="2"/>
    <n v="7655"/>
    <n v="8039"/>
    <n v="0"/>
    <s v="Y"/>
    <s v="No"/>
    <n v="17"/>
    <x v="0"/>
    <n v="2"/>
    <n v="80"/>
    <n v="3"/>
    <n v="10"/>
    <n v="3"/>
    <n v="2"/>
    <n v="9"/>
    <n v="7"/>
    <n v="1"/>
    <n v="7"/>
  </r>
  <r>
    <n v="46"/>
    <x v="1"/>
    <x v="0"/>
    <n v="406"/>
    <x v="0"/>
    <n v="3"/>
    <n v="1"/>
    <s v="Marketing"/>
    <n v="1"/>
    <n v="1124"/>
    <n v="1"/>
    <x v="1"/>
    <n v="52"/>
    <x v="0"/>
    <n v="4"/>
    <x v="5"/>
    <n v="3"/>
    <x v="1"/>
    <n v="17465"/>
    <n v="15596"/>
    <n v="3"/>
    <s v="Y"/>
    <s v="No"/>
    <n v="12"/>
    <x v="0"/>
    <n v="4"/>
    <n v="80"/>
    <n v="1"/>
    <n v="23"/>
    <n v="3"/>
    <n v="3"/>
    <n v="12"/>
    <n v="9"/>
    <n v="4"/>
    <n v="9"/>
  </r>
  <r>
    <n v="38"/>
    <x v="1"/>
    <x v="0"/>
    <n v="130"/>
    <x v="0"/>
    <n v="2"/>
    <n v="2"/>
    <s v="Marketing"/>
    <n v="1"/>
    <n v="1125"/>
    <n v="4"/>
    <x v="1"/>
    <n v="32"/>
    <x v="0"/>
    <n v="3"/>
    <x v="0"/>
    <n v="2"/>
    <x v="0"/>
    <n v="7351"/>
    <n v="20619"/>
    <n v="7"/>
    <s v="Y"/>
    <s v="No"/>
    <n v="16"/>
    <x v="0"/>
    <n v="3"/>
    <n v="80"/>
    <n v="0"/>
    <n v="10"/>
    <n v="2"/>
    <n v="3"/>
    <n v="1"/>
    <n v="0"/>
    <n v="0"/>
    <n v="0"/>
  </r>
  <r>
    <n v="43"/>
    <x v="1"/>
    <x v="1"/>
    <n v="1082"/>
    <x v="1"/>
    <n v="27"/>
    <n v="3"/>
    <s v="Life Sciences"/>
    <n v="1"/>
    <n v="1126"/>
    <n v="3"/>
    <x v="0"/>
    <n v="83"/>
    <x v="0"/>
    <n v="3"/>
    <x v="3"/>
    <n v="1"/>
    <x v="1"/>
    <n v="10820"/>
    <n v="11535"/>
    <n v="8"/>
    <s v="Y"/>
    <s v="No"/>
    <n v="11"/>
    <x v="0"/>
    <n v="3"/>
    <n v="80"/>
    <n v="1"/>
    <n v="18"/>
    <n v="1"/>
    <n v="3"/>
    <n v="8"/>
    <n v="7"/>
    <n v="0"/>
    <n v="1"/>
  </r>
  <r>
    <n v="39"/>
    <x v="0"/>
    <x v="1"/>
    <n v="203"/>
    <x v="1"/>
    <n v="2"/>
    <n v="3"/>
    <s v="Life Sciences"/>
    <n v="1"/>
    <n v="1127"/>
    <n v="1"/>
    <x v="1"/>
    <n v="84"/>
    <x v="0"/>
    <n v="4"/>
    <x v="4"/>
    <n v="4"/>
    <x v="2"/>
    <n v="12169"/>
    <n v="13547"/>
    <n v="7"/>
    <s v="Y"/>
    <s v="No"/>
    <n v="11"/>
    <x v="0"/>
    <n v="4"/>
    <n v="80"/>
    <n v="3"/>
    <n v="21"/>
    <n v="4"/>
    <n v="3"/>
    <n v="18"/>
    <n v="7"/>
    <n v="11"/>
    <n v="5"/>
  </r>
  <r>
    <n v="40"/>
    <x v="1"/>
    <x v="0"/>
    <n v="1308"/>
    <x v="1"/>
    <n v="14"/>
    <n v="3"/>
    <s v="Medical"/>
    <n v="1"/>
    <n v="1128"/>
    <n v="3"/>
    <x v="1"/>
    <n v="44"/>
    <x v="1"/>
    <n v="5"/>
    <x v="7"/>
    <n v="3"/>
    <x v="0"/>
    <n v="19626"/>
    <n v="17544"/>
    <n v="1"/>
    <s v="Y"/>
    <s v="No"/>
    <n v="14"/>
    <x v="0"/>
    <n v="1"/>
    <n v="80"/>
    <n v="0"/>
    <n v="21"/>
    <n v="2"/>
    <n v="4"/>
    <n v="20"/>
    <n v="7"/>
    <n v="4"/>
    <n v="9"/>
  </r>
  <r>
    <n v="21"/>
    <x v="1"/>
    <x v="0"/>
    <n v="984"/>
    <x v="1"/>
    <n v="1"/>
    <n v="1"/>
    <s v="Technical Degree"/>
    <n v="1"/>
    <n v="1131"/>
    <n v="4"/>
    <x v="0"/>
    <n v="70"/>
    <x v="1"/>
    <n v="1"/>
    <x v="1"/>
    <n v="2"/>
    <x v="0"/>
    <n v="2070"/>
    <n v="25326"/>
    <n v="1"/>
    <s v="Y"/>
    <s v="Yes"/>
    <n v="11"/>
    <x v="0"/>
    <n v="3"/>
    <n v="80"/>
    <n v="0"/>
    <n v="2"/>
    <n v="6"/>
    <n v="4"/>
    <n v="2"/>
    <n v="2"/>
    <n v="2"/>
    <n v="2"/>
  </r>
  <r>
    <n v="39"/>
    <x v="1"/>
    <x v="2"/>
    <n v="439"/>
    <x v="1"/>
    <n v="9"/>
    <n v="3"/>
    <s v="Life Sciences"/>
    <n v="1"/>
    <n v="1132"/>
    <n v="3"/>
    <x v="1"/>
    <n v="70"/>
    <x v="0"/>
    <n v="2"/>
    <x v="2"/>
    <n v="2"/>
    <x v="0"/>
    <n v="6782"/>
    <n v="8770"/>
    <n v="9"/>
    <s v="Y"/>
    <s v="No"/>
    <n v="15"/>
    <x v="0"/>
    <n v="3"/>
    <n v="80"/>
    <n v="0"/>
    <n v="9"/>
    <n v="2"/>
    <n v="2"/>
    <n v="5"/>
    <n v="4"/>
    <n v="0"/>
    <n v="3"/>
  </r>
  <r>
    <n v="36"/>
    <x v="1"/>
    <x v="2"/>
    <n v="217"/>
    <x v="1"/>
    <n v="18"/>
    <n v="4"/>
    <s v="Life Sciences"/>
    <n v="1"/>
    <n v="1133"/>
    <n v="1"/>
    <x v="1"/>
    <n v="78"/>
    <x v="0"/>
    <n v="2"/>
    <x v="3"/>
    <n v="4"/>
    <x v="0"/>
    <n v="7779"/>
    <n v="23238"/>
    <n v="2"/>
    <s v="Y"/>
    <s v="No"/>
    <n v="20"/>
    <x v="1"/>
    <n v="1"/>
    <n v="80"/>
    <n v="0"/>
    <n v="18"/>
    <n v="0"/>
    <n v="3"/>
    <n v="11"/>
    <n v="9"/>
    <n v="0"/>
    <n v="9"/>
  </r>
  <r>
    <n v="31"/>
    <x v="1"/>
    <x v="1"/>
    <n v="793"/>
    <x v="0"/>
    <n v="20"/>
    <n v="3"/>
    <s v="Life Sciences"/>
    <n v="1"/>
    <n v="1135"/>
    <n v="3"/>
    <x v="1"/>
    <n v="67"/>
    <x v="2"/>
    <n v="1"/>
    <x v="6"/>
    <n v="4"/>
    <x v="1"/>
    <n v="2791"/>
    <n v="21981"/>
    <n v="0"/>
    <s v="Y"/>
    <s v="No"/>
    <n v="12"/>
    <x v="0"/>
    <n v="1"/>
    <n v="80"/>
    <n v="1"/>
    <n v="3"/>
    <n v="4"/>
    <n v="3"/>
    <n v="2"/>
    <n v="2"/>
    <n v="2"/>
    <n v="2"/>
  </r>
  <r>
    <n v="28"/>
    <x v="1"/>
    <x v="0"/>
    <n v="1451"/>
    <x v="1"/>
    <n v="2"/>
    <n v="1"/>
    <s v="Life Sciences"/>
    <n v="1"/>
    <n v="1136"/>
    <n v="1"/>
    <x v="1"/>
    <n v="67"/>
    <x v="1"/>
    <n v="1"/>
    <x v="1"/>
    <n v="2"/>
    <x v="1"/>
    <n v="3201"/>
    <n v="19911"/>
    <n v="0"/>
    <s v="Y"/>
    <s v="No"/>
    <n v="17"/>
    <x v="0"/>
    <n v="1"/>
    <n v="80"/>
    <n v="0"/>
    <n v="6"/>
    <n v="2"/>
    <n v="1"/>
    <n v="5"/>
    <n v="3"/>
    <n v="0"/>
    <n v="4"/>
  </r>
  <r>
    <n v="35"/>
    <x v="1"/>
    <x v="1"/>
    <n v="1182"/>
    <x v="0"/>
    <n v="11"/>
    <n v="2"/>
    <s v="Marketing"/>
    <n v="1"/>
    <n v="1137"/>
    <n v="4"/>
    <x v="1"/>
    <n v="54"/>
    <x v="0"/>
    <n v="2"/>
    <x v="0"/>
    <n v="4"/>
    <x v="2"/>
    <n v="4968"/>
    <n v="18500"/>
    <n v="1"/>
    <s v="Y"/>
    <s v="No"/>
    <n v="11"/>
    <x v="0"/>
    <n v="4"/>
    <n v="80"/>
    <n v="1"/>
    <n v="5"/>
    <n v="3"/>
    <n v="3"/>
    <n v="5"/>
    <n v="2"/>
    <n v="0"/>
    <n v="2"/>
  </r>
  <r>
    <n v="49"/>
    <x v="1"/>
    <x v="0"/>
    <n v="174"/>
    <x v="0"/>
    <n v="8"/>
    <n v="4"/>
    <s v="Technical Degree"/>
    <n v="1"/>
    <n v="1138"/>
    <n v="4"/>
    <x v="1"/>
    <n v="56"/>
    <x v="1"/>
    <n v="4"/>
    <x v="0"/>
    <n v="2"/>
    <x v="1"/>
    <n v="13120"/>
    <n v="11879"/>
    <n v="6"/>
    <s v="Y"/>
    <s v="No"/>
    <n v="17"/>
    <x v="0"/>
    <n v="2"/>
    <n v="80"/>
    <n v="1"/>
    <n v="22"/>
    <n v="3"/>
    <n v="3"/>
    <n v="9"/>
    <n v="8"/>
    <n v="2"/>
    <n v="3"/>
  </r>
  <r>
    <n v="34"/>
    <x v="1"/>
    <x v="1"/>
    <n v="1003"/>
    <x v="1"/>
    <n v="2"/>
    <n v="2"/>
    <s v="Life Sciences"/>
    <n v="1"/>
    <n v="1140"/>
    <n v="4"/>
    <x v="1"/>
    <n v="95"/>
    <x v="0"/>
    <n v="2"/>
    <x v="3"/>
    <n v="3"/>
    <x v="0"/>
    <n v="4033"/>
    <n v="15834"/>
    <n v="2"/>
    <s v="Y"/>
    <s v="No"/>
    <n v="11"/>
    <x v="0"/>
    <n v="4"/>
    <n v="80"/>
    <n v="0"/>
    <n v="5"/>
    <n v="3"/>
    <n v="2"/>
    <n v="3"/>
    <n v="2"/>
    <n v="0"/>
    <n v="2"/>
  </r>
  <r>
    <n v="29"/>
    <x v="1"/>
    <x v="1"/>
    <n v="490"/>
    <x v="1"/>
    <n v="10"/>
    <n v="3"/>
    <s v="Life Sciences"/>
    <n v="1"/>
    <n v="1143"/>
    <n v="4"/>
    <x v="0"/>
    <n v="61"/>
    <x v="0"/>
    <n v="1"/>
    <x v="1"/>
    <n v="2"/>
    <x v="2"/>
    <n v="3291"/>
    <n v="17940"/>
    <n v="0"/>
    <s v="Y"/>
    <s v="No"/>
    <n v="14"/>
    <x v="0"/>
    <n v="4"/>
    <n v="80"/>
    <n v="2"/>
    <n v="8"/>
    <n v="2"/>
    <n v="2"/>
    <n v="7"/>
    <n v="5"/>
    <n v="1"/>
    <n v="1"/>
  </r>
  <r>
    <n v="42"/>
    <x v="1"/>
    <x v="0"/>
    <n v="188"/>
    <x v="1"/>
    <n v="29"/>
    <n v="3"/>
    <s v="Medical"/>
    <n v="1"/>
    <n v="1148"/>
    <n v="2"/>
    <x v="1"/>
    <n v="56"/>
    <x v="3"/>
    <n v="2"/>
    <x v="2"/>
    <n v="4"/>
    <x v="0"/>
    <n v="4272"/>
    <n v="9558"/>
    <n v="4"/>
    <s v="Y"/>
    <s v="No"/>
    <n v="19"/>
    <x v="0"/>
    <n v="1"/>
    <n v="80"/>
    <n v="0"/>
    <n v="16"/>
    <n v="3"/>
    <n v="3"/>
    <n v="1"/>
    <n v="0"/>
    <n v="0"/>
    <n v="0"/>
  </r>
  <r>
    <n v="29"/>
    <x v="1"/>
    <x v="0"/>
    <n v="718"/>
    <x v="1"/>
    <n v="8"/>
    <n v="1"/>
    <s v="Medical"/>
    <n v="1"/>
    <n v="1150"/>
    <n v="2"/>
    <x v="1"/>
    <n v="79"/>
    <x v="1"/>
    <n v="2"/>
    <x v="3"/>
    <n v="4"/>
    <x v="1"/>
    <n v="5056"/>
    <n v="17689"/>
    <n v="1"/>
    <s v="Y"/>
    <s v="Yes"/>
    <n v="15"/>
    <x v="0"/>
    <n v="3"/>
    <n v="80"/>
    <n v="1"/>
    <n v="10"/>
    <n v="2"/>
    <n v="2"/>
    <n v="10"/>
    <n v="7"/>
    <n v="1"/>
    <n v="2"/>
  </r>
  <r>
    <n v="38"/>
    <x v="1"/>
    <x v="0"/>
    <n v="433"/>
    <x v="2"/>
    <n v="1"/>
    <n v="3"/>
    <s v="Human Resources"/>
    <n v="1"/>
    <n v="1152"/>
    <n v="3"/>
    <x v="1"/>
    <n v="37"/>
    <x v="2"/>
    <n v="1"/>
    <x v="8"/>
    <n v="3"/>
    <x v="1"/>
    <n v="2844"/>
    <n v="6004"/>
    <n v="1"/>
    <s v="Y"/>
    <s v="No"/>
    <n v="13"/>
    <x v="0"/>
    <n v="4"/>
    <n v="80"/>
    <n v="1"/>
    <n v="7"/>
    <n v="2"/>
    <n v="4"/>
    <n v="7"/>
    <n v="6"/>
    <n v="5"/>
    <n v="0"/>
  </r>
  <r>
    <n v="28"/>
    <x v="1"/>
    <x v="1"/>
    <n v="773"/>
    <x v="1"/>
    <n v="6"/>
    <n v="3"/>
    <s v="Life Sciences"/>
    <n v="1"/>
    <n v="1154"/>
    <n v="3"/>
    <x v="1"/>
    <n v="39"/>
    <x v="1"/>
    <n v="1"/>
    <x v="1"/>
    <n v="3"/>
    <x v="2"/>
    <n v="2703"/>
    <n v="22088"/>
    <n v="1"/>
    <s v="Y"/>
    <s v="Yes"/>
    <n v="14"/>
    <x v="0"/>
    <n v="4"/>
    <n v="80"/>
    <n v="1"/>
    <n v="3"/>
    <n v="2"/>
    <n v="3"/>
    <n v="3"/>
    <n v="1"/>
    <n v="0"/>
    <n v="2"/>
  </r>
  <r>
    <n v="18"/>
    <x v="0"/>
    <x v="2"/>
    <n v="247"/>
    <x v="1"/>
    <n v="8"/>
    <n v="1"/>
    <s v="Medical"/>
    <n v="1"/>
    <n v="1156"/>
    <n v="3"/>
    <x v="1"/>
    <n v="80"/>
    <x v="0"/>
    <n v="1"/>
    <x v="2"/>
    <n v="3"/>
    <x v="0"/>
    <n v="1904"/>
    <n v="13556"/>
    <n v="1"/>
    <s v="Y"/>
    <s v="No"/>
    <n v="12"/>
    <x v="0"/>
    <n v="4"/>
    <n v="80"/>
    <n v="0"/>
    <n v="0"/>
    <n v="0"/>
    <n v="3"/>
    <n v="0"/>
    <n v="0"/>
    <n v="0"/>
    <n v="0"/>
  </r>
  <r>
    <n v="33"/>
    <x v="0"/>
    <x v="0"/>
    <n v="603"/>
    <x v="0"/>
    <n v="9"/>
    <n v="4"/>
    <s v="Marketing"/>
    <n v="1"/>
    <n v="1157"/>
    <n v="1"/>
    <x v="0"/>
    <n v="77"/>
    <x v="0"/>
    <n v="2"/>
    <x v="0"/>
    <n v="1"/>
    <x v="0"/>
    <n v="8224"/>
    <n v="18385"/>
    <n v="0"/>
    <s v="Y"/>
    <s v="Yes"/>
    <n v="17"/>
    <x v="0"/>
    <n v="1"/>
    <n v="80"/>
    <n v="0"/>
    <n v="6"/>
    <n v="3"/>
    <n v="3"/>
    <n v="5"/>
    <n v="2"/>
    <n v="0"/>
    <n v="3"/>
  </r>
  <r>
    <n v="41"/>
    <x v="1"/>
    <x v="0"/>
    <n v="167"/>
    <x v="1"/>
    <n v="12"/>
    <n v="4"/>
    <s v="Life Sciences"/>
    <n v="1"/>
    <n v="1158"/>
    <n v="2"/>
    <x v="1"/>
    <n v="46"/>
    <x v="0"/>
    <n v="1"/>
    <x v="2"/>
    <n v="4"/>
    <x v="1"/>
    <n v="4766"/>
    <n v="9051"/>
    <n v="3"/>
    <s v="Y"/>
    <s v="Yes"/>
    <n v="11"/>
    <x v="0"/>
    <n v="1"/>
    <n v="80"/>
    <n v="1"/>
    <n v="6"/>
    <n v="4"/>
    <n v="3"/>
    <n v="1"/>
    <n v="0"/>
    <n v="0"/>
    <n v="0"/>
  </r>
  <r>
    <n v="31"/>
    <x v="0"/>
    <x v="1"/>
    <n v="874"/>
    <x v="1"/>
    <n v="15"/>
    <n v="3"/>
    <s v="Medical"/>
    <n v="1"/>
    <n v="1160"/>
    <n v="3"/>
    <x v="1"/>
    <n v="72"/>
    <x v="0"/>
    <n v="1"/>
    <x v="2"/>
    <n v="3"/>
    <x v="1"/>
    <n v="2610"/>
    <n v="6233"/>
    <n v="1"/>
    <s v="Y"/>
    <s v="No"/>
    <n v="12"/>
    <x v="0"/>
    <n v="3"/>
    <n v="80"/>
    <n v="1"/>
    <n v="2"/>
    <n v="5"/>
    <n v="2"/>
    <n v="2"/>
    <n v="2"/>
    <n v="2"/>
    <n v="2"/>
  </r>
  <r>
    <n v="37"/>
    <x v="1"/>
    <x v="0"/>
    <n v="367"/>
    <x v="1"/>
    <n v="25"/>
    <n v="2"/>
    <s v="Medical"/>
    <n v="1"/>
    <n v="1161"/>
    <n v="3"/>
    <x v="0"/>
    <n v="52"/>
    <x v="1"/>
    <n v="2"/>
    <x v="4"/>
    <n v="4"/>
    <x v="2"/>
    <n v="5731"/>
    <n v="17171"/>
    <n v="7"/>
    <s v="Y"/>
    <s v="No"/>
    <n v="13"/>
    <x v="0"/>
    <n v="3"/>
    <n v="80"/>
    <n v="2"/>
    <n v="9"/>
    <n v="2"/>
    <n v="3"/>
    <n v="6"/>
    <n v="2"/>
    <n v="1"/>
    <n v="3"/>
  </r>
  <r>
    <n v="27"/>
    <x v="1"/>
    <x v="0"/>
    <n v="199"/>
    <x v="1"/>
    <n v="6"/>
    <n v="3"/>
    <s v="Life Sciences"/>
    <n v="1"/>
    <n v="1162"/>
    <n v="4"/>
    <x v="1"/>
    <n v="55"/>
    <x v="1"/>
    <n v="1"/>
    <x v="1"/>
    <n v="3"/>
    <x v="1"/>
    <n v="2539"/>
    <n v="7950"/>
    <n v="1"/>
    <s v="Y"/>
    <s v="No"/>
    <n v="13"/>
    <x v="0"/>
    <n v="3"/>
    <n v="80"/>
    <n v="1"/>
    <n v="4"/>
    <n v="0"/>
    <n v="3"/>
    <n v="4"/>
    <n v="2"/>
    <n v="2"/>
    <n v="2"/>
  </r>
  <r>
    <n v="34"/>
    <x v="1"/>
    <x v="0"/>
    <n v="1400"/>
    <x v="0"/>
    <n v="9"/>
    <n v="1"/>
    <s v="Life Sciences"/>
    <n v="1"/>
    <n v="1163"/>
    <n v="2"/>
    <x v="0"/>
    <n v="70"/>
    <x v="0"/>
    <n v="2"/>
    <x v="0"/>
    <n v="3"/>
    <x v="1"/>
    <n v="5714"/>
    <n v="5829"/>
    <n v="1"/>
    <s v="Y"/>
    <s v="No"/>
    <n v="20"/>
    <x v="1"/>
    <n v="1"/>
    <n v="80"/>
    <n v="0"/>
    <n v="6"/>
    <n v="3"/>
    <n v="2"/>
    <n v="6"/>
    <n v="5"/>
    <n v="1"/>
    <n v="3"/>
  </r>
  <r>
    <n v="35"/>
    <x v="1"/>
    <x v="0"/>
    <n v="528"/>
    <x v="2"/>
    <n v="8"/>
    <n v="4"/>
    <s v="Technical Degree"/>
    <n v="1"/>
    <n v="1164"/>
    <n v="3"/>
    <x v="1"/>
    <n v="100"/>
    <x v="0"/>
    <n v="1"/>
    <x v="8"/>
    <n v="3"/>
    <x v="0"/>
    <n v="4323"/>
    <n v="7108"/>
    <n v="1"/>
    <s v="Y"/>
    <s v="No"/>
    <n v="17"/>
    <x v="0"/>
    <n v="2"/>
    <n v="80"/>
    <n v="0"/>
    <n v="6"/>
    <n v="2"/>
    <n v="1"/>
    <n v="5"/>
    <n v="4"/>
    <n v="1"/>
    <n v="4"/>
  </r>
  <r>
    <n v="29"/>
    <x v="0"/>
    <x v="0"/>
    <n v="408"/>
    <x v="0"/>
    <n v="23"/>
    <n v="1"/>
    <s v="Life Sciences"/>
    <n v="1"/>
    <n v="1165"/>
    <n v="4"/>
    <x v="0"/>
    <n v="45"/>
    <x v="1"/>
    <n v="3"/>
    <x v="0"/>
    <n v="1"/>
    <x v="1"/>
    <n v="7336"/>
    <n v="11162"/>
    <n v="1"/>
    <s v="Y"/>
    <s v="No"/>
    <n v="13"/>
    <x v="0"/>
    <n v="1"/>
    <n v="80"/>
    <n v="1"/>
    <n v="11"/>
    <n v="3"/>
    <n v="1"/>
    <n v="11"/>
    <n v="8"/>
    <n v="3"/>
    <n v="10"/>
  </r>
  <r>
    <n v="40"/>
    <x v="1"/>
    <x v="1"/>
    <n v="593"/>
    <x v="1"/>
    <n v="9"/>
    <n v="4"/>
    <s v="Medical"/>
    <n v="1"/>
    <n v="1166"/>
    <n v="2"/>
    <x v="0"/>
    <n v="88"/>
    <x v="0"/>
    <n v="3"/>
    <x v="7"/>
    <n v="3"/>
    <x v="0"/>
    <n v="13499"/>
    <n v="13782"/>
    <n v="9"/>
    <s v="Y"/>
    <s v="No"/>
    <n v="17"/>
    <x v="0"/>
    <n v="3"/>
    <n v="80"/>
    <n v="0"/>
    <n v="20"/>
    <n v="3"/>
    <n v="2"/>
    <n v="18"/>
    <n v="7"/>
    <n v="2"/>
    <n v="13"/>
  </r>
  <r>
    <n v="42"/>
    <x v="0"/>
    <x v="1"/>
    <n v="481"/>
    <x v="0"/>
    <n v="12"/>
    <n v="3"/>
    <s v="Life Sciences"/>
    <n v="1"/>
    <n v="1167"/>
    <n v="3"/>
    <x v="1"/>
    <n v="44"/>
    <x v="0"/>
    <n v="4"/>
    <x v="0"/>
    <n v="1"/>
    <x v="0"/>
    <n v="13758"/>
    <n v="2447"/>
    <n v="0"/>
    <s v="Y"/>
    <s v="Yes"/>
    <n v="12"/>
    <x v="0"/>
    <n v="2"/>
    <n v="80"/>
    <n v="0"/>
    <n v="22"/>
    <n v="2"/>
    <n v="2"/>
    <n v="21"/>
    <n v="9"/>
    <n v="13"/>
    <n v="14"/>
  </r>
  <r>
    <n v="42"/>
    <x v="1"/>
    <x v="0"/>
    <n v="647"/>
    <x v="0"/>
    <n v="4"/>
    <n v="4"/>
    <s v="Marketing"/>
    <n v="1"/>
    <n v="1171"/>
    <n v="2"/>
    <x v="1"/>
    <n v="45"/>
    <x v="0"/>
    <n v="2"/>
    <x v="0"/>
    <n v="1"/>
    <x v="0"/>
    <n v="5155"/>
    <n v="2253"/>
    <n v="7"/>
    <s v="Y"/>
    <s v="No"/>
    <n v="13"/>
    <x v="0"/>
    <n v="4"/>
    <n v="80"/>
    <n v="0"/>
    <n v="9"/>
    <n v="3"/>
    <n v="4"/>
    <n v="6"/>
    <n v="4"/>
    <n v="1"/>
    <n v="5"/>
  </r>
  <r>
    <n v="35"/>
    <x v="1"/>
    <x v="0"/>
    <n v="982"/>
    <x v="1"/>
    <n v="1"/>
    <n v="4"/>
    <s v="Medical"/>
    <n v="1"/>
    <n v="1172"/>
    <n v="4"/>
    <x v="1"/>
    <n v="58"/>
    <x v="1"/>
    <n v="1"/>
    <x v="2"/>
    <n v="3"/>
    <x v="1"/>
    <n v="2258"/>
    <n v="16340"/>
    <n v="6"/>
    <s v="Y"/>
    <s v="No"/>
    <n v="12"/>
    <x v="0"/>
    <n v="2"/>
    <n v="80"/>
    <n v="1"/>
    <n v="10"/>
    <n v="2"/>
    <n v="3"/>
    <n v="8"/>
    <n v="0"/>
    <n v="1"/>
    <n v="7"/>
  </r>
  <r>
    <n v="24"/>
    <x v="1"/>
    <x v="0"/>
    <n v="477"/>
    <x v="1"/>
    <n v="24"/>
    <n v="3"/>
    <s v="Medical"/>
    <n v="1"/>
    <n v="1173"/>
    <n v="4"/>
    <x v="1"/>
    <n v="49"/>
    <x v="0"/>
    <n v="1"/>
    <x v="2"/>
    <n v="2"/>
    <x v="0"/>
    <n v="3597"/>
    <n v="6409"/>
    <n v="8"/>
    <s v="Y"/>
    <s v="No"/>
    <n v="22"/>
    <x v="1"/>
    <n v="4"/>
    <n v="80"/>
    <n v="0"/>
    <n v="6"/>
    <n v="2"/>
    <n v="3"/>
    <n v="4"/>
    <n v="3"/>
    <n v="1"/>
    <n v="2"/>
  </r>
  <r>
    <n v="28"/>
    <x v="0"/>
    <x v="0"/>
    <n v="1485"/>
    <x v="1"/>
    <n v="12"/>
    <n v="1"/>
    <s v="Life Sciences"/>
    <n v="1"/>
    <n v="1175"/>
    <n v="3"/>
    <x v="0"/>
    <n v="79"/>
    <x v="0"/>
    <n v="1"/>
    <x v="2"/>
    <n v="4"/>
    <x v="1"/>
    <n v="2515"/>
    <n v="22955"/>
    <n v="1"/>
    <s v="Y"/>
    <s v="Yes"/>
    <n v="11"/>
    <x v="0"/>
    <n v="4"/>
    <n v="80"/>
    <n v="0"/>
    <n v="1"/>
    <n v="4"/>
    <n v="2"/>
    <n v="1"/>
    <n v="1"/>
    <n v="0"/>
    <n v="0"/>
  </r>
  <r>
    <n v="26"/>
    <x v="1"/>
    <x v="0"/>
    <n v="1384"/>
    <x v="1"/>
    <n v="3"/>
    <n v="4"/>
    <s v="Medical"/>
    <n v="1"/>
    <n v="1177"/>
    <n v="1"/>
    <x v="1"/>
    <n v="82"/>
    <x v="2"/>
    <n v="1"/>
    <x v="2"/>
    <n v="4"/>
    <x v="1"/>
    <n v="4420"/>
    <n v="13421"/>
    <n v="1"/>
    <s v="Y"/>
    <s v="No"/>
    <n v="22"/>
    <x v="1"/>
    <n v="2"/>
    <n v="80"/>
    <n v="1"/>
    <n v="8"/>
    <n v="2"/>
    <n v="3"/>
    <n v="8"/>
    <n v="7"/>
    <n v="0"/>
    <n v="7"/>
  </r>
  <r>
    <n v="30"/>
    <x v="1"/>
    <x v="0"/>
    <n v="852"/>
    <x v="0"/>
    <n v="10"/>
    <n v="3"/>
    <s v="Marketing"/>
    <n v="1"/>
    <n v="1179"/>
    <n v="3"/>
    <x v="1"/>
    <n v="72"/>
    <x v="1"/>
    <n v="2"/>
    <x v="0"/>
    <n v="3"/>
    <x v="1"/>
    <n v="6578"/>
    <n v="2706"/>
    <n v="1"/>
    <s v="Y"/>
    <s v="No"/>
    <n v="18"/>
    <x v="0"/>
    <n v="1"/>
    <n v="80"/>
    <n v="1"/>
    <n v="10"/>
    <n v="3"/>
    <n v="3"/>
    <n v="10"/>
    <n v="3"/>
    <n v="1"/>
    <n v="4"/>
  </r>
  <r>
    <n v="40"/>
    <x v="1"/>
    <x v="1"/>
    <n v="902"/>
    <x v="1"/>
    <n v="26"/>
    <n v="2"/>
    <s v="Medical"/>
    <n v="1"/>
    <n v="1180"/>
    <n v="3"/>
    <x v="0"/>
    <n v="92"/>
    <x v="1"/>
    <n v="2"/>
    <x v="1"/>
    <n v="4"/>
    <x v="1"/>
    <n v="4422"/>
    <n v="21203"/>
    <n v="3"/>
    <s v="Y"/>
    <s v="Yes"/>
    <n v="13"/>
    <x v="0"/>
    <n v="4"/>
    <n v="80"/>
    <n v="1"/>
    <n v="16"/>
    <n v="3"/>
    <n v="1"/>
    <n v="1"/>
    <n v="1"/>
    <n v="0"/>
    <n v="0"/>
  </r>
  <r>
    <n v="35"/>
    <x v="1"/>
    <x v="0"/>
    <n v="819"/>
    <x v="1"/>
    <n v="2"/>
    <n v="3"/>
    <s v="Life Sciences"/>
    <n v="1"/>
    <n v="1182"/>
    <n v="3"/>
    <x v="1"/>
    <n v="44"/>
    <x v="1"/>
    <n v="3"/>
    <x v="3"/>
    <n v="2"/>
    <x v="2"/>
    <n v="10274"/>
    <n v="19588"/>
    <n v="2"/>
    <s v="Y"/>
    <s v="No"/>
    <n v="18"/>
    <x v="0"/>
    <n v="2"/>
    <n v="80"/>
    <n v="1"/>
    <n v="15"/>
    <n v="2"/>
    <n v="4"/>
    <n v="7"/>
    <n v="7"/>
    <n v="6"/>
    <n v="4"/>
  </r>
  <r>
    <n v="34"/>
    <x v="1"/>
    <x v="1"/>
    <n v="669"/>
    <x v="1"/>
    <n v="1"/>
    <n v="3"/>
    <s v="Medical"/>
    <n v="1"/>
    <n v="1184"/>
    <n v="4"/>
    <x v="1"/>
    <n v="97"/>
    <x v="1"/>
    <n v="2"/>
    <x v="4"/>
    <n v="1"/>
    <x v="0"/>
    <n v="5343"/>
    <n v="25755"/>
    <n v="0"/>
    <s v="Y"/>
    <s v="No"/>
    <n v="20"/>
    <x v="1"/>
    <n v="3"/>
    <n v="80"/>
    <n v="0"/>
    <n v="14"/>
    <n v="3"/>
    <n v="3"/>
    <n v="13"/>
    <n v="9"/>
    <n v="4"/>
    <n v="9"/>
  </r>
  <r>
    <n v="35"/>
    <x v="1"/>
    <x v="1"/>
    <n v="636"/>
    <x v="1"/>
    <n v="4"/>
    <n v="4"/>
    <s v="Other"/>
    <n v="1"/>
    <n v="1185"/>
    <n v="4"/>
    <x v="1"/>
    <n v="47"/>
    <x v="1"/>
    <n v="1"/>
    <x v="2"/>
    <n v="4"/>
    <x v="1"/>
    <n v="2376"/>
    <n v="26537"/>
    <n v="1"/>
    <s v="Y"/>
    <s v="No"/>
    <n v="13"/>
    <x v="0"/>
    <n v="2"/>
    <n v="80"/>
    <n v="1"/>
    <n v="2"/>
    <n v="2"/>
    <n v="4"/>
    <n v="2"/>
    <n v="2"/>
    <n v="2"/>
    <n v="2"/>
  </r>
  <r>
    <n v="43"/>
    <x v="0"/>
    <x v="0"/>
    <n v="1372"/>
    <x v="0"/>
    <n v="9"/>
    <n v="3"/>
    <s v="Marketing"/>
    <n v="1"/>
    <n v="1188"/>
    <n v="1"/>
    <x v="0"/>
    <n v="85"/>
    <x v="3"/>
    <n v="2"/>
    <x v="0"/>
    <n v="3"/>
    <x v="0"/>
    <n v="5346"/>
    <n v="9489"/>
    <n v="8"/>
    <s v="Y"/>
    <s v="No"/>
    <n v="13"/>
    <x v="0"/>
    <n v="2"/>
    <n v="80"/>
    <n v="0"/>
    <n v="7"/>
    <n v="2"/>
    <n v="2"/>
    <n v="4"/>
    <n v="3"/>
    <n v="1"/>
    <n v="3"/>
  </r>
  <r>
    <n v="32"/>
    <x v="1"/>
    <x v="2"/>
    <n v="862"/>
    <x v="0"/>
    <n v="2"/>
    <n v="1"/>
    <s v="Life Sciences"/>
    <n v="1"/>
    <n v="1190"/>
    <n v="3"/>
    <x v="0"/>
    <n v="76"/>
    <x v="0"/>
    <n v="1"/>
    <x v="6"/>
    <n v="1"/>
    <x v="2"/>
    <n v="2827"/>
    <n v="14947"/>
    <n v="1"/>
    <s v="Y"/>
    <s v="No"/>
    <n v="12"/>
    <x v="0"/>
    <n v="3"/>
    <n v="80"/>
    <n v="3"/>
    <n v="1"/>
    <n v="3"/>
    <n v="3"/>
    <n v="1"/>
    <n v="0"/>
    <n v="0"/>
    <n v="0"/>
  </r>
  <r>
    <n v="56"/>
    <x v="1"/>
    <x v="0"/>
    <n v="718"/>
    <x v="1"/>
    <n v="4"/>
    <n v="4"/>
    <s v="Technical Degree"/>
    <n v="1"/>
    <n v="1191"/>
    <n v="4"/>
    <x v="0"/>
    <n v="92"/>
    <x v="0"/>
    <n v="5"/>
    <x v="5"/>
    <n v="1"/>
    <x v="2"/>
    <n v="19943"/>
    <n v="18575"/>
    <n v="4"/>
    <s v="Y"/>
    <s v="No"/>
    <n v="13"/>
    <x v="0"/>
    <n v="4"/>
    <n v="80"/>
    <n v="1"/>
    <n v="28"/>
    <n v="2"/>
    <n v="3"/>
    <n v="5"/>
    <n v="2"/>
    <n v="4"/>
    <n v="2"/>
  </r>
  <r>
    <n v="29"/>
    <x v="1"/>
    <x v="0"/>
    <n v="1401"/>
    <x v="1"/>
    <n v="6"/>
    <n v="1"/>
    <s v="Medical"/>
    <n v="1"/>
    <n v="1192"/>
    <n v="2"/>
    <x v="0"/>
    <n v="54"/>
    <x v="0"/>
    <n v="1"/>
    <x v="2"/>
    <n v="4"/>
    <x v="1"/>
    <n v="3131"/>
    <n v="26342"/>
    <n v="1"/>
    <s v="Y"/>
    <s v="No"/>
    <n v="13"/>
    <x v="0"/>
    <n v="1"/>
    <n v="80"/>
    <n v="1"/>
    <n v="10"/>
    <n v="5"/>
    <n v="3"/>
    <n v="10"/>
    <n v="8"/>
    <n v="0"/>
    <n v="8"/>
  </r>
  <r>
    <n v="19"/>
    <x v="1"/>
    <x v="0"/>
    <n v="645"/>
    <x v="1"/>
    <n v="9"/>
    <n v="2"/>
    <s v="Life Sciences"/>
    <n v="1"/>
    <n v="1193"/>
    <n v="3"/>
    <x v="1"/>
    <n v="54"/>
    <x v="0"/>
    <n v="1"/>
    <x v="1"/>
    <n v="1"/>
    <x v="0"/>
    <n v="2552"/>
    <n v="7172"/>
    <n v="1"/>
    <s v="Y"/>
    <s v="No"/>
    <n v="25"/>
    <x v="1"/>
    <n v="3"/>
    <n v="80"/>
    <n v="0"/>
    <n v="1"/>
    <n v="4"/>
    <n v="3"/>
    <n v="1"/>
    <n v="1"/>
    <n v="0"/>
    <n v="0"/>
  </r>
  <r>
    <n v="45"/>
    <x v="1"/>
    <x v="0"/>
    <n v="1457"/>
    <x v="1"/>
    <n v="7"/>
    <n v="3"/>
    <s v="Medical"/>
    <n v="1"/>
    <n v="1195"/>
    <n v="1"/>
    <x v="0"/>
    <n v="83"/>
    <x v="0"/>
    <n v="1"/>
    <x v="1"/>
    <n v="3"/>
    <x v="1"/>
    <n v="4477"/>
    <n v="20100"/>
    <n v="4"/>
    <s v="Y"/>
    <s v="Yes"/>
    <n v="19"/>
    <x v="0"/>
    <n v="3"/>
    <n v="80"/>
    <n v="1"/>
    <n v="7"/>
    <n v="2"/>
    <n v="2"/>
    <n v="3"/>
    <n v="2"/>
    <n v="0"/>
    <n v="2"/>
  </r>
  <r>
    <n v="37"/>
    <x v="1"/>
    <x v="0"/>
    <n v="977"/>
    <x v="1"/>
    <n v="1"/>
    <n v="3"/>
    <s v="Life Sciences"/>
    <n v="1"/>
    <n v="1196"/>
    <n v="4"/>
    <x v="0"/>
    <n v="56"/>
    <x v="1"/>
    <n v="2"/>
    <x v="3"/>
    <n v="4"/>
    <x v="1"/>
    <n v="6474"/>
    <n v="9961"/>
    <n v="1"/>
    <s v="Y"/>
    <s v="No"/>
    <n v="13"/>
    <x v="0"/>
    <n v="2"/>
    <n v="80"/>
    <n v="1"/>
    <n v="14"/>
    <n v="2"/>
    <n v="2"/>
    <n v="14"/>
    <n v="8"/>
    <n v="3"/>
    <n v="11"/>
  </r>
  <r>
    <n v="20"/>
    <x v="1"/>
    <x v="0"/>
    <n v="805"/>
    <x v="1"/>
    <n v="3"/>
    <n v="3"/>
    <s v="Life Sciences"/>
    <n v="1"/>
    <n v="1198"/>
    <n v="1"/>
    <x v="1"/>
    <n v="87"/>
    <x v="1"/>
    <n v="1"/>
    <x v="2"/>
    <n v="3"/>
    <x v="0"/>
    <n v="3033"/>
    <n v="12828"/>
    <n v="1"/>
    <s v="Y"/>
    <s v="No"/>
    <n v="12"/>
    <x v="0"/>
    <n v="1"/>
    <n v="80"/>
    <n v="0"/>
    <n v="2"/>
    <n v="2"/>
    <n v="2"/>
    <n v="2"/>
    <n v="2"/>
    <n v="1"/>
    <n v="2"/>
  </r>
  <r>
    <n v="44"/>
    <x v="0"/>
    <x v="0"/>
    <n v="1097"/>
    <x v="1"/>
    <n v="10"/>
    <n v="4"/>
    <s v="Life Sciences"/>
    <n v="1"/>
    <n v="1200"/>
    <n v="3"/>
    <x v="1"/>
    <n v="96"/>
    <x v="0"/>
    <n v="1"/>
    <x v="1"/>
    <n v="3"/>
    <x v="0"/>
    <n v="2936"/>
    <n v="10826"/>
    <n v="1"/>
    <s v="Y"/>
    <s v="Yes"/>
    <n v="11"/>
    <x v="0"/>
    <n v="3"/>
    <n v="80"/>
    <n v="0"/>
    <n v="6"/>
    <n v="4"/>
    <n v="3"/>
    <n v="6"/>
    <n v="4"/>
    <n v="0"/>
    <n v="2"/>
  </r>
  <r>
    <n v="53"/>
    <x v="1"/>
    <x v="0"/>
    <n v="1223"/>
    <x v="1"/>
    <n v="7"/>
    <n v="2"/>
    <s v="Medical"/>
    <n v="1"/>
    <n v="1201"/>
    <n v="4"/>
    <x v="0"/>
    <n v="50"/>
    <x v="0"/>
    <n v="5"/>
    <x v="5"/>
    <n v="3"/>
    <x v="2"/>
    <n v="18606"/>
    <n v="18640"/>
    <n v="3"/>
    <s v="Y"/>
    <s v="No"/>
    <n v="18"/>
    <x v="0"/>
    <n v="2"/>
    <n v="80"/>
    <n v="1"/>
    <n v="26"/>
    <n v="6"/>
    <n v="3"/>
    <n v="7"/>
    <n v="7"/>
    <n v="4"/>
    <n v="7"/>
  </r>
  <r>
    <n v="29"/>
    <x v="1"/>
    <x v="0"/>
    <n v="942"/>
    <x v="1"/>
    <n v="15"/>
    <n v="1"/>
    <s v="Life Sciences"/>
    <n v="1"/>
    <n v="1202"/>
    <n v="2"/>
    <x v="0"/>
    <n v="69"/>
    <x v="3"/>
    <n v="1"/>
    <x v="1"/>
    <n v="4"/>
    <x v="1"/>
    <n v="2168"/>
    <n v="26933"/>
    <n v="0"/>
    <s v="Y"/>
    <s v="Yes"/>
    <n v="18"/>
    <x v="0"/>
    <n v="1"/>
    <n v="80"/>
    <n v="1"/>
    <n v="6"/>
    <n v="2"/>
    <n v="2"/>
    <n v="5"/>
    <n v="4"/>
    <n v="1"/>
    <n v="3"/>
  </r>
  <r>
    <n v="22"/>
    <x v="0"/>
    <x v="1"/>
    <n v="1256"/>
    <x v="1"/>
    <n v="3"/>
    <n v="4"/>
    <s v="Life Sciences"/>
    <n v="1"/>
    <n v="1203"/>
    <n v="3"/>
    <x v="1"/>
    <n v="48"/>
    <x v="1"/>
    <n v="1"/>
    <x v="1"/>
    <n v="4"/>
    <x v="1"/>
    <n v="2853"/>
    <n v="4223"/>
    <n v="0"/>
    <s v="Y"/>
    <s v="Yes"/>
    <n v="11"/>
    <x v="0"/>
    <n v="2"/>
    <n v="80"/>
    <n v="1"/>
    <n v="1"/>
    <n v="5"/>
    <n v="3"/>
    <n v="0"/>
    <n v="0"/>
    <n v="0"/>
    <n v="0"/>
  </r>
  <r>
    <n v="46"/>
    <x v="1"/>
    <x v="0"/>
    <n v="1402"/>
    <x v="0"/>
    <n v="2"/>
    <n v="3"/>
    <s v="Marketing"/>
    <n v="1"/>
    <n v="1204"/>
    <n v="3"/>
    <x v="0"/>
    <n v="69"/>
    <x v="0"/>
    <n v="4"/>
    <x v="5"/>
    <n v="1"/>
    <x v="1"/>
    <n v="17048"/>
    <n v="24097"/>
    <n v="8"/>
    <s v="Y"/>
    <s v="No"/>
    <n v="23"/>
    <x v="1"/>
    <n v="1"/>
    <n v="80"/>
    <n v="0"/>
    <n v="28"/>
    <n v="2"/>
    <n v="3"/>
    <n v="26"/>
    <n v="15"/>
    <n v="15"/>
    <n v="9"/>
  </r>
  <r>
    <n v="44"/>
    <x v="1"/>
    <x v="2"/>
    <n v="111"/>
    <x v="1"/>
    <n v="17"/>
    <n v="3"/>
    <s v="Life Sciences"/>
    <n v="1"/>
    <n v="1206"/>
    <n v="4"/>
    <x v="1"/>
    <n v="74"/>
    <x v="3"/>
    <n v="1"/>
    <x v="1"/>
    <n v="3"/>
    <x v="0"/>
    <n v="2290"/>
    <n v="4279"/>
    <n v="2"/>
    <s v="Y"/>
    <s v="No"/>
    <n v="13"/>
    <x v="0"/>
    <n v="4"/>
    <n v="80"/>
    <n v="0"/>
    <n v="6"/>
    <n v="3"/>
    <n v="3"/>
    <n v="0"/>
    <n v="0"/>
    <n v="0"/>
    <n v="0"/>
  </r>
  <r>
    <n v="33"/>
    <x v="1"/>
    <x v="0"/>
    <n v="147"/>
    <x v="2"/>
    <n v="2"/>
    <n v="3"/>
    <s v="Human Resources"/>
    <n v="1"/>
    <n v="1207"/>
    <n v="2"/>
    <x v="1"/>
    <n v="99"/>
    <x v="0"/>
    <n v="1"/>
    <x v="8"/>
    <n v="3"/>
    <x v="1"/>
    <n v="3600"/>
    <n v="8429"/>
    <n v="1"/>
    <s v="Y"/>
    <s v="No"/>
    <n v="13"/>
    <x v="0"/>
    <n v="4"/>
    <n v="80"/>
    <n v="1"/>
    <n v="5"/>
    <n v="2"/>
    <n v="3"/>
    <n v="5"/>
    <n v="4"/>
    <n v="1"/>
    <n v="4"/>
  </r>
  <r>
    <n v="41"/>
    <x v="0"/>
    <x v="2"/>
    <n v="906"/>
    <x v="1"/>
    <n v="5"/>
    <n v="2"/>
    <s v="Life Sciences"/>
    <n v="1"/>
    <n v="1210"/>
    <n v="1"/>
    <x v="1"/>
    <n v="95"/>
    <x v="1"/>
    <n v="1"/>
    <x v="1"/>
    <n v="1"/>
    <x v="2"/>
    <n v="2107"/>
    <n v="20293"/>
    <n v="6"/>
    <s v="Y"/>
    <s v="No"/>
    <n v="17"/>
    <x v="0"/>
    <n v="1"/>
    <n v="80"/>
    <n v="1"/>
    <n v="5"/>
    <n v="2"/>
    <n v="1"/>
    <n v="1"/>
    <n v="0"/>
    <n v="0"/>
    <n v="0"/>
  </r>
  <r>
    <n v="30"/>
    <x v="1"/>
    <x v="0"/>
    <n v="1329"/>
    <x v="0"/>
    <n v="29"/>
    <n v="4"/>
    <s v="Life Sciences"/>
    <n v="1"/>
    <n v="1211"/>
    <n v="3"/>
    <x v="1"/>
    <n v="61"/>
    <x v="0"/>
    <n v="2"/>
    <x v="0"/>
    <n v="1"/>
    <x v="2"/>
    <n v="4115"/>
    <n v="13192"/>
    <n v="8"/>
    <s v="Y"/>
    <s v="No"/>
    <n v="19"/>
    <x v="0"/>
    <n v="3"/>
    <n v="80"/>
    <n v="3"/>
    <n v="8"/>
    <n v="3"/>
    <n v="3"/>
    <n v="4"/>
    <n v="3"/>
    <n v="0"/>
    <n v="3"/>
  </r>
  <r>
    <n v="40"/>
    <x v="1"/>
    <x v="1"/>
    <n v="1184"/>
    <x v="0"/>
    <n v="2"/>
    <n v="4"/>
    <s v="Medical"/>
    <n v="1"/>
    <n v="1212"/>
    <n v="2"/>
    <x v="1"/>
    <n v="62"/>
    <x v="0"/>
    <n v="2"/>
    <x v="0"/>
    <n v="2"/>
    <x v="1"/>
    <n v="4327"/>
    <n v="25440"/>
    <n v="5"/>
    <s v="Y"/>
    <s v="No"/>
    <n v="12"/>
    <x v="0"/>
    <n v="4"/>
    <n v="80"/>
    <n v="3"/>
    <n v="5"/>
    <n v="2"/>
    <n v="3"/>
    <n v="0"/>
    <n v="0"/>
    <n v="0"/>
    <n v="0"/>
  </r>
  <r>
    <n v="50"/>
    <x v="1"/>
    <x v="1"/>
    <n v="1421"/>
    <x v="1"/>
    <n v="2"/>
    <n v="3"/>
    <s v="Medical"/>
    <n v="1"/>
    <n v="1215"/>
    <n v="4"/>
    <x v="0"/>
    <n v="30"/>
    <x v="0"/>
    <n v="4"/>
    <x v="5"/>
    <n v="1"/>
    <x v="1"/>
    <n v="17856"/>
    <n v="9490"/>
    <n v="2"/>
    <s v="Y"/>
    <s v="No"/>
    <n v="22"/>
    <x v="1"/>
    <n v="3"/>
    <n v="80"/>
    <n v="1"/>
    <n v="32"/>
    <n v="3"/>
    <n v="3"/>
    <n v="2"/>
    <n v="2"/>
    <n v="2"/>
    <n v="2"/>
  </r>
  <r>
    <n v="28"/>
    <x v="1"/>
    <x v="0"/>
    <n v="1179"/>
    <x v="1"/>
    <n v="19"/>
    <n v="4"/>
    <s v="Medical"/>
    <n v="1"/>
    <n v="1216"/>
    <n v="4"/>
    <x v="1"/>
    <n v="78"/>
    <x v="1"/>
    <n v="1"/>
    <x v="2"/>
    <n v="1"/>
    <x v="1"/>
    <n v="3196"/>
    <n v="12449"/>
    <n v="1"/>
    <s v="Y"/>
    <s v="No"/>
    <n v="12"/>
    <x v="0"/>
    <n v="3"/>
    <n v="80"/>
    <n v="3"/>
    <n v="6"/>
    <n v="2"/>
    <n v="3"/>
    <n v="6"/>
    <n v="5"/>
    <n v="3"/>
    <n v="3"/>
  </r>
  <r>
    <n v="46"/>
    <x v="1"/>
    <x v="0"/>
    <n v="1450"/>
    <x v="1"/>
    <n v="15"/>
    <n v="2"/>
    <s v="Life Sciences"/>
    <n v="1"/>
    <n v="1217"/>
    <n v="4"/>
    <x v="1"/>
    <n v="52"/>
    <x v="0"/>
    <n v="5"/>
    <x v="7"/>
    <n v="2"/>
    <x v="1"/>
    <n v="19081"/>
    <n v="10849"/>
    <n v="5"/>
    <s v="Y"/>
    <s v="No"/>
    <n v="11"/>
    <x v="0"/>
    <n v="1"/>
    <n v="80"/>
    <n v="1"/>
    <n v="25"/>
    <n v="2"/>
    <n v="3"/>
    <n v="4"/>
    <n v="2"/>
    <n v="0"/>
    <n v="3"/>
  </r>
  <r>
    <n v="35"/>
    <x v="1"/>
    <x v="0"/>
    <n v="1361"/>
    <x v="0"/>
    <n v="17"/>
    <n v="4"/>
    <s v="Life Sciences"/>
    <n v="1"/>
    <n v="1218"/>
    <n v="3"/>
    <x v="1"/>
    <n v="94"/>
    <x v="0"/>
    <n v="2"/>
    <x v="0"/>
    <n v="1"/>
    <x v="1"/>
    <n v="8966"/>
    <n v="21026"/>
    <n v="3"/>
    <s v="Y"/>
    <s v="Yes"/>
    <n v="15"/>
    <x v="0"/>
    <n v="4"/>
    <n v="80"/>
    <n v="3"/>
    <n v="15"/>
    <n v="2"/>
    <n v="3"/>
    <n v="7"/>
    <n v="7"/>
    <n v="1"/>
    <n v="7"/>
  </r>
  <r>
    <n v="24"/>
    <x v="0"/>
    <x v="0"/>
    <n v="984"/>
    <x v="1"/>
    <n v="17"/>
    <n v="2"/>
    <s v="Life Sciences"/>
    <n v="1"/>
    <n v="1219"/>
    <n v="4"/>
    <x v="0"/>
    <n v="97"/>
    <x v="0"/>
    <n v="1"/>
    <x v="2"/>
    <n v="2"/>
    <x v="1"/>
    <n v="2210"/>
    <n v="3372"/>
    <n v="1"/>
    <s v="Y"/>
    <s v="No"/>
    <n v="13"/>
    <x v="0"/>
    <n v="1"/>
    <n v="80"/>
    <n v="1"/>
    <n v="1"/>
    <n v="3"/>
    <n v="1"/>
    <n v="1"/>
    <n v="0"/>
    <n v="0"/>
    <n v="0"/>
  </r>
  <r>
    <n v="33"/>
    <x v="1"/>
    <x v="1"/>
    <n v="1146"/>
    <x v="0"/>
    <n v="25"/>
    <n v="3"/>
    <s v="Medical"/>
    <n v="1"/>
    <n v="1220"/>
    <n v="2"/>
    <x v="0"/>
    <n v="82"/>
    <x v="0"/>
    <n v="2"/>
    <x v="0"/>
    <n v="3"/>
    <x v="1"/>
    <n v="4539"/>
    <n v="4905"/>
    <n v="1"/>
    <s v="Y"/>
    <s v="No"/>
    <n v="12"/>
    <x v="0"/>
    <n v="1"/>
    <n v="80"/>
    <n v="1"/>
    <n v="10"/>
    <n v="3"/>
    <n v="2"/>
    <n v="10"/>
    <n v="7"/>
    <n v="0"/>
    <n v="1"/>
  </r>
  <r>
    <n v="36"/>
    <x v="1"/>
    <x v="0"/>
    <n v="917"/>
    <x v="1"/>
    <n v="6"/>
    <n v="4"/>
    <s v="Life Sciences"/>
    <n v="1"/>
    <n v="1221"/>
    <n v="3"/>
    <x v="1"/>
    <n v="60"/>
    <x v="3"/>
    <n v="1"/>
    <x v="2"/>
    <n v="3"/>
    <x v="2"/>
    <n v="2741"/>
    <n v="6865"/>
    <n v="1"/>
    <s v="Y"/>
    <s v="No"/>
    <n v="14"/>
    <x v="0"/>
    <n v="3"/>
    <n v="80"/>
    <n v="1"/>
    <n v="7"/>
    <n v="4"/>
    <n v="3"/>
    <n v="7"/>
    <n v="7"/>
    <n v="1"/>
    <n v="7"/>
  </r>
  <r>
    <n v="30"/>
    <x v="1"/>
    <x v="0"/>
    <n v="853"/>
    <x v="1"/>
    <n v="7"/>
    <n v="4"/>
    <s v="Life Sciences"/>
    <n v="1"/>
    <n v="1224"/>
    <n v="3"/>
    <x v="1"/>
    <n v="49"/>
    <x v="0"/>
    <n v="2"/>
    <x v="2"/>
    <n v="3"/>
    <x v="2"/>
    <n v="3491"/>
    <n v="11309"/>
    <n v="1"/>
    <s v="Y"/>
    <s v="No"/>
    <n v="13"/>
    <x v="0"/>
    <n v="1"/>
    <n v="80"/>
    <n v="3"/>
    <n v="10"/>
    <n v="4"/>
    <n v="2"/>
    <n v="10"/>
    <n v="7"/>
    <n v="8"/>
    <n v="9"/>
  </r>
  <r>
    <n v="44"/>
    <x v="1"/>
    <x v="0"/>
    <n v="200"/>
    <x v="1"/>
    <n v="29"/>
    <n v="4"/>
    <s v="Other"/>
    <n v="1"/>
    <n v="1225"/>
    <n v="4"/>
    <x v="1"/>
    <n v="32"/>
    <x v="0"/>
    <n v="2"/>
    <x v="1"/>
    <n v="4"/>
    <x v="0"/>
    <n v="4541"/>
    <n v="7744"/>
    <n v="1"/>
    <s v="Y"/>
    <s v="No"/>
    <n v="25"/>
    <x v="1"/>
    <n v="2"/>
    <n v="80"/>
    <n v="0"/>
    <n v="20"/>
    <n v="3"/>
    <n v="3"/>
    <n v="20"/>
    <n v="11"/>
    <n v="13"/>
    <n v="17"/>
  </r>
  <r>
    <n v="20"/>
    <x v="1"/>
    <x v="0"/>
    <n v="654"/>
    <x v="0"/>
    <n v="21"/>
    <n v="3"/>
    <s v="Marketing"/>
    <n v="1"/>
    <n v="1226"/>
    <n v="3"/>
    <x v="1"/>
    <n v="43"/>
    <x v="2"/>
    <n v="1"/>
    <x v="6"/>
    <n v="4"/>
    <x v="0"/>
    <n v="2678"/>
    <n v="5050"/>
    <n v="1"/>
    <s v="Y"/>
    <s v="No"/>
    <n v="17"/>
    <x v="0"/>
    <n v="4"/>
    <n v="80"/>
    <n v="0"/>
    <n v="2"/>
    <n v="2"/>
    <n v="3"/>
    <n v="2"/>
    <n v="1"/>
    <n v="2"/>
    <n v="2"/>
  </r>
  <r>
    <n v="46"/>
    <x v="1"/>
    <x v="0"/>
    <n v="150"/>
    <x v="1"/>
    <n v="2"/>
    <n v="4"/>
    <s v="Technical Degree"/>
    <n v="1"/>
    <n v="1228"/>
    <n v="4"/>
    <x v="1"/>
    <n v="60"/>
    <x v="0"/>
    <n v="2"/>
    <x v="3"/>
    <n v="4"/>
    <x v="2"/>
    <n v="7379"/>
    <n v="17433"/>
    <n v="2"/>
    <s v="Y"/>
    <s v="No"/>
    <n v="11"/>
    <x v="0"/>
    <n v="3"/>
    <n v="80"/>
    <n v="1"/>
    <n v="12"/>
    <n v="3"/>
    <n v="2"/>
    <n v="6"/>
    <n v="3"/>
    <n v="1"/>
    <n v="4"/>
  </r>
  <r>
    <n v="42"/>
    <x v="1"/>
    <x v="2"/>
    <n v="179"/>
    <x v="2"/>
    <n v="2"/>
    <n v="5"/>
    <s v="Medical"/>
    <n v="1"/>
    <n v="1231"/>
    <n v="4"/>
    <x v="1"/>
    <n v="79"/>
    <x v="2"/>
    <n v="2"/>
    <x v="8"/>
    <n v="1"/>
    <x v="1"/>
    <n v="6272"/>
    <n v="12858"/>
    <n v="7"/>
    <s v="Y"/>
    <s v="No"/>
    <n v="16"/>
    <x v="0"/>
    <n v="1"/>
    <n v="80"/>
    <n v="1"/>
    <n v="10"/>
    <n v="3"/>
    <n v="4"/>
    <n v="4"/>
    <n v="3"/>
    <n v="0"/>
    <n v="3"/>
  </r>
  <r>
    <n v="60"/>
    <x v="1"/>
    <x v="0"/>
    <n v="696"/>
    <x v="0"/>
    <n v="7"/>
    <n v="4"/>
    <s v="Marketing"/>
    <n v="1"/>
    <n v="1233"/>
    <n v="2"/>
    <x v="1"/>
    <n v="52"/>
    <x v="2"/>
    <n v="2"/>
    <x v="0"/>
    <n v="4"/>
    <x v="2"/>
    <n v="5220"/>
    <n v="10893"/>
    <n v="0"/>
    <s v="Y"/>
    <s v="Yes"/>
    <n v="18"/>
    <x v="0"/>
    <n v="2"/>
    <n v="80"/>
    <n v="1"/>
    <n v="12"/>
    <n v="3"/>
    <n v="3"/>
    <n v="11"/>
    <n v="7"/>
    <n v="1"/>
    <n v="9"/>
  </r>
  <r>
    <n v="32"/>
    <x v="1"/>
    <x v="1"/>
    <n v="116"/>
    <x v="1"/>
    <n v="13"/>
    <n v="3"/>
    <s v="Other"/>
    <n v="1"/>
    <n v="1234"/>
    <n v="3"/>
    <x v="0"/>
    <n v="77"/>
    <x v="1"/>
    <n v="1"/>
    <x v="2"/>
    <n v="2"/>
    <x v="1"/>
    <n v="2743"/>
    <n v="7331"/>
    <n v="1"/>
    <s v="Y"/>
    <s v="No"/>
    <n v="20"/>
    <x v="1"/>
    <n v="3"/>
    <n v="80"/>
    <n v="1"/>
    <n v="2"/>
    <n v="2"/>
    <n v="3"/>
    <n v="2"/>
    <n v="2"/>
    <n v="2"/>
    <n v="2"/>
  </r>
  <r>
    <n v="32"/>
    <x v="1"/>
    <x v="1"/>
    <n v="1316"/>
    <x v="1"/>
    <n v="2"/>
    <n v="2"/>
    <s v="Life Sciences"/>
    <n v="1"/>
    <n v="1235"/>
    <n v="4"/>
    <x v="0"/>
    <n v="38"/>
    <x v="0"/>
    <n v="2"/>
    <x v="1"/>
    <n v="3"/>
    <x v="0"/>
    <n v="4998"/>
    <n v="2338"/>
    <n v="4"/>
    <s v="Y"/>
    <s v="Yes"/>
    <n v="14"/>
    <x v="0"/>
    <n v="4"/>
    <n v="80"/>
    <n v="0"/>
    <n v="10"/>
    <n v="2"/>
    <n v="3"/>
    <n v="8"/>
    <n v="7"/>
    <n v="0"/>
    <n v="7"/>
  </r>
  <r>
    <n v="36"/>
    <x v="1"/>
    <x v="0"/>
    <n v="363"/>
    <x v="1"/>
    <n v="1"/>
    <n v="3"/>
    <s v="Technical Degree"/>
    <n v="1"/>
    <n v="1237"/>
    <n v="3"/>
    <x v="0"/>
    <n v="77"/>
    <x v="3"/>
    <n v="3"/>
    <x v="3"/>
    <n v="1"/>
    <x v="2"/>
    <n v="10252"/>
    <n v="4235"/>
    <n v="2"/>
    <s v="Y"/>
    <s v="Yes"/>
    <n v="21"/>
    <x v="1"/>
    <n v="3"/>
    <n v="80"/>
    <n v="1"/>
    <n v="17"/>
    <n v="2"/>
    <n v="3"/>
    <n v="7"/>
    <n v="7"/>
    <n v="7"/>
    <n v="7"/>
  </r>
  <r>
    <n v="33"/>
    <x v="1"/>
    <x v="0"/>
    <n v="117"/>
    <x v="1"/>
    <n v="9"/>
    <n v="3"/>
    <s v="Medical"/>
    <n v="1"/>
    <n v="1238"/>
    <n v="1"/>
    <x v="1"/>
    <n v="60"/>
    <x v="0"/>
    <n v="1"/>
    <x v="1"/>
    <n v="4"/>
    <x v="1"/>
    <n v="2781"/>
    <n v="6311"/>
    <n v="0"/>
    <s v="Y"/>
    <s v="No"/>
    <n v="13"/>
    <x v="0"/>
    <n v="2"/>
    <n v="80"/>
    <n v="1"/>
    <n v="15"/>
    <n v="5"/>
    <n v="3"/>
    <n v="14"/>
    <n v="10"/>
    <n v="4"/>
    <n v="10"/>
  </r>
  <r>
    <n v="40"/>
    <x v="1"/>
    <x v="0"/>
    <n v="107"/>
    <x v="0"/>
    <n v="10"/>
    <n v="3"/>
    <s v="Technical Degree"/>
    <n v="1"/>
    <n v="1239"/>
    <n v="2"/>
    <x v="0"/>
    <n v="84"/>
    <x v="1"/>
    <n v="2"/>
    <x v="0"/>
    <n v="2"/>
    <x v="2"/>
    <n v="6852"/>
    <n v="11591"/>
    <n v="7"/>
    <s v="Y"/>
    <s v="No"/>
    <n v="12"/>
    <x v="0"/>
    <n v="2"/>
    <n v="80"/>
    <n v="1"/>
    <n v="7"/>
    <n v="2"/>
    <n v="4"/>
    <n v="5"/>
    <n v="1"/>
    <n v="1"/>
    <n v="3"/>
  </r>
  <r>
    <n v="25"/>
    <x v="1"/>
    <x v="0"/>
    <n v="1356"/>
    <x v="0"/>
    <n v="10"/>
    <n v="4"/>
    <s v="Life Sciences"/>
    <n v="1"/>
    <n v="1240"/>
    <n v="3"/>
    <x v="1"/>
    <n v="57"/>
    <x v="0"/>
    <n v="2"/>
    <x v="0"/>
    <n v="4"/>
    <x v="0"/>
    <n v="4950"/>
    <n v="20623"/>
    <n v="0"/>
    <s v="Y"/>
    <s v="No"/>
    <n v="14"/>
    <x v="0"/>
    <n v="2"/>
    <n v="80"/>
    <n v="0"/>
    <n v="5"/>
    <n v="4"/>
    <n v="3"/>
    <n v="4"/>
    <n v="3"/>
    <n v="1"/>
    <n v="1"/>
  </r>
  <r>
    <n v="30"/>
    <x v="1"/>
    <x v="0"/>
    <n v="1465"/>
    <x v="1"/>
    <n v="1"/>
    <n v="3"/>
    <s v="Medical"/>
    <n v="1"/>
    <n v="1241"/>
    <n v="4"/>
    <x v="1"/>
    <n v="63"/>
    <x v="0"/>
    <n v="1"/>
    <x v="1"/>
    <n v="2"/>
    <x v="1"/>
    <n v="3579"/>
    <n v="9369"/>
    <n v="0"/>
    <s v="Y"/>
    <s v="Yes"/>
    <n v="21"/>
    <x v="1"/>
    <n v="1"/>
    <n v="80"/>
    <n v="1"/>
    <n v="12"/>
    <n v="2"/>
    <n v="3"/>
    <n v="11"/>
    <n v="9"/>
    <n v="5"/>
    <n v="7"/>
  </r>
  <r>
    <n v="42"/>
    <x v="1"/>
    <x v="1"/>
    <n v="458"/>
    <x v="1"/>
    <n v="26"/>
    <n v="5"/>
    <s v="Medical"/>
    <n v="1"/>
    <n v="1242"/>
    <n v="1"/>
    <x v="0"/>
    <n v="60"/>
    <x v="0"/>
    <n v="3"/>
    <x v="7"/>
    <n v="1"/>
    <x v="1"/>
    <n v="13191"/>
    <n v="23281"/>
    <n v="3"/>
    <s v="Y"/>
    <s v="Yes"/>
    <n v="17"/>
    <x v="0"/>
    <n v="3"/>
    <n v="80"/>
    <n v="0"/>
    <n v="20"/>
    <n v="6"/>
    <n v="3"/>
    <n v="1"/>
    <n v="0"/>
    <n v="0"/>
    <n v="0"/>
  </r>
  <r>
    <n v="35"/>
    <x v="1"/>
    <x v="2"/>
    <n v="1212"/>
    <x v="0"/>
    <n v="8"/>
    <n v="2"/>
    <s v="Marketing"/>
    <n v="1"/>
    <n v="1243"/>
    <n v="3"/>
    <x v="0"/>
    <n v="78"/>
    <x v="1"/>
    <n v="3"/>
    <x v="0"/>
    <n v="4"/>
    <x v="1"/>
    <n v="10377"/>
    <n v="13755"/>
    <n v="4"/>
    <s v="Y"/>
    <s v="Yes"/>
    <n v="11"/>
    <x v="0"/>
    <n v="2"/>
    <n v="80"/>
    <n v="1"/>
    <n v="16"/>
    <n v="6"/>
    <n v="2"/>
    <n v="13"/>
    <n v="2"/>
    <n v="4"/>
    <n v="12"/>
  </r>
  <r>
    <n v="27"/>
    <x v="1"/>
    <x v="0"/>
    <n v="1103"/>
    <x v="1"/>
    <n v="14"/>
    <n v="3"/>
    <s v="Life Sciences"/>
    <n v="1"/>
    <n v="1244"/>
    <n v="1"/>
    <x v="1"/>
    <n v="42"/>
    <x v="0"/>
    <n v="1"/>
    <x v="1"/>
    <n v="1"/>
    <x v="1"/>
    <n v="2235"/>
    <n v="14377"/>
    <n v="1"/>
    <s v="Y"/>
    <s v="Yes"/>
    <n v="14"/>
    <x v="0"/>
    <n v="4"/>
    <n v="80"/>
    <n v="2"/>
    <n v="9"/>
    <n v="3"/>
    <n v="2"/>
    <n v="9"/>
    <n v="7"/>
    <n v="6"/>
    <n v="8"/>
  </r>
  <r>
    <n v="54"/>
    <x v="1"/>
    <x v="1"/>
    <n v="966"/>
    <x v="1"/>
    <n v="1"/>
    <n v="4"/>
    <s v="Life Sciences"/>
    <n v="1"/>
    <n v="1245"/>
    <n v="4"/>
    <x v="0"/>
    <n v="53"/>
    <x v="0"/>
    <n v="3"/>
    <x v="3"/>
    <n v="3"/>
    <x v="2"/>
    <n v="10502"/>
    <n v="9659"/>
    <n v="7"/>
    <s v="Y"/>
    <s v="No"/>
    <n v="17"/>
    <x v="0"/>
    <n v="1"/>
    <n v="80"/>
    <n v="1"/>
    <n v="33"/>
    <n v="2"/>
    <n v="1"/>
    <n v="5"/>
    <n v="4"/>
    <n v="1"/>
    <n v="4"/>
  </r>
  <r>
    <n v="44"/>
    <x v="1"/>
    <x v="0"/>
    <n v="1117"/>
    <x v="1"/>
    <n v="2"/>
    <n v="1"/>
    <s v="Life Sciences"/>
    <n v="1"/>
    <n v="1246"/>
    <n v="1"/>
    <x v="0"/>
    <n v="72"/>
    <x v="2"/>
    <n v="1"/>
    <x v="1"/>
    <n v="4"/>
    <x v="1"/>
    <n v="2011"/>
    <n v="19982"/>
    <n v="1"/>
    <s v="Y"/>
    <s v="No"/>
    <n v="13"/>
    <x v="0"/>
    <n v="4"/>
    <n v="80"/>
    <n v="1"/>
    <n v="10"/>
    <n v="5"/>
    <n v="3"/>
    <n v="10"/>
    <n v="5"/>
    <n v="7"/>
    <n v="7"/>
  </r>
  <r>
    <n v="19"/>
    <x v="0"/>
    <x v="2"/>
    <n v="504"/>
    <x v="1"/>
    <n v="10"/>
    <n v="3"/>
    <s v="Medical"/>
    <n v="1"/>
    <n v="1248"/>
    <n v="1"/>
    <x v="0"/>
    <n v="96"/>
    <x v="1"/>
    <n v="1"/>
    <x v="1"/>
    <n v="2"/>
    <x v="0"/>
    <n v="1859"/>
    <n v="6148"/>
    <n v="1"/>
    <s v="Y"/>
    <s v="Yes"/>
    <n v="25"/>
    <x v="1"/>
    <n v="2"/>
    <n v="80"/>
    <n v="0"/>
    <n v="1"/>
    <n v="2"/>
    <n v="4"/>
    <n v="1"/>
    <n v="1"/>
    <n v="0"/>
    <n v="0"/>
  </r>
  <r>
    <n v="29"/>
    <x v="1"/>
    <x v="0"/>
    <n v="1010"/>
    <x v="1"/>
    <n v="1"/>
    <n v="3"/>
    <s v="Life Sciences"/>
    <n v="1"/>
    <n v="1249"/>
    <n v="1"/>
    <x v="0"/>
    <n v="97"/>
    <x v="0"/>
    <n v="1"/>
    <x v="1"/>
    <n v="4"/>
    <x v="2"/>
    <n v="3760"/>
    <n v="5598"/>
    <n v="1"/>
    <s v="Y"/>
    <s v="No"/>
    <n v="15"/>
    <x v="0"/>
    <n v="1"/>
    <n v="80"/>
    <n v="3"/>
    <n v="3"/>
    <n v="5"/>
    <n v="3"/>
    <n v="3"/>
    <n v="2"/>
    <n v="1"/>
    <n v="2"/>
  </r>
  <r>
    <n v="54"/>
    <x v="1"/>
    <x v="0"/>
    <n v="685"/>
    <x v="1"/>
    <n v="3"/>
    <n v="3"/>
    <s v="Life Sciences"/>
    <n v="1"/>
    <n v="1250"/>
    <n v="4"/>
    <x v="1"/>
    <n v="85"/>
    <x v="0"/>
    <n v="4"/>
    <x v="7"/>
    <n v="4"/>
    <x v="1"/>
    <n v="17779"/>
    <n v="23474"/>
    <n v="3"/>
    <s v="Y"/>
    <s v="No"/>
    <n v="14"/>
    <x v="0"/>
    <n v="1"/>
    <n v="80"/>
    <n v="0"/>
    <n v="36"/>
    <n v="2"/>
    <n v="3"/>
    <n v="10"/>
    <n v="9"/>
    <n v="0"/>
    <n v="9"/>
  </r>
  <r>
    <n v="31"/>
    <x v="1"/>
    <x v="0"/>
    <n v="1332"/>
    <x v="1"/>
    <n v="11"/>
    <n v="2"/>
    <s v="Medical"/>
    <n v="1"/>
    <n v="1251"/>
    <n v="3"/>
    <x v="1"/>
    <n v="80"/>
    <x v="0"/>
    <n v="2"/>
    <x v="4"/>
    <n v="1"/>
    <x v="1"/>
    <n v="6833"/>
    <n v="17089"/>
    <n v="1"/>
    <s v="Y"/>
    <s v="Yes"/>
    <n v="12"/>
    <x v="0"/>
    <n v="4"/>
    <n v="80"/>
    <n v="0"/>
    <n v="6"/>
    <n v="2"/>
    <n v="2"/>
    <n v="6"/>
    <n v="5"/>
    <n v="0"/>
    <n v="1"/>
  </r>
  <r>
    <n v="31"/>
    <x v="1"/>
    <x v="0"/>
    <n v="1062"/>
    <x v="1"/>
    <n v="24"/>
    <n v="3"/>
    <s v="Medical"/>
    <n v="1"/>
    <n v="1252"/>
    <n v="3"/>
    <x v="0"/>
    <n v="96"/>
    <x v="1"/>
    <n v="2"/>
    <x v="4"/>
    <n v="1"/>
    <x v="0"/>
    <n v="6812"/>
    <n v="17198"/>
    <n v="1"/>
    <s v="Y"/>
    <s v="No"/>
    <n v="19"/>
    <x v="0"/>
    <n v="2"/>
    <n v="80"/>
    <n v="0"/>
    <n v="10"/>
    <n v="2"/>
    <n v="3"/>
    <n v="10"/>
    <n v="9"/>
    <n v="1"/>
    <n v="8"/>
  </r>
  <r>
    <n v="59"/>
    <x v="1"/>
    <x v="0"/>
    <n v="326"/>
    <x v="0"/>
    <n v="3"/>
    <n v="3"/>
    <s v="Life Sciences"/>
    <n v="1"/>
    <n v="1254"/>
    <n v="3"/>
    <x v="0"/>
    <n v="48"/>
    <x v="1"/>
    <n v="2"/>
    <x v="0"/>
    <n v="4"/>
    <x v="0"/>
    <n v="5171"/>
    <n v="16490"/>
    <n v="5"/>
    <s v="Y"/>
    <s v="No"/>
    <n v="17"/>
    <x v="0"/>
    <n v="4"/>
    <n v="80"/>
    <n v="0"/>
    <n v="13"/>
    <n v="2"/>
    <n v="3"/>
    <n v="6"/>
    <n v="1"/>
    <n v="0"/>
    <n v="5"/>
  </r>
  <r>
    <n v="43"/>
    <x v="1"/>
    <x v="0"/>
    <n v="920"/>
    <x v="1"/>
    <n v="3"/>
    <n v="3"/>
    <s v="Life Sciences"/>
    <n v="1"/>
    <n v="1255"/>
    <n v="3"/>
    <x v="1"/>
    <n v="96"/>
    <x v="3"/>
    <n v="5"/>
    <x v="7"/>
    <n v="4"/>
    <x v="1"/>
    <n v="19740"/>
    <n v="18625"/>
    <n v="3"/>
    <s v="Y"/>
    <s v="No"/>
    <n v="14"/>
    <x v="0"/>
    <n v="2"/>
    <n v="80"/>
    <n v="1"/>
    <n v="25"/>
    <n v="2"/>
    <n v="3"/>
    <n v="8"/>
    <n v="7"/>
    <n v="0"/>
    <n v="7"/>
  </r>
  <r>
    <n v="49"/>
    <x v="1"/>
    <x v="0"/>
    <n v="1098"/>
    <x v="1"/>
    <n v="4"/>
    <n v="2"/>
    <s v="Medical"/>
    <n v="1"/>
    <n v="1256"/>
    <n v="1"/>
    <x v="1"/>
    <n v="85"/>
    <x v="1"/>
    <n v="5"/>
    <x v="5"/>
    <n v="3"/>
    <x v="1"/>
    <n v="18711"/>
    <n v="12124"/>
    <n v="2"/>
    <s v="Y"/>
    <s v="No"/>
    <n v="13"/>
    <x v="0"/>
    <n v="3"/>
    <n v="80"/>
    <n v="1"/>
    <n v="23"/>
    <n v="2"/>
    <n v="4"/>
    <n v="1"/>
    <n v="0"/>
    <n v="0"/>
    <n v="0"/>
  </r>
  <r>
    <n v="36"/>
    <x v="1"/>
    <x v="1"/>
    <n v="469"/>
    <x v="1"/>
    <n v="3"/>
    <n v="3"/>
    <s v="Technical Degree"/>
    <n v="1"/>
    <n v="1257"/>
    <n v="3"/>
    <x v="1"/>
    <n v="46"/>
    <x v="0"/>
    <n v="1"/>
    <x v="1"/>
    <n v="2"/>
    <x v="1"/>
    <n v="3692"/>
    <n v="9256"/>
    <n v="1"/>
    <s v="Y"/>
    <s v="No"/>
    <n v="12"/>
    <x v="0"/>
    <n v="3"/>
    <n v="80"/>
    <n v="0"/>
    <n v="12"/>
    <n v="2"/>
    <n v="2"/>
    <n v="11"/>
    <n v="10"/>
    <n v="0"/>
    <n v="7"/>
  </r>
  <r>
    <n v="48"/>
    <x v="1"/>
    <x v="0"/>
    <n v="969"/>
    <x v="1"/>
    <n v="2"/>
    <n v="2"/>
    <s v="Technical Degree"/>
    <n v="1"/>
    <n v="1258"/>
    <n v="4"/>
    <x v="1"/>
    <n v="76"/>
    <x v="2"/>
    <n v="1"/>
    <x v="2"/>
    <n v="2"/>
    <x v="0"/>
    <n v="2559"/>
    <n v="16620"/>
    <n v="5"/>
    <s v="Y"/>
    <s v="No"/>
    <n v="11"/>
    <x v="0"/>
    <n v="3"/>
    <n v="80"/>
    <n v="0"/>
    <n v="7"/>
    <n v="4"/>
    <n v="2"/>
    <n v="1"/>
    <n v="0"/>
    <n v="0"/>
    <n v="0"/>
  </r>
  <r>
    <n v="27"/>
    <x v="1"/>
    <x v="0"/>
    <n v="1167"/>
    <x v="1"/>
    <n v="4"/>
    <n v="2"/>
    <s v="Life Sciences"/>
    <n v="1"/>
    <n v="1259"/>
    <n v="1"/>
    <x v="1"/>
    <n v="76"/>
    <x v="0"/>
    <n v="1"/>
    <x v="1"/>
    <n v="3"/>
    <x v="2"/>
    <n v="2517"/>
    <n v="3208"/>
    <n v="1"/>
    <s v="Y"/>
    <s v="No"/>
    <n v="11"/>
    <x v="0"/>
    <n v="2"/>
    <n v="80"/>
    <n v="3"/>
    <n v="5"/>
    <n v="2"/>
    <n v="3"/>
    <n v="5"/>
    <n v="3"/>
    <n v="0"/>
    <n v="3"/>
  </r>
  <r>
    <n v="29"/>
    <x v="1"/>
    <x v="0"/>
    <n v="1329"/>
    <x v="1"/>
    <n v="7"/>
    <n v="3"/>
    <s v="Life Sciences"/>
    <n v="1"/>
    <n v="1260"/>
    <n v="3"/>
    <x v="1"/>
    <n v="82"/>
    <x v="0"/>
    <n v="2"/>
    <x v="4"/>
    <n v="4"/>
    <x v="2"/>
    <n v="6623"/>
    <n v="4204"/>
    <n v="1"/>
    <s v="Y"/>
    <s v="Yes"/>
    <n v="11"/>
    <x v="0"/>
    <n v="2"/>
    <n v="80"/>
    <n v="2"/>
    <n v="6"/>
    <n v="2"/>
    <n v="3"/>
    <n v="6"/>
    <n v="0"/>
    <n v="1"/>
    <n v="0"/>
  </r>
  <r>
    <n v="48"/>
    <x v="1"/>
    <x v="0"/>
    <n v="715"/>
    <x v="1"/>
    <n v="1"/>
    <n v="3"/>
    <s v="Life Sciences"/>
    <n v="1"/>
    <n v="1263"/>
    <n v="4"/>
    <x v="1"/>
    <n v="76"/>
    <x v="1"/>
    <n v="5"/>
    <x v="7"/>
    <n v="4"/>
    <x v="0"/>
    <n v="18265"/>
    <n v="8733"/>
    <n v="6"/>
    <s v="Y"/>
    <s v="No"/>
    <n v="12"/>
    <x v="0"/>
    <n v="3"/>
    <n v="80"/>
    <n v="0"/>
    <n v="25"/>
    <n v="3"/>
    <n v="4"/>
    <n v="1"/>
    <n v="0"/>
    <n v="0"/>
    <n v="0"/>
  </r>
  <r>
    <n v="29"/>
    <x v="1"/>
    <x v="0"/>
    <n v="694"/>
    <x v="1"/>
    <n v="1"/>
    <n v="3"/>
    <s v="Life Sciences"/>
    <n v="1"/>
    <n v="1264"/>
    <n v="4"/>
    <x v="0"/>
    <n v="87"/>
    <x v="1"/>
    <n v="4"/>
    <x v="7"/>
    <n v="4"/>
    <x v="2"/>
    <n v="16124"/>
    <n v="3423"/>
    <n v="3"/>
    <s v="Y"/>
    <s v="No"/>
    <n v="14"/>
    <x v="0"/>
    <n v="2"/>
    <n v="80"/>
    <n v="2"/>
    <n v="9"/>
    <n v="2"/>
    <n v="2"/>
    <n v="7"/>
    <n v="7"/>
    <n v="1"/>
    <n v="7"/>
  </r>
  <r>
    <n v="34"/>
    <x v="1"/>
    <x v="0"/>
    <n v="1320"/>
    <x v="1"/>
    <n v="20"/>
    <n v="3"/>
    <s v="Technical Degree"/>
    <n v="1"/>
    <n v="1265"/>
    <n v="3"/>
    <x v="0"/>
    <n v="89"/>
    <x v="2"/>
    <n v="1"/>
    <x v="1"/>
    <n v="3"/>
    <x v="1"/>
    <n v="2585"/>
    <n v="21643"/>
    <n v="0"/>
    <s v="Y"/>
    <s v="No"/>
    <n v="17"/>
    <x v="0"/>
    <n v="4"/>
    <n v="80"/>
    <n v="0"/>
    <n v="2"/>
    <n v="5"/>
    <n v="2"/>
    <n v="1"/>
    <n v="0"/>
    <n v="0"/>
    <n v="0"/>
  </r>
  <r>
    <n v="44"/>
    <x v="1"/>
    <x v="0"/>
    <n v="1099"/>
    <x v="0"/>
    <n v="5"/>
    <n v="3"/>
    <s v="Marketing"/>
    <n v="1"/>
    <n v="1267"/>
    <n v="2"/>
    <x v="1"/>
    <n v="88"/>
    <x v="0"/>
    <n v="5"/>
    <x v="5"/>
    <n v="2"/>
    <x v="1"/>
    <n v="18213"/>
    <n v="8751"/>
    <n v="7"/>
    <s v="Y"/>
    <s v="No"/>
    <n v="11"/>
    <x v="0"/>
    <n v="3"/>
    <n v="80"/>
    <n v="1"/>
    <n v="26"/>
    <n v="5"/>
    <n v="3"/>
    <n v="22"/>
    <n v="9"/>
    <n v="3"/>
    <n v="10"/>
  </r>
  <r>
    <n v="33"/>
    <x v="1"/>
    <x v="0"/>
    <n v="536"/>
    <x v="0"/>
    <n v="10"/>
    <n v="5"/>
    <s v="Marketing"/>
    <n v="1"/>
    <n v="1268"/>
    <n v="4"/>
    <x v="1"/>
    <n v="82"/>
    <x v="2"/>
    <n v="3"/>
    <x v="0"/>
    <n v="3"/>
    <x v="2"/>
    <n v="8380"/>
    <n v="21708"/>
    <n v="0"/>
    <s v="Y"/>
    <s v="Yes"/>
    <n v="14"/>
    <x v="0"/>
    <n v="4"/>
    <n v="80"/>
    <n v="2"/>
    <n v="10"/>
    <n v="3"/>
    <n v="3"/>
    <n v="9"/>
    <n v="8"/>
    <n v="0"/>
    <n v="8"/>
  </r>
  <r>
    <n v="19"/>
    <x v="1"/>
    <x v="0"/>
    <n v="265"/>
    <x v="1"/>
    <n v="25"/>
    <n v="3"/>
    <s v="Life Sciences"/>
    <n v="1"/>
    <n v="1269"/>
    <n v="2"/>
    <x v="0"/>
    <n v="57"/>
    <x v="2"/>
    <n v="1"/>
    <x v="1"/>
    <n v="4"/>
    <x v="0"/>
    <n v="2994"/>
    <n v="21221"/>
    <n v="1"/>
    <s v="Y"/>
    <s v="Yes"/>
    <n v="12"/>
    <x v="0"/>
    <n v="4"/>
    <n v="80"/>
    <n v="0"/>
    <n v="1"/>
    <n v="2"/>
    <n v="3"/>
    <n v="1"/>
    <n v="0"/>
    <n v="0"/>
    <n v="1"/>
  </r>
  <r>
    <n v="23"/>
    <x v="1"/>
    <x v="0"/>
    <n v="373"/>
    <x v="1"/>
    <n v="1"/>
    <n v="2"/>
    <s v="Life Sciences"/>
    <n v="1"/>
    <n v="1270"/>
    <n v="4"/>
    <x v="1"/>
    <n v="47"/>
    <x v="0"/>
    <n v="1"/>
    <x v="1"/>
    <n v="3"/>
    <x v="1"/>
    <n v="1223"/>
    <n v="16901"/>
    <n v="1"/>
    <s v="Y"/>
    <s v="No"/>
    <n v="22"/>
    <x v="1"/>
    <n v="4"/>
    <n v="80"/>
    <n v="1"/>
    <n v="1"/>
    <n v="2"/>
    <n v="3"/>
    <n v="1"/>
    <n v="0"/>
    <n v="0"/>
    <n v="1"/>
  </r>
  <r>
    <n v="25"/>
    <x v="0"/>
    <x v="1"/>
    <n v="599"/>
    <x v="0"/>
    <n v="24"/>
    <n v="1"/>
    <s v="Life Sciences"/>
    <n v="1"/>
    <n v="1273"/>
    <n v="3"/>
    <x v="1"/>
    <n v="73"/>
    <x v="3"/>
    <n v="1"/>
    <x v="6"/>
    <n v="4"/>
    <x v="0"/>
    <n v="1118"/>
    <n v="8040"/>
    <n v="1"/>
    <s v="Y"/>
    <s v="Yes"/>
    <n v="14"/>
    <x v="0"/>
    <n v="4"/>
    <n v="80"/>
    <n v="0"/>
    <n v="1"/>
    <n v="4"/>
    <n v="3"/>
    <n v="1"/>
    <n v="0"/>
    <n v="1"/>
    <n v="0"/>
  </r>
  <r>
    <n v="26"/>
    <x v="1"/>
    <x v="0"/>
    <n v="583"/>
    <x v="1"/>
    <n v="4"/>
    <n v="2"/>
    <s v="Life Sciences"/>
    <n v="1"/>
    <n v="1275"/>
    <n v="3"/>
    <x v="1"/>
    <n v="53"/>
    <x v="0"/>
    <n v="1"/>
    <x v="1"/>
    <n v="4"/>
    <x v="0"/>
    <n v="2875"/>
    <n v="9973"/>
    <n v="1"/>
    <s v="Y"/>
    <s v="Yes"/>
    <n v="20"/>
    <x v="1"/>
    <n v="2"/>
    <n v="80"/>
    <n v="0"/>
    <n v="8"/>
    <n v="2"/>
    <n v="2"/>
    <n v="8"/>
    <n v="5"/>
    <n v="2"/>
    <n v="2"/>
  </r>
  <r>
    <n v="45"/>
    <x v="0"/>
    <x v="0"/>
    <n v="1449"/>
    <x v="0"/>
    <n v="2"/>
    <n v="3"/>
    <s v="Marketing"/>
    <n v="1"/>
    <n v="1277"/>
    <n v="1"/>
    <x v="0"/>
    <n v="94"/>
    <x v="3"/>
    <n v="5"/>
    <x v="5"/>
    <n v="2"/>
    <x v="0"/>
    <n v="18824"/>
    <n v="2493"/>
    <n v="2"/>
    <s v="Y"/>
    <s v="Yes"/>
    <n v="16"/>
    <x v="0"/>
    <n v="1"/>
    <n v="80"/>
    <n v="0"/>
    <n v="26"/>
    <n v="2"/>
    <n v="3"/>
    <n v="24"/>
    <n v="10"/>
    <n v="1"/>
    <n v="11"/>
  </r>
  <r>
    <n v="55"/>
    <x v="1"/>
    <x v="2"/>
    <n v="177"/>
    <x v="1"/>
    <n v="8"/>
    <n v="1"/>
    <s v="Medical"/>
    <n v="1"/>
    <n v="1278"/>
    <n v="4"/>
    <x v="1"/>
    <n v="37"/>
    <x v="1"/>
    <n v="4"/>
    <x v="4"/>
    <n v="2"/>
    <x v="2"/>
    <n v="13577"/>
    <n v="25592"/>
    <n v="1"/>
    <s v="Y"/>
    <s v="Yes"/>
    <n v="15"/>
    <x v="0"/>
    <n v="4"/>
    <n v="80"/>
    <n v="1"/>
    <n v="34"/>
    <n v="3"/>
    <n v="3"/>
    <n v="33"/>
    <n v="9"/>
    <n v="15"/>
    <n v="0"/>
  </r>
  <r>
    <n v="21"/>
    <x v="0"/>
    <x v="1"/>
    <n v="251"/>
    <x v="1"/>
    <n v="10"/>
    <n v="2"/>
    <s v="Life Sciences"/>
    <n v="1"/>
    <n v="1279"/>
    <n v="1"/>
    <x v="0"/>
    <n v="45"/>
    <x v="1"/>
    <n v="1"/>
    <x v="2"/>
    <n v="3"/>
    <x v="0"/>
    <n v="2625"/>
    <n v="25308"/>
    <n v="1"/>
    <s v="Y"/>
    <s v="No"/>
    <n v="20"/>
    <x v="1"/>
    <n v="3"/>
    <n v="80"/>
    <n v="0"/>
    <n v="2"/>
    <n v="2"/>
    <n v="1"/>
    <n v="2"/>
    <n v="2"/>
    <n v="2"/>
    <n v="2"/>
  </r>
  <r>
    <n v="46"/>
    <x v="1"/>
    <x v="0"/>
    <n v="168"/>
    <x v="0"/>
    <n v="4"/>
    <n v="2"/>
    <s v="Marketing"/>
    <n v="1"/>
    <n v="1280"/>
    <n v="4"/>
    <x v="0"/>
    <n v="33"/>
    <x v="1"/>
    <n v="5"/>
    <x v="5"/>
    <n v="2"/>
    <x v="1"/>
    <n v="18789"/>
    <n v="9946"/>
    <n v="2"/>
    <s v="Y"/>
    <s v="No"/>
    <n v="14"/>
    <x v="0"/>
    <n v="3"/>
    <n v="80"/>
    <n v="1"/>
    <n v="26"/>
    <n v="2"/>
    <n v="3"/>
    <n v="11"/>
    <n v="4"/>
    <n v="0"/>
    <n v="8"/>
  </r>
  <r>
    <n v="34"/>
    <x v="1"/>
    <x v="0"/>
    <n v="131"/>
    <x v="0"/>
    <n v="2"/>
    <n v="3"/>
    <s v="Marketing"/>
    <n v="1"/>
    <n v="1281"/>
    <n v="3"/>
    <x v="0"/>
    <n v="86"/>
    <x v="0"/>
    <n v="2"/>
    <x v="0"/>
    <n v="1"/>
    <x v="0"/>
    <n v="4538"/>
    <n v="6039"/>
    <n v="0"/>
    <s v="Y"/>
    <s v="Yes"/>
    <n v="12"/>
    <x v="0"/>
    <n v="4"/>
    <n v="80"/>
    <n v="0"/>
    <n v="4"/>
    <n v="3"/>
    <n v="3"/>
    <n v="3"/>
    <n v="2"/>
    <n v="0"/>
    <n v="2"/>
  </r>
  <r>
    <n v="51"/>
    <x v="1"/>
    <x v="1"/>
    <n v="237"/>
    <x v="0"/>
    <n v="9"/>
    <n v="3"/>
    <s v="Life Sciences"/>
    <n v="1"/>
    <n v="1282"/>
    <n v="4"/>
    <x v="1"/>
    <n v="83"/>
    <x v="0"/>
    <n v="5"/>
    <x v="5"/>
    <n v="2"/>
    <x v="2"/>
    <n v="19847"/>
    <n v="19196"/>
    <n v="4"/>
    <s v="Y"/>
    <s v="Yes"/>
    <n v="24"/>
    <x v="1"/>
    <n v="1"/>
    <n v="80"/>
    <n v="1"/>
    <n v="31"/>
    <n v="5"/>
    <n v="2"/>
    <n v="29"/>
    <n v="10"/>
    <n v="11"/>
    <n v="10"/>
  </r>
  <r>
    <n v="59"/>
    <x v="1"/>
    <x v="0"/>
    <n v="1429"/>
    <x v="1"/>
    <n v="18"/>
    <n v="4"/>
    <s v="Medical"/>
    <n v="1"/>
    <n v="1283"/>
    <n v="4"/>
    <x v="1"/>
    <n v="67"/>
    <x v="0"/>
    <n v="3"/>
    <x v="3"/>
    <n v="4"/>
    <x v="0"/>
    <n v="10512"/>
    <n v="20002"/>
    <n v="6"/>
    <s v="Y"/>
    <s v="No"/>
    <n v="12"/>
    <x v="0"/>
    <n v="4"/>
    <n v="80"/>
    <n v="0"/>
    <n v="25"/>
    <n v="6"/>
    <n v="2"/>
    <n v="9"/>
    <n v="7"/>
    <n v="5"/>
    <n v="4"/>
  </r>
  <r>
    <n v="34"/>
    <x v="1"/>
    <x v="1"/>
    <n v="135"/>
    <x v="1"/>
    <n v="19"/>
    <n v="3"/>
    <s v="Medical"/>
    <n v="1"/>
    <n v="1285"/>
    <n v="3"/>
    <x v="0"/>
    <n v="46"/>
    <x v="0"/>
    <n v="2"/>
    <x v="2"/>
    <n v="2"/>
    <x v="2"/>
    <n v="4444"/>
    <n v="22534"/>
    <n v="4"/>
    <s v="Y"/>
    <s v="No"/>
    <n v="13"/>
    <x v="0"/>
    <n v="3"/>
    <n v="80"/>
    <n v="2"/>
    <n v="15"/>
    <n v="2"/>
    <n v="4"/>
    <n v="11"/>
    <n v="8"/>
    <n v="5"/>
    <n v="10"/>
  </r>
  <r>
    <n v="28"/>
    <x v="1"/>
    <x v="1"/>
    <n v="791"/>
    <x v="1"/>
    <n v="1"/>
    <n v="4"/>
    <s v="Medical"/>
    <n v="1"/>
    <n v="1286"/>
    <n v="4"/>
    <x v="1"/>
    <n v="44"/>
    <x v="0"/>
    <n v="1"/>
    <x v="2"/>
    <n v="3"/>
    <x v="0"/>
    <n v="2154"/>
    <n v="6842"/>
    <n v="0"/>
    <s v="Y"/>
    <s v="Yes"/>
    <n v="11"/>
    <x v="0"/>
    <n v="3"/>
    <n v="80"/>
    <n v="0"/>
    <n v="5"/>
    <n v="2"/>
    <n v="2"/>
    <n v="4"/>
    <n v="2"/>
    <n v="0"/>
    <n v="2"/>
  </r>
  <r>
    <n v="44"/>
    <x v="1"/>
    <x v="0"/>
    <n v="1199"/>
    <x v="1"/>
    <n v="4"/>
    <n v="2"/>
    <s v="Life Sciences"/>
    <n v="1"/>
    <n v="1288"/>
    <n v="3"/>
    <x v="1"/>
    <n v="92"/>
    <x v="2"/>
    <n v="5"/>
    <x v="5"/>
    <n v="1"/>
    <x v="2"/>
    <n v="19190"/>
    <n v="17477"/>
    <n v="1"/>
    <s v="Y"/>
    <s v="No"/>
    <n v="14"/>
    <x v="0"/>
    <n v="4"/>
    <n v="80"/>
    <n v="2"/>
    <n v="26"/>
    <n v="4"/>
    <n v="2"/>
    <n v="25"/>
    <n v="9"/>
    <n v="14"/>
    <n v="13"/>
  </r>
  <r>
    <n v="34"/>
    <x v="1"/>
    <x v="1"/>
    <n v="648"/>
    <x v="2"/>
    <n v="11"/>
    <n v="3"/>
    <s v="Life Sciences"/>
    <n v="1"/>
    <n v="1289"/>
    <n v="3"/>
    <x v="1"/>
    <n v="56"/>
    <x v="1"/>
    <n v="2"/>
    <x v="8"/>
    <n v="2"/>
    <x v="1"/>
    <n v="4490"/>
    <n v="21833"/>
    <n v="4"/>
    <s v="Y"/>
    <s v="No"/>
    <n v="11"/>
    <x v="0"/>
    <n v="4"/>
    <n v="80"/>
    <n v="2"/>
    <n v="14"/>
    <n v="5"/>
    <n v="4"/>
    <n v="10"/>
    <n v="9"/>
    <n v="1"/>
    <n v="8"/>
  </r>
  <r>
    <n v="35"/>
    <x v="1"/>
    <x v="0"/>
    <n v="735"/>
    <x v="1"/>
    <n v="6"/>
    <n v="1"/>
    <s v="Life Sciences"/>
    <n v="1"/>
    <n v="1291"/>
    <n v="3"/>
    <x v="1"/>
    <n v="66"/>
    <x v="0"/>
    <n v="1"/>
    <x v="1"/>
    <n v="3"/>
    <x v="1"/>
    <n v="3506"/>
    <n v="6020"/>
    <n v="0"/>
    <s v="Y"/>
    <s v="Yes"/>
    <n v="14"/>
    <x v="0"/>
    <n v="4"/>
    <n v="80"/>
    <n v="0"/>
    <n v="4"/>
    <n v="3"/>
    <n v="3"/>
    <n v="3"/>
    <n v="2"/>
    <n v="2"/>
    <n v="2"/>
  </r>
  <r>
    <n v="42"/>
    <x v="1"/>
    <x v="0"/>
    <n v="603"/>
    <x v="1"/>
    <n v="7"/>
    <n v="4"/>
    <s v="Medical"/>
    <n v="1"/>
    <n v="1292"/>
    <n v="2"/>
    <x v="0"/>
    <n v="78"/>
    <x v="2"/>
    <n v="2"/>
    <x v="1"/>
    <n v="2"/>
    <x v="1"/>
    <n v="2372"/>
    <n v="5628"/>
    <n v="6"/>
    <s v="Y"/>
    <s v="Yes"/>
    <n v="16"/>
    <x v="0"/>
    <n v="4"/>
    <n v="80"/>
    <n v="0"/>
    <n v="18"/>
    <n v="2"/>
    <n v="3"/>
    <n v="1"/>
    <n v="0"/>
    <n v="0"/>
    <n v="0"/>
  </r>
  <r>
    <n v="43"/>
    <x v="1"/>
    <x v="0"/>
    <n v="531"/>
    <x v="0"/>
    <n v="4"/>
    <n v="4"/>
    <s v="Marketing"/>
    <n v="1"/>
    <n v="1293"/>
    <n v="4"/>
    <x v="0"/>
    <n v="56"/>
    <x v="1"/>
    <n v="3"/>
    <x v="0"/>
    <n v="4"/>
    <x v="0"/>
    <n v="10231"/>
    <n v="20364"/>
    <n v="3"/>
    <s v="Y"/>
    <s v="No"/>
    <n v="14"/>
    <x v="0"/>
    <n v="4"/>
    <n v="80"/>
    <n v="0"/>
    <n v="23"/>
    <n v="3"/>
    <n v="4"/>
    <n v="21"/>
    <n v="7"/>
    <n v="15"/>
    <n v="17"/>
  </r>
  <r>
    <n v="36"/>
    <x v="1"/>
    <x v="0"/>
    <n v="429"/>
    <x v="1"/>
    <n v="2"/>
    <n v="4"/>
    <s v="Life Sciences"/>
    <n v="1"/>
    <n v="1294"/>
    <n v="3"/>
    <x v="0"/>
    <n v="53"/>
    <x v="0"/>
    <n v="2"/>
    <x v="3"/>
    <n v="2"/>
    <x v="0"/>
    <n v="5410"/>
    <n v="2323"/>
    <n v="9"/>
    <s v="Y"/>
    <s v="Yes"/>
    <n v="11"/>
    <x v="0"/>
    <n v="4"/>
    <n v="80"/>
    <n v="0"/>
    <n v="18"/>
    <n v="2"/>
    <n v="3"/>
    <n v="16"/>
    <n v="14"/>
    <n v="5"/>
    <n v="12"/>
  </r>
  <r>
    <n v="44"/>
    <x v="0"/>
    <x v="0"/>
    <n v="621"/>
    <x v="1"/>
    <n v="15"/>
    <n v="3"/>
    <s v="Medical"/>
    <n v="1"/>
    <n v="1295"/>
    <n v="1"/>
    <x v="0"/>
    <n v="73"/>
    <x v="0"/>
    <n v="3"/>
    <x v="4"/>
    <n v="4"/>
    <x v="1"/>
    <n v="7978"/>
    <n v="14075"/>
    <n v="1"/>
    <s v="Y"/>
    <s v="No"/>
    <n v="11"/>
    <x v="0"/>
    <n v="4"/>
    <n v="80"/>
    <n v="1"/>
    <n v="10"/>
    <n v="2"/>
    <n v="3"/>
    <n v="10"/>
    <n v="7"/>
    <n v="0"/>
    <n v="5"/>
  </r>
  <r>
    <n v="28"/>
    <x v="1"/>
    <x v="1"/>
    <n v="193"/>
    <x v="1"/>
    <n v="2"/>
    <n v="3"/>
    <s v="Life Sciences"/>
    <n v="1"/>
    <n v="1296"/>
    <n v="4"/>
    <x v="1"/>
    <n v="52"/>
    <x v="1"/>
    <n v="1"/>
    <x v="2"/>
    <n v="4"/>
    <x v="1"/>
    <n v="3867"/>
    <n v="14222"/>
    <n v="1"/>
    <s v="Y"/>
    <s v="Yes"/>
    <n v="12"/>
    <x v="0"/>
    <n v="2"/>
    <n v="80"/>
    <n v="1"/>
    <n v="2"/>
    <n v="2"/>
    <n v="3"/>
    <n v="2"/>
    <n v="2"/>
    <n v="2"/>
    <n v="2"/>
  </r>
  <r>
    <n v="51"/>
    <x v="1"/>
    <x v="1"/>
    <n v="968"/>
    <x v="1"/>
    <n v="6"/>
    <n v="2"/>
    <s v="Medical"/>
    <n v="1"/>
    <n v="1297"/>
    <n v="2"/>
    <x v="0"/>
    <n v="40"/>
    <x v="1"/>
    <n v="1"/>
    <x v="2"/>
    <n v="3"/>
    <x v="0"/>
    <n v="2838"/>
    <n v="4257"/>
    <n v="0"/>
    <s v="Y"/>
    <s v="No"/>
    <n v="14"/>
    <x v="0"/>
    <n v="2"/>
    <n v="80"/>
    <n v="0"/>
    <n v="8"/>
    <n v="6"/>
    <n v="2"/>
    <n v="7"/>
    <n v="0"/>
    <n v="7"/>
    <n v="7"/>
  </r>
  <r>
    <n v="30"/>
    <x v="1"/>
    <x v="2"/>
    <n v="879"/>
    <x v="1"/>
    <n v="9"/>
    <n v="2"/>
    <s v="Medical"/>
    <n v="1"/>
    <n v="1298"/>
    <n v="3"/>
    <x v="0"/>
    <n v="72"/>
    <x v="0"/>
    <n v="2"/>
    <x v="3"/>
    <n v="3"/>
    <x v="0"/>
    <n v="4695"/>
    <n v="12858"/>
    <n v="7"/>
    <s v="Y"/>
    <s v="Yes"/>
    <n v="18"/>
    <x v="0"/>
    <n v="3"/>
    <n v="80"/>
    <n v="0"/>
    <n v="10"/>
    <n v="3"/>
    <n v="3"/>
    <n v="8"/>
    <n v="4"/>
    <n v="1"/>
    <n v="7"/>
  </r>
  <r>
    <n v="29"/>
    <x v="0"/>
    <x v="0"/>
    <n v="806"/>
    <x v="1"/>
    <n v="7"/>
    <n v="3"/>
    <s v="Technical Degree"/>
    <n v="1"/>
    <n v="1299"/>
    <n v="2"/>
    <x v="0"/>
    <n v="39"/>
    <x v="0"/>
    <n v="1"/>
    <x v="2"/>
    <n v="3"/>
    <x v="2"/>
    <n v="3339"/>
    <n v="17285"/>
    <n v="3"/>
    <s v="Y"/>
    <s v="Yes"/>
    <n v="13"/>
    <x v="0"/>
    <n v="1"/>
    <n v="80"/>
    <n v="2"/>
    <n v="10"/>
    <n v="2"/>
    <n v="3"/>
    <n v="7"/>
    <n v="7"/>
    <n v="7"/>
    <n v="7"/>
  </r>
  <r>
    <n v="28"/>
    <x v="1"/>
    <x v="0"/>
    <n v="640"/>
    <x v="1"/>
    <n v="1"/>
    <n v="3"/>
    <s v="Technical Degree"/>
    <n v="1"/>
    <n v="1301"/>
    <n v="4"/>
    <x v="1"/>
    <n v="84"/>
    <x v="0"/>
    <n v="1"/>
    <x v="1"/>
    <n v="1"/>
    <x v="0"/>
    <n v="2080"/>
    <n v="4732"/>
    <n v="2"/>
    <s v="Y"/>
    <s v="No"/>
    <n v="11"/>
    <x v="0"/>
    <n v="2"/>
    <n v="80"/>
    <n v="0"/>
    <n v="5"/>
    <n v="2"/>
    <n v="2"/>
    <n v="3"/>
    <n v="2"/>
    <n v="1"/>
    <n v="2"/>
  </r>
  <r>
    <n v="25"/>
    <x v="1"/>
    <x v="0"/>
    <n v="266"/>
    <x v="1"/>
    <n v="1"/>
    <n v="3"/>
    <s v="Medical"/>
    <n v="1"/>
    <n v="1303"/>
    <n v="4"/>
    <x v="0"/>
    <n v="40"/>
    <x v="0"/>
    <n v="1"/>
    <x v="1"/>
    <n v="2"/>
    <x v="0"/>
    <n v="2096"/>
    <n v="18830"/>
    <n v="1"/>
    <s v="Y"/>
    <s v="No"/>
    <n v="18"/>
    <x v="0"/>
    <n v="4"/>
    <n v="80"/>
    <n v="0"/>
    <n v="2"/>
    <n v="3"/>
    <n v="2"/>
    <n v="2"/>
    <n v="2"/>
    <n v="2"/>
    <n v="1"/>
  </r>
  <r>
    <n v="32"/>
    <x v="1"/>
    <x v="0"/>
    <n v="604"/>
    <x v="0"/>
    <n v="8"/>
    <n v="3"/>
    <s v="Medical"/>
    <n v="1"/>
    <n v="1304"/>
    <n v="3"/>
    <x v="1"/>
    <n v="56"/>
    <x v="2"/>
    <n v="2"/>
    <x v="0"/>
    <n v="4"/>
    <x v="1"/>
    <n v="6209"/>
    <n v="11693"/>
    <n v="1"/>
    <s v="Y"/>
    <s v="No"/>
    <n v="15"/>
    <x v="0"/>
    <n v="3"/>
    <n v="80"/>
    <n v="2"/>
    <n v="10"/>
    <n v="4"/>
    <n v="4"/>
    <n v="10"/>
    <n v="7"/>
    <n v="0"/>
    <n v="8"/>
  </r>
  <r>
    <n v="45"/>
    <x v="1"/>
    <x v="1"/>
    <n v="364"/>
    <x v="1"/>
    <n v="25"/>
    <n v="3"/>
    <s v="Medical"/>
    <n v="1"/>
    <n v="1306"/>
    <n v="2"/>
    <x v="0"/>
    <n v="83"/>
    <x v="0"/>
    <n v="5"/>
    <x v="5"/>
    <n v="2"/>
    <x v="0"/>
    <n v="18061"/>
    <n v="13035"/>
    <n v="3"/>
    <s v="Y"/>
    <s v="No"/>
    <n v="22"/>
    <x v="1"/>
    <n v="3"/>
    <n v="80"/>
    <n v="0"/>
    <n v="22"/>
    <n v="4"/>
    <n v="3"/>
    <n v="0"/>
    <n v="0"/>
    <n v="0"/>
    <n v="0"/>
  </r>
  <r>
    <n v="39"/>
    <x v="1"/>
    <x v="0"/>
    <n v="412"/>
    <x v="1"/>
    <n v="13"/>
    <n v="4"/>
    <s v="Medical"/>
    <n v="1"/>
    <n v="1307"/>
    <n v="3"/>
    <x v="0"/>
    <n v="94"/>
    <x v="1"/>
    <n v="4"/>
    <x v="5"/>
    <n v="2"/>
    <x v="2"/>
    <n v="17123"/>
    <n v="17334"/>
    <n v="6"/>
    <s v="Y"/>
    <s v="Yes"/>
    <n v="13"/>
    <x v="0"/>
    <n v="4"/>
    <n v="80"/>
    <n v="2"/>
    <n v="21"/>
    <n v="4"/>
    <n v="3"/>
    <n v="19"/>
    <n v="9"/>
    <n v="15"/>
    <n v="2"/>
  </r>
  <r>
    <n v="58"/>
    <x v="1"/>
    <x v="0"/>
    <n v="848"/>
    <x v="1"/>
    <n v="23"/>
    <n v="4"/>
    <s v="Life Sciences"/>
    <n v="1"/>
    <n v="1308"/>
    <n v="1"/>
    <x v="1"/>
    <n v="88"/>
    <x v="0"/>
    <n v="1"/>
    <x v="1"/>
    <n v="3"/>
    <x v="2"/>
    <n v="2372"/>
    <n v="26076"/>
    <n v="1"/>
    <s v="Y"/>
    <s v="No"/>
    <n v="12"/>
    <x v="0"/>
    <n v="4"/>
    <n v="80"/>
    <n v="2"/>
    <n v="2"/>
    <n v="3"/>
    <n v="3"/>
    <n v="2"/>
    <n v="2"/>
    <n v="2"/>
    <n v="2"/>
  </r>
  <r>
    <n v="32"/>
    <x v="0"/>
    <x v="0"/>
    <n v="1089"/>
    <x v="1"/>
    <n v="7"/>
    <n v="2"/>
    <s v="Life Sciences"/>
    <n v="1"/>
    <n v="1309"/>
    <n v="4"/>
    <x v="1"/>
    <n v="79"/>
    <x v="0"/>
    <n v="2"/>
    <x v="2"/>
    <n v="3"/>
    <x v="1"/>
    <n v="4883"/>
    <n v="22845"/>
    <n v="1"/>
    <s v="Y"/>
    <s v="No"/>
    <n v="18"/>
    <x v="0"/>
    <n v="1"/>
    <n v="80"/>
    <n v="1"/>
    <n v="10"/>
    <n v="3"/>
    <n v="3"/>
    <n v="10"/>
    <n v="4"/>
    <n v="1"/>
    <n v="1"/>
  </r>
  <r>
    <n v="39"/>
    <x v="0"/>
    <x v="0"/>
    <n v="360"/>
    <x v="1"/>
    <n v="23"/>
    <n v="3"/>
    <s v="Medical"/>
    <n v="1"/>
    <n v="1310"/>
    <n v="3"/>
    <x v="1"/>
    <n v="93"/>
    <x v="0"/>
    <n v="1"/>
    <x v="1"/>
    <n v="1"/>
    <x v="0"/>
    <n v="3904"/>
    <n v="22154"/>
    <n v="0"/>
    <s v="Y"/>
    <s v="No"/>
    <n v="13"/>
    <x v="0"/>
    <n v="1"/>
    <n v="80"/>
    <n v="0"/>
    <n v="6"/>
    <n v="2"/>
    <n v="3"/>
    <n v="5"/>
    <n v="2"/>
    <n v="0"/>
    <n v="3"/>
  </r>
  <r>
    <n v="30"/>
    <x v="1"/>
    <x v="0"/>
    <n v="1138"/>
    <x v="1"/>
    <n v="6"/>
    <n v="3"/>
    <s v="Technical Degree"/>
    <n v="1"/>
    <n v="1311"/>
    <n v="1"/>
    <x v="0"/>
    <n v="48"/>
    <x v="1"/>
    <n v="2"/>
    <x v="2"/>
    <n v="4"/>
    <x v="1"/>
    <n v="4627"/>
    <n v="23631"/>
    <n v="0"/>
    <s v="Y"/>
    <s v="No"/>
    <n v="12"/>
    <x v="0"/>
    <n v="1"/>
    <n v="80"/>
    <n v="1"/>
    <n v="10"/>
    <n v="6"/>
    <n v="3"/>
    <n v="9"/>
    <n v="2"/>
    <n v="6"/>
    <n v="7"/>
  </r>
  <r>
    <n v="36"/>
    <x v="1"/>
    <x v="0"/>
    <n v="325"/>
    <x v="1"/>
    <n v="10"/>
    <n v="4"/>
    <s v="Technical Degree"/>
    <n v="1"/>
    <n v="1312"/>
    <n v="4"/>
    <x v="0"/>
    <n v="63"/>
    <x v="0"/>
    <n v="3"/>
    <x v="4"/>
    <n v="3"/>
    <x v="1"/>
    <n v="7094"/>
    <n v="5747"/>
    <n v="3"/>
    <s v="Y"/>
    <s v="No"/>
    <n v="12"/>
    <x v="0"/>
    <n v="1"/>
    <n v="80"/>
    <n v="0"/>
    <n v="10"/>
    <n v="0"/>
    <n v="3"/>
    <n v="7"/>
    <n v="7"/>
    <n v="1"/>
    <n v="7"/>
  </r>
  <r>
    <n v="46"/>
    <x v="1"/>
    <x v="0"/>
    <n v="991"/>
    <x v="2"/>
    <n v="1"/>
    <n v="2"/>
    <s v="Life Sciences"/>
    <n v="1"/>
    <n v="1314"/>
    <n v="4"/>
    <x v="0"/>
    <n v="44"/>
    <x v="0"/>
    <n v="1"/>
    <x v="8"/>
    <n v="1"/>
    <x v="0"/>
    <n v="3423"/>
    <n v="22957"/>
    <n v="6"/>
    <s v="Y"/>
    <s v="No"/>
    <n v="12"/>
    <x v="0"/>
    <n v="3"/>
    <n v="80"/>
    <n v="0"/>
    <n v="10"/>
    <n v="3"/>
    <n v="4"/>
    <n v="7"/>
    <n v="6"/>
    <n v="5"/>
    <n v="7"/>
  </r>
  <r>
    <n v="28"/>
    <x v="1"/>
    <x v="2"/>
    <n v="1476"/>
    <x v="1"/>
    <n v="1"/>
    <n v="3"/>
    <s v="Life Sciences"/>
    <n v="1"/>
    <n v="1315"/>
    <n v="3"/>
    <x v="0"/>
    <n v="55"/>
    <x v="3"/>
    <n v="2"/>
    <x v="2"/>
    <n v="4"/>
    <x v="1"/>
    <n v="6674"/>
    <n v="16392"/>
    <n v="0"/>
    <s v="Y"/>
    <s v="No"/>
    <n v="11"/>
    <x v="0"/>
    <n v="1"/>
    <n v="80"/>
    <n v="3"/>
    <n v="10"/>
    <n v="6"/>
    <n v="3"/>
    <n v="9"/>
    <n v="8"/>
    <n v="7"/>
    <n v="5"/>
  </r>
  <r>
    <n v="50"/>
    <x v="1"/>
    <x v="0"/>
    <n v="1322"/>
    <x v="1"/>
    <n v="28"/>
    <n v="3"/>
    <s v="Life Sciences"/>
    <n v="1"/>
    <n v="1317"/>
    <n v="4"/>
    <x v="0"/>
    <n v="43"/>
    <x v="0"/>
    <n v="4"/>
    <x v="7"/>
    <n v="1"/>
    <x v="1"/>
    <n v="16880"/>
    <n v="22422"/>
    <n v="4"/>
    <s v="Y"/>
    <s v="Yes"/>
    <n v="11"/>
    <x v="0"/>
    <n v="2"/>
    <n v="80"/>
    <n v="0"/>
    <n v="25"/>
    <n v="2"/>
    <n v="3"/>
    <n v="3"/>
    <n v="2"/>
    <n v="1"/>
    <n v="2"/>
  </r>
  <r>
    <n v="40"/>
    <x v="0"/>
    <x v="0"/>
    <n v="299"/>
    <x v="0"/>
    <n v="25"/>
    <n v="4"/>
    <s v="Marketing"/>
    <n v="1"/>
    <n v="1318"/>
    <n v="4"/>
    <x v="1"/>
    <n v="57"/>
    <x v="1"/>
    <n v="3"/>
    <x v="0"/>
    <n v="2"/>
    <x v="0"/>
    <n v="9094"/>
    <n v="17235"/>
    <n v="2"/>
    <s v="Y"/>
    <s v="Yes"/>
    <n v="12"/>
    <x v="0"/>
    <n v="3"/>
    <n v="80"/>
    <n v="0"/>
    <n v="9"/>
    <n v="2"/>
    <n v="3"/>
    <n v="5"/>
    <n v="4"/>
    <n v="1"/>
    <n v="0"/>
  </r>
  <r>
    <n v="52"/>
    <x v="0"/>
    <x v="0"/>
    <n v="1030"/>
    <x v="0"/>
    <n v="5"/>
    <n v="3"/>
    <s v="Life Sciences"/>
    <n v="1"/>
    <n v="1319"/>
    <n v="2"/>
    <x v="1"/>
    <n v="64"/>
    <x v="0"/>
    <n v="3"/>
    <x v="0"/>
    <n v="2"/>
    <x v="0"/>
    <n v="8446"/>
    <n v="21534"/>
    <n v="9"/>
    <s v="Y"/>
    <s v="Yes"/>
    <n v="19"/>
    <x v="0"/>
    <n v="3"/>
    <n v="80"/>
    <n v="0"/>
    <n v="10"/>
    <n v="2"/>
    <n v="2"/>
    <n v="8"/>
    <n v="7"/>
    <n v="7"/>
    <n v="7"/>
  </r>
  <r>
    <n v="30"/>
    <x v="1"/>
    <x v="0"/>
    <n v="634"/>
    <x v="1"/>
    <n v="17"/>
    <n v="4"/>
    <s v="Medical"/>
    <n v="1"/>
    <n v="1321"/>
    <n v="2"/>
    <x v="0"/>
    <n v="95"/>
    <x v="0"/>
    <n v="3"/>
    <x v="5"/>
    <n v="1"/>
    <x v="1"/>
    <n v="11916"/>
    <n v="25927"/>
    <n v="1"/>
    <s v="Y"/>
    <s v="Yes"/>
    <n v="23"/>
    <x v="1"/>
    <n v="4"/>
    <n v="80"/>
    <n v="2"/>
    <n v="9"/>
    <n v="2"/>
    <n v="3"/>
    <n v="9"/>
    <n v="1"/>
    <n v="0"/>
    <n v="8"/>
  </r>
  <r>
    <n v="39"/>
    <x v="1"/>
    <x v="0"/>
    <n v="524"/>
    <x v="1"/>
    <n v="18"/>
    <n v="2"/>
    <s v="Life Sciences"/>
    <n v="1"/>
    <n v="1322"/>
    <n v="1"/>
    <x v="1"/>
    <n v="32"/>
    <x v="0"/>
    <n v="2"/>
    <x v="3"/>
    <n v="3"/>
    <x v="0"/>
    <n v="4534"/>
    <n v="13352"/>
    <n v="0"/>
    <s v="Y"/>
    <s v="No"/>
    <n v="11"/>
    <x v="0"/>
    <n v="1"/>
    <n v="80"/>
    <n v="0"/>
    <n v="9"/>
    <n v="6"/>
    <n v="3"/>
    <n v="8"/>
    <n v="7"/>
    <n v="1"/>
    <n v="7"/>
  </r>
  <r>
    <n v="31"/>
    <x v="1"/>
    <x v="2"/>
    <n v="587"/>
    <x v="0"/>
    <n v="2"/>
    <n v="4"/>
    <s v="Life Sciences"/>
    <n v="1"/>
    <n v="1324"/>
    <n v="4"/>
    <x v="0"/>
    <n v="57"/>
    <x v="0"/>
    <n v="3"/>
    <x v="0"/>
    <n v="3"/>
    <x v="2"/>
    <n v="9852"/>
    <n v="8935"/>
    <n v="1"/>
    <s v="Y"/>
    <s v="Yes"/>
    <n v="19"/>
    <x v="0"/>
    <n v="1"/>
    <n v="80"/>
    <n v="1"/>
    <n v="10"/>
    <n v="5"/>
    <n v="2"/>
    <n v="10"/>
    <n v="8"/>
    <n v="9"/>
    <n v="6"/>
  </r>
  <r>
    <n v="41"/>
    <x v="1"/>
    <x v="2"/>
    <n v="256"/>
    <x v="0"/>
    <n v="10"/>
    <n v="2"/>
    <s v="Medical"/>
    <n v="1"/>
    <n v="1329"/>
    <n v="3"/>
    <x v="1"/>
    <n v="40"/>
    <x v="3"/>
    <n v="2"/>
    <x v="0"/>
    <n v="2"/>
    <x v="0"/>
    <n v="6151"/>
    <n v="22074"/>
    <n v="1"/>
    <s v="Y"/>
    <s v="No"/>
    <n v="13"/>
    <x v="0"/>
    <n v="1"/>
    <n v="80"/>
    <n v="0"/>
    <n v="19"/>
    <n v="4"/>
    <n v="3"/>
    <n v="19"/>
    <n v="2"/>
    <n v="11"/>
    <n v="9"/>
  </r>
  <r>
    <n v="31"/>
    <x v="0"/>
    <x v="1"/>
    <n v="1060"/>
    <x v="0"/>
    <n v="1"/>
    <n v="3"/>
    <s v="Life Sciences"/>
    <n v="1"/>
    <n v="1331"/>
    <n v="4"/>
    <x v="0"/>
    <n v="54"/>
    <x v="0"/>
    <n v="1"/>
    <x v="6"/>
    <n v="2"/>
    <x v="0"/>
    <n v="2302"/>
    <n v="8319"/>
    <n v="1"/>
    <s v="Y"/>
    <s v="Yes"/>
    <n v="11"/>
    <x v="0"/>
    <n v="1"/>
    <n v="80"/>
    <n v="0"/>
    <n v="3"/>
    <n v="2"/>
    <n v="4"/>
    <n v="3"/>
    <n v="2"/>
    <n v="2"/>
    <n v="2"/>
  </r>
  <r>
    <n v="44"/>
    <x v="0"/>
    <x v="0"/>
    <n v="935"/>
    <x v="1"/>
    <n v="3"/>
    <n v="3"/>
    <s v="Life Sciences"/>
    <n v="1"/>
    <n v="1333"/>
    <n v="1"/>
    <x v="1"/>
    <n v="89"/>
    <x v="0"/>
    <n v="1"/>
    <x v="2"/>
    <n v="1"/>
    <x v="1"/>
    <n v="2362"/>
    <n v="14669"/>
    <n v="4"/>
    <s v="Y"/>
    <s v="No"/>
    <n v="12"/>
    <x v="0"/>
    <n v="3"/>
    <n v="80"/>
    <n v="0"/>
    <n v="10"/>
    <n v="4"/>
    <n v="4"/>
    <n v="3"/>
    <n v="2"/>
    <n v="1"/>
    <n v="2"/>
  </r>
  <r>
    <n v="42"/>
    <x v="1"/>
    <x v="2"/>
    <n v="495"/>
    <x v="1"/>
    <n v="2"/>
    <n v="1"/>
    <s v="Life Sciences"/>
    <n v="1"/>
    <n v="1334"/>
    <n v="3"/>
    <x v="1"/>
    <n v="37"/>
    <x v="0"/>
    <n v="4"/>
    <x v="5"/>
    <n v="3"/>
    <x v="1"/>
    <n v="17861"/>
    <n v="26582"/>
    <n v="0"/>
    <s v="Y"/>
    <s v="Yes"/>
    <n v="13"/>
    <x v="0"/>
    <n v="4"/>
    <n v="80"/>
    <n v="0"/>
    <n v="21"/>
    <n v="3"/>
    <n v="2"/>
    <n v="20"/>
    <n v="8"/>
    <n v="2"/>
    <n v="10"/>
  </r>
  <r>
    <n v="55"/>
    <x v="1"/>
    <x v="0"/>
    <n v="282"/>
    <x v="1"/>
    <n v="2"/>
    <n v="2"/>
    <s v="Medical"/>
    <n v="1"/>
    <n v="1336"/>
    <n v="4"/>
    <x v="0"/>
    <n v="58"/>
    <x v="3"/>
    <n v="5"/>
    <x v="5"/>
    <n v="3"/>
    <x v="1"/>
    <n v="19187"/>
    <n v="6992"/>
    <n v="4"/>
    <s v="Y"/>
    <s v="No"/>
    <n v="14"/>
    <x v="0"/>
    <n v="4"/>
    <n v="80"/>
    <n v="1"/>
    <n v="23"/>
    <n v="5"/>
    <n v="3"/>
    <n v="19"/>
    <n v="9"/>
    <n v="9"/>
    <n v="11"/>
  </r>
  <r>
    <n v="56"/>
    <x v="1"/>
    <x v="0"/>
    <n v="206"/>
    <x v="2"/>
    <n v="8"/>
    <n v="4"/>
    <s v="Life Sciences"/>
    <n v="1"/>
    <n v="1338"/>
    <n v="4"/>
    <x v="1"/>
    <n v="99"/>
    <x v="0"/>
    <n v="5"/>
    <x v="5"/>
    <n v="2"/>
    <x v="0"/>
    <n v="19717"/>
    <n v="4022"/>
    <n v="6"/>
    <s v="Y"/>
    <s v="No"/>
    <n v="14"/>
    <x v="0"/>
    <n v="1"/>
    <n v="80"/>
    <n v="0"/>
    <n v="36"/>
    <n v="4"/>
    <n v="3"/>
    <n v="7"/>
    <n v="3"/>
    <n v="7"/>
    <n v="7"/>
  </r>
  <r>
    <n v="40"/>
    <x v="1"/>
    <x v="2"/>
    <n v="458"/>
    <x v="1"/>
    <n v="16"/>
    <n v="2"/>
    <s v="Life Sciences"/>
    <n v="1"/>
    <n v="1340"/>
    <n v="3"/>
    <x v="1"/>
    <n v="74"/>
    <x v="0"/>
    <n v="1"/>
    <x v="1"/>
    <n v="3"/>
    <x v="2"/>
    <n v="3544"/>
    <n v="8532"/>
    <n v="9"/>
    <s v="Y"/>
    <s v="No"/>
    <n v="16"/>
    <x v="0"/>
    <n v="2"/>
    <n v="80"/>
    <n v="1"/>
    <n v="6"/>
    <n v="0"/>
    <n v="3"/>
    <n v="4"/>
    <n v="2"/>
    <n v="0"/>
    <n v="0"/>
  </r>
  <r>
    <n v="34"/>
    <x v="1"/>
    <x v="0"/>
    <n v="943"/>
    <x v="1"/>
    <n v="9"/>
    <n v="3"/>
    <s v="Life Sciences"/>
    <n v="1"/>
    <n v="1344"/>
    <n v="4"/>
    <x v="1"/>
    <n v="86"/>
    <x v="0"/>
    <n v="3"/>
    <x v="4"/>
    <n v="4"/>
    <x v="2"/>
    <n v="8500"/>
    <n v="5494"/>
    <n v="0"/>
    <s v="Y"/>
    <s v="No"/>
    <n v="11"/>
    <x v="0"/>
    <n v="4"/>
    <n v="80"/>
    <n v="1"/>
    <n v="10"/>
    <n v="0"/>
    <n v="2"/>
    <n v="9"/>
    <n v="7"/>
    <n v="1"/>
    <n v="6"/>
  </r>
  <r>
    <n v="40"/>
    <x v="1"/>
    <x v="0"/>
    <n v="523"/>
    <x v="1"/>
    <n v="2"/>
    <n v="3"/>
    <s v="Life Sciences"/>
    <n v="1"/>
    <n v="1346"/>
    <n v="3"/>
    <x v="1"/>
    <n v="98"/>
    <x v="0"/>
    <n v="2"/>
    <x v="1"/>
    <n v="4"/>
    <x v="0"/>
    <n v="4661"/>
    <n v="22455"/>
    <n v="1"/>
    <s v="Y"/>
    <s v="No"/>
    <n v="13"/>
    <x v="0"/>
    <n v="3"/>
    <n v="80"/>
    <n v="0"/>
    <n v="9"/>
    <n v="4"/>
    <n v="3"/>
    <n v="9"/>
    <n v="8"/>
    <n v="8"/>
    <n v="8"/>
  </r>
  <r>
    <n v="41"/>
    <x v="1"/>
    <x v="1"/>
    <n v="1018"/>
    <x v="0"/>
    <n v="1"/>
    <n v="3"/>
    <s v="Marketing"/>
    <n v="1"/>
    <n v="1349"/>
    <n v="3"/>
    <x v="0"/>
    <n v="66"/>
    <x v="0"/>
    <n v="2"/>
    <x v="0"/>
    <n v="1"/>
    <x v="2"/>
    <n v="4103"/>
    <n v="4297"/>
    <n v="0"/>
    <s v="Y"/>
    <s v="No"/>
    <n v="17"/>
    <x v="0"/>
    <n v="4"/>
    <n v="80"/>
    <n v="1"/>
    <n v="10"/>
    <n v="2"/>
    <n v="3"/>
    <n v="9"/>
    <n v="3"/>
    <n v="1"/>
    <n v="7"/>
  </r>
  <r>
    <n v="35"/>
    <x v="1"/>
    <x v="1"/>
    <n v="482"/>
    <x v="1"/>
    <n v="4"/>
    <n v="4"/>
    <s v="Life Sciences"/>
    <n v="1"/>
    <n v="1350"/>
    <n v="3"/>
    <x v="1"/>
    <n v="87"/>
    <x v="0"/>
    <n v="2"/>
    <x v="1"/>
    <n v="3"/>
    <x v="0"/>
    <n v="4249"/>
    <n v="2690"/>
    <n v="1"/>
    <s v="Y"/>
    <s v="Yes"/>
    <n v="11"/>
    <x v="0"/>
    <n v="2"/>
    <n v="80"/>
    <n v="0"/>
    <n v="9"/>
    <n v="3"/>
    <n v="3"/>
    <n v="9"/>
    <n v="6"/>
    <n v="1"/>
    <n v="1"/>
  </r>
  <r>
    <n v="51"/>
    <x v="1"/>
    <x v="0"/>
    <n v="770"/>
    <x v="2"/>
    <n v="5"/>
    <n v="3"/>
    <s v="Life Sciences"/>
    <n v="1"/>
    <n v="1352"/>
    <n v="3"/>
    <x v="1"/>
    <n v="84"/>
    <x v="0"/>
    <n v="4"/>
    <x v="5"/>
    <n v="2"/>
    <x v="2"/>
    <n v="14026"/>
    <n v="17588"/>
    <n v="1"/>
    <s v="Y"/>
    <s v="Yes"/>
    <n v="11"/>
    <x v="0"/>
    <n v="2"/>
    <n v="80"/>
    <n v="1"/>
    <n v="33"/>
    <n v="2"/>
    <n v="3"/>
    <n v="33"/>
    <n v="9"/>
    <n v="0"/>
    <n v="10"/>
  </r>
  <r>
    <n v="38"/>
    <x v="1"/>
    <x v="0"/>
    <n v="1009"/>
    <x v="0"/>
    <n v="2"/>
    <n v="2"/>
    <s v="Life Sciences"/>
    <n v="1"/>
    <n v="1355"/>
    <n v="2"/>
    <x v="0"/>
    <n v="31"/>
    <x v="0"/>
    <n v="2"/>
    <x v="0"/>
    <n v="1"/>
    <x v="2"/>
    <n v="6893"/>
    <n v="19461"/>
    <n v="3"/>
    <s v="Y"/>
    <s v="No"/>
    <n v="15"/>
    <x v="0"/>
    <n v="4"/>
    <n v="80"/>
    <n v="1"/>
    <n v="11"/>
    <n v="3"/>
    <n v="3"/>
    <n v="7"/>
    <n v="7"/>
    <n v="1"/>
    <n v="7"/>
  </r>
  <r>
    <n v="34"/>
    <x v="1"/>
    <x v="0"/>
    <n v="507"/>
    <x v="0"/>
    <n v="15"/>
    <n v="2"/>
    <s v="Medical"/>
    <n v="1"/>
    <n v="1356"/>
    <n v="3"/>
    <x v="0"/>
    <n v="66"/>
    <x v="0"/>
    <n v="2"/>
    <x v="0"/>
    <n v="1"/>
    <x v="0"/>
    <n v="6125"/>
    <n v="23553"/>
    <n v="1"/>
    <s v="Y"/>
    <s v="No"/>
    <n v="12"/>
    <x v="0"/>
    <n v="4"/>
    <n v="80"/>
    <n v="0"/>
    <n v="10"/>
    <n v="6"/>
    <n v="4"/>
    <n v="10"/>
    <n v="8"/>
    <n v="9"/>
    <n v="6"/>
  </r>
  <r>
    <n v="25"/>
    <x v="1"/>
    <x v="0"/>
    <n v="882"/>
    <x v="1"/>
    <n v="19"/>
    <n v="1"/>
    <s v="Medical"/>
    <n v="1"/>
    <n v="1358"/>
    <n v="4"/>
    <x v="1"/>
    <n v="67"/>
    <x v="0"/>
    <n v="1"/>
    <x v="2"/>
    <n v="4"/>
    <x v="1"/>
    <n v="3669"/>
    <n v="9075"/>
    <n v="3"/>
    <s v="Y"/>
    <s v="No"/>
    <n v="11"/>
    <x v="0"/>
    <n v="3"/>
    <n v="80"/>
    <n v="3"/>
    <n v="7"/>
    <n v="6"/>
    <n v="2"/>
    <n v="3"/>
    <n v="2"/>
    <n v="1"/>
    <n v="2"/>
  </r>
  <r>
    <n v="58"/>
    <x v="0"/>
    <x v="0"/>
    <n v="601"/>
    <x v="1"/>
    <n v="7"/>
    <n v="4"/>
    <s v="Medical"/>
    <n v="1"/>
    <n v="1360"/>
    <n v="3"/>
    <x v="0"/>
    <n v="53"/>
    <x v="1"/>
    <n v="3"/>
    <x v="3"/>
    <n v="1"/>
    <x v="1"/>
    <n v="10008"/>
    <n v="12023"/>
    <n v="7"/>
    <s v="Y"/>
    <s v="Yes"/>
    <n v="14"/>
    <x v="0"/>
    <n v="4"/>
    <n v="80"/>
    <n v="0"/>
    <n v="31"/>
    <n v="0"/>
    <n v="2"/>
    <n v="10"/>
    <n v="9"/>
    <n v="5"/>
    <n v="9"/>
  </r>
  <r>
    <n v="40"/>
    <x v="1"/>
    <x v="0"/>
    <n v="329"/>
    <x v="1"/>
    <n v="1"/>
    <n v="4"/>
    <s v="Life Sciences"/>
    <n v="1"/>
    <n v="1361"/>
    <n v="2"/>
    <x v="1"/>
    <n v="88"/>
    <x v="0"/>
    <n v="1"/>
    <x v="2"/>
    <n v="2"/>
    <x v="1"/>
    <n v="2387"/>
    <n v="6762"/>
    <n v="3"/>
    <s v="Y"/>
    <s v="No"/>
    <n v="22"/>
    <x v="1"/>
    <n v="3"/>
    <n v="80"/>
    <n v="1"/>
    <n v="7"/>
    <n v="3"/>
    <n v="3"/>
    <n v="4"/>
    <n v="2"/>
    <n v="0"/>
    <n v="3"/>
  </r>
  <r>
    <n v="36"/>
    <x v="1"/>
    <x v="1"/>
    <n v="607"/>
    <x v="0"/>
    <n v="7"/>
    <n v="3"/>
    <s v="Marketing"/>
    <n v="1"/>
    <n v="1362"/>
    <n v="1"/>
    <x v="0"/>
    <n v="83"/>
    <x v="2"/>
    <n v="2"/>
    <x v="0"/>
    <n v="1"/>
    <x v="1"/>
    <n v="4639"/>
    <n v="2261"/>
    <n v="2"/>
    <s v="Y"/>
    <s v="No"/>
    <n v="16"/>
    <x v="0"/>
    <n v="4"/>
    <n v="80"/>
    <n v="1"/>
    <n v="17"/>
    <n v="2"/>
    <n v="2"/>
    <n v="15"/>
    <n v="7"/>
    <n v="6"/>
    <n v="13"/>
  </r>
  <r>
    <n v="48"/>
    <x v="1"/>
    <x v="0"/>
    <n v="855"/>
    <x v="1"/>
    <n v="4"/>
    <n v="3"/>
    <s v="Life Sciences"/>
    <n v="1"/>
    <n v="1363"/>
    <n v="4"/>
    <x v="1"/>
    <n v="54"/>
    <x v="0"/>
    <n v="3"/>
    <x v="3"/>
    <n v="4"/>
    <x v="0"/>
    <n v="7898"/>
    <n v="18706"/>
    <n v="1"/>
    <s v="Y"/>
    <s v="No"/>
    <n v="11"/>
    <x v="0"/>
    <n v="3"/>
    <n v="80"/>
    <n v="0"/>
    <n v="11"/>
    <n v="2"/>
    <n v="3"/>
    <n v="10"/>
    <n v="9"/>
    <n v="0"/>
    <n v="8"/>
  </r>
  <r>
    <n v="27"/>
    <x v="1"/>
    <x v="0"/>
    <n v="1291"/>
    <x v="0"/>
    <n v="11"/>
    <n v="3"/>
    <s v="Medical"/>
    <n v="1"/>
    <n v="1364"/>
    <n v="3"/>
    <x v="0"/>
    <n v="98"/>
    <x v="2"/>
    <n v="1"/>
    <x v="6"/>
    <n v="4"/>
    <x v="1"/>
    <n v="2534"/>
    <n v="6527"/>
    <n v="8"/>
    <s v="Y"/>
    <s v="No"/>
    <n v="14"/>
    <x v="0"/>
    <n v="2"/>
    <n v="80"/>
    <n v="1"/>
    <n v="5"/>
    <n v="4"/>
    <n v="3"/>
    <n v="1"/>
    <n v="0"/>
    <n v="0"/>
    <n v="0"/>
  </r>
  <r>
    <n v="51"/>
    <x v="1"/>
    <x v="0"/>
    <n v="1405"/>
    <x v="1"/>
    <n v="11"/>
    <n v="2"/>
    <s v="Technical Degree"/>
    <n v="1"/>
    <n v="1367"/>
    <n v="4"/>
    <x v="0"/>
    <n v="82"/>
    <x v="1"/>
    <n v="4"/>
    <x v="3"/>
    <n v="2"/>
    <x v="0"/>
    <n v="13142"/>
    <n v="24439"/>
    <n v="3"/>
    <s v="Y"/>
    <s v="No"/>
    <n v="16"/>
    <x v="0"/>
    <n v="2"/>
    <n v="80"/>
    <n v="0"/>
    <n v="29"/>
    <n v="1"/>
    <n v="2"/>
    <n v="5"/>
    <n v="2"/>
    <n v="0"/>
    <n v="3"/>
  </r>
  <r>
    <n v="18"/>
    <x v="1"/>
    <x v="2"/>
    <n v="1124"/>
    <x v="1"/>
    <n v="1"/>
    <n v="3"/>
    <s v="Life Sciences"/>
    <n v="1"/>
    <n v="1368"/>
    <n v="4"/>
    <x v="0"/>
    <n v="97"/>
    <x v="0"/>
    <n v="1"/>
    <x v="2"/>
    <n v="4"/>
    <x v="0"/>
    <n v="1611"/>
    <n v="19305"/>
    <n v="1"/>
    <s v="Y"/>
    <s v="No"/>
    <n v="15"/>
    <x v="0"/>
    <n v="3"/>
    <n v="80"/>
    <n v="0"/>
    <n v="0"/>
    <n v="5"/>
    <n v="4"/>
    <n v="0"/>
    <n v="0"/>
    <n v="0"/>
    <n v="0"/>
  </r>
  <r>
    <n v="35"/>
    <x v="1"/>
    <x v="0"/>
    <n v="817"/>
    <x v="1"/>
    <n v="1"/>
    <n v="3"/>
    <s v="Medical"/>
    <n v="1"/>
    <n v="1369"/>
    <n v="4"/>
    <x v="0"/>
    <n v="60"/>
    <x v="1"/>
    <n v="2"/>
    <x v="2"/>
    <n v="4"/>
    <x v="1"/>
    <n v="5363"/>
    <n v="10846"/>
    <n v="0"/>
    <s v="Y"/>
    <s v="No"/>
    <n v="12"/>
    <x v="0"/>
    <n v="2"/>
    <n v="80"/>
    <n v="1"/>
    <n v="10"/>
    <n v="0"/>
    <n v="3"/>
    <n v="9"/>
    <n v="7"/>
    <n v="0"/>
    <n v="0"/>
  </r>
  <r>
    <n v="27"/>
    <x v="1"/>
    <x v="1"/>
    <n v="793"/>
    <x v="0"/>
    <n v="2"/>
    <n v="1"/>
    <s v="Life Sciences"/>
    <n v="1"/>
    <n v="1371"/>
    <n v="4"/>
    <x v="1"/>
    <n v="43"/>
    <x v="3"/>
    <n v="2"/>
    <x v="0"/>
    <n v="4"/>
    <x v="0"/>
    <n v="5071"/>
    <n v="20392"/>
    <n v="3"/>
    <s v="Y"/>
    <s v="No"/>
    <n v="20"/>
    <x v="1"/>
    <n v="2"/>
    <n v="80"/>
    <n v="0"/>
    <n v="8"/>
    <n v="3"/>
    <n v="3"/>
    <n v="6"/>
    <n v="2"/>
    <n v="0"/>
    <n v="0"/>
  </r>
  <r>
    <n v="55"/>
    <x v="0"/>
    <x v="0"/>
    <n v="267"/>
    <x v="0"/>
    <n v="13"/>
    <n v="4"/>
    <s v="Marketing"/>
    <n v="1"/>
    <n v="1372"/>
    <n v="1"/>
    <x v="1"/>
    <n v="85"/>
    <x v="2"/>
    <n v="4"/>
    <x v="0"/>
    <n v="3"/>
    <x v="0"/>
    <n v="13695"/>
    <n v="9277"/>
    <n v="6"/>
    <s v="Y"/>
    <s v="Yes"/>
    <n v="17"/>
    <x v="0"/>
    <n v="3"/>
    <n v="80"/>
    <n v="0"/>
    <n v="24"/>
    <n v="2"/>
    <n v="2"/>
    <n v="19"/>
    <n v="7"/>
    <n v="3"/>
    <n v="8"/>
  </r>
  <r>
    <n v="56"/>
    <x v="1"/>
    <x v="0"/>
    <n v="1369"/>
    <x v="1"/>
    <n v="23"/>
    <n v="3"/>
    <s v="Life Sciences"/>
    <n v="1"/>
    <n v="1373"/>
    <n v="4"/>
    <x v="1"/>
    <n v="68"/>
    <x v="0"/>
    <n v="4"/>
    <x v="3"/>
    <n v="2"/>
    <x v="1"/>
    <n v="13402"/>
    <n v="18235"/>
    <n v="4"/>
    <s v="Y"/>
    <s v="Yes"/>
    <n v="12"/>
    <x v="0"/>
    <n v="1"/>
    <n v="80"/>
    <n v="1"/>
    <n v="33"/>
    <n v="0"/>
    <n v="3"/>
    <n v="19"/>
    <n v="16"/>
    <n v="15"/>
    <n v="9"/>
  </r>
  <r>
    <n v="34"/>
    <x v="1"/>
    <x v="2"/>
    <n v="999"/>
    <x v="1"/>
    <n v="26"/>
    <n v="1"/>
    <s v="Technical Degree"/>
    <n v="1"/>
    <n v="1374"/>
    <n v="1"/>
    <x v="0"/>
    <n v="92"/>
    <x v="1"/>
    <n v="1"/>
    <x v="1"/>
    <n v="3"/>
    <x v="2"/>
    <n v="2029"/>
    <n v="15891"/>
    <n v="1"/>
    <s v="Y"/>
    <s v="No"/>
    <n v="20"/>
    <x v="1"/>
    <n v="3"/>
    <n v="80"/>
    <n v="3"/>
    <n v="5"/>
    <n v="2"/>
    <n v="3"/>
    <n v="5"/>
    <n v="4"/>
    <n v="0"/>
    <n v="0"/>
  </r>
  <r>
    <n v="40"/>
    <x v="1"/>
    <x v="0"/>
    <n v="1202"/>
    <x v="1"/>
    <n v="2"/>
    <n v="1"/>
    <s v="Medical"/>
    <n v="1"/>
    <n v="1375"/>
    <n v="2"/>
    <x v="0"/>
    <n v="89"/>
    <x v="2"/>
    <n v="2"/>
    <x v="4"/>
    <n v="3"/>
    <x v="2"/>
    <n v="6377"/>
    <n v="13888"/>
    <n v="5"/>
    <s v="Y"/>
    <s v="No"/>
    <n v="20"/>
    <x v="1"/>
    <n v="2"/>
    <n v="80"/>
    <n v="3"/>
    <n v="15"/>
    <n v="0"/>
    <n v="3"/>
    <n v="12"/>
    <n v="11"/>
    <n v="11"/>
    <n v="8"/>
  </r>
  <r>
    <n v="34"/>
    <x v="1"/>
    <x v="0"/>
    <n v="285"/>
    <x v="1"/>
    <n v="29"/>
    <n v="3"/>
    <s v="Medical"/>
    <n v="1"/>
    <n v="1377"/>
    <n v="2"/>
    <x v="1"/>
    <n v="86"/>
    <x v="0"/>
    <n v="2"/>
    <x v="2"/>
    <n v="3"/>
    <x v="1"/>
    <n v="5429"/>
    <n v="17491"/>
    <n v="4"/>
    <s v="Y"/>
    <s v="No"/>
    <n v="13"/>
    <x v="0"/>
    <n v="1"/>
    <n v="80"/>
    <n v="2"/>
    <n v="10"/>
    <n v="1"/>
    <n v="3"/>
    <n v="8"/>
    <n v="7"/>
    <n v="7"/>
    <n v="7"/>
  </r>
  <r>
    <n v="31"/>
    <x v="0"/>
    <x v="1"/>
    <n v="703"/>
    <x v="0"/>
    <n v="2"/>
    <n v="3"/>
    <s v="Life Sciences"/>
    <n v="1"/>
    <n v="1379"/>
    <n v="3"/>
    <x v="0"/>
    <n v="90"/>
    <x v="1"/>
    <n v="1"/>
    <x v="6"/>
    <n v="4"/>
    <x v="0"/>
    <n v="2785"/>
    <n v="11882"/>
    <n v="7"/>
    <s v="Y"/>
    <s v="No"/>
    <n v="14"/>
    <x v="0"/>
    <n v="3"/>
    <n v="80"/>
    <n v="0"/>
    <n v="3"/>
    <n v="3"/>
    <n v="4"/>
    <n v="1"/>
    <n v="0"/>
    <n v="0"/>
    <n v="0"/>
  </r>
  <r>
    <n v="35"/>
    <x v="0"/>
    <x v="1"/>
    <n v="662"/>
    <x v="0"/>
    <n v="18"/>
    <n v="4"/>
    <s v="Marketing"/>
    <n v="1"/>
    <n v="1380"/>
    <n v="4"/>
    <x v="0"/>
    <n v="67"/>
    <x v="0"/>
    <n v="2"/>
    <x v="0"/>
    <n v="3"/>
    <x v="1"/>
    <n v="4614"/>
    <n v="23288"/>
    <n v="0"/>
    <s v="Y"/>
    <s v="Yes"/>
    <n v="18"/>
    <x v="0"/>
    <n v="3"/>
    <n v="80"/>
    <n v="1"/>
    <n v="5"/>
    <n v="0"/>
    <n v="2"/>
    <n v="4"/>
    <n v="2"/>
    <n v="3"/>
    <n v="2"/>
  </r>
  <r>
    <n v="38"/>
    <x v="1"/>
    <x v="1"/>
    <n v="693"/>
    <x v="1"/>
    <n v="7"/>
    <n v="3"/>
    <s v="Life Sciences"/>
    <n v="1"/>
    <n v="1382"/>
    <n v="4"/>
    <x v="1"/>
    <n v="57"/>
    <x v="2"/>
    <n v="1"/>
    <x v="1"/>
    <n v="3"/>
    <x v="2"/>
    <n v="2610"/>
    <n v="15748"/>
    <n v="1"/>
    <s v="Y"/>
    <s v="No"/>
    <n v="11"/>
    <x v="0"/>
    <n v="4"/>
    <n v="80"/>
    <n v="3"/>
    <n v="4"/>
    <n v="2"/>
    <n v="3"/>
    <n v="4"/>
    <n v="2"/>
    <n v="0"/>
    <n v="3"/>
  </r>
  <r>
    <n v="34"/>
    <x v="1"/>
    <x v="0"/>
    <n v="404"/>
    <x v="1"/>
    <n v="2"/>
    <n v="4"/>
    <s v="Technical Degree"/>
    <n v="1"/>
    <n v="1383"/>
    <n v="3"/>
    <x v="0"/>
    <n v="98"/>
    <x v="0"/>
    <n v="2"/>
    <x v="4"/>
    <n v="4"/>
    <x v="0"/>
    <n v="6687"/>
    <n v="6163"/>
    <n v="1"/>
    <s v="Y"/>
    <s v="No"/>
    <n v="11"/>
    <x v="0"/>
    <n v="4"/>
    <n v="80"/>
    <n v="0"/>
    <n v="14"/>
    <n v="2"/>
    <n v="4"/>
    <n v="14"/>
    <n v="11"/>
    <n v="4"/>
    <n v="11"/>
  </r>
  <r>
    <n v="28"/>
    <x v="1"/>
    <x v="0"/>
    <n v="736"/>
    <x v="0"/>
    <n v="26"/>
    <n v="3"/>
    <s v="Life Sciences"/>
    <n v="1"/>
    <n v="1387"/>
    <n v="3"/>
    <x v="1"/>
    <n v="48"/>
    <x v="1"/>
    <n v="2"/>
    <x v="0"/>
    <n v="1"/>
    <x v="1"/>
    <n v="4724"/>
    <n v="24232"/>
    <n v="1"/>
    <s v="Y"/>
    <s v="No"/>
    <n v="11"/>
    <x v="0"/>
    <n v="3"/>
    <n v="80"/>
    <n v="1"/>
    <n v="5"/>
    <n v="0"/>
    <n v="3"/>
    <n v="5"/>
    <n v="3"/>
    <n v="0"/>
    <n v="4"/>
  </r>
  <r>
    <n v="31"/>
    <x v="0"/>
    <x v="0"/>
    <n v="330"/>
    <x v="1"/>
    <n v="22"/>
    <n v="4"/>
    <s v="Medical"/>
    <n v="1"/>
    <n v="1389"/>
    <n v="4"/>
    <x v="1"/>
    <n v="98"/>
    <x v="0"/>
    <n v="2"/>
    <x v="3"/>
    <n v="3"/>
    <x v="1"/>
    <n v="6179"/>
    <n v="21057"/>
    <n v="1"/>
    <s v="Y"/>
    <s v="Yes"/>
    <n v="15"/>
    <x v="0"/>
    <n v="4"/>
    <n v="80"/>
    <n v="2"/>
    <n v="10"/>
    <n v="3"/>
    <n v="2"/>
    <n v="10"/>
    <n v="2"/>
    <n v="6"/>
    <n v="7"/>
  </r>
  <r>
    <n v="39"/>
    <x v="1"/>
    <x v="0"/>
    <n v="1498"/>
    <x v="0"/>
    <n v="21"/>
    <n v="4"/>
    <s v="Life Sciences"/>
    <n v="1"/>
    <n v="1390"/>
    <n v="1"/>
    <x v="1"/>
    <n v="44"/>
    <x v="1"/>
    <n v="2"/>
    <x v="0"/>
    <n v="4"/>
    <x v="1"/>
    <n v="6120"/>
    <n v="3567"/>
    <n v="3"/>
    <s v="Y"/>
    <s v="Yes"/>
    <n v="12"/>
    <x v="0"/>
    <n v="4"/>
    <n v="80"/>
    <n v="2"/>
    <n v="8"/>
    <n v="2"/>
    <n v="4"/>
    <n v="5"/>
    <n v="4"/>
    <n v="1"/>
    <n v="4"/>
  </r>
  <r>
    <n v="51"/>
    <x v="1"/>
    <x v="1"/>
    <n v="541"/>
    <x v="0"/>
    <n v="2"/>
    <n v="3"/>
    <s v="Marketing"/>
    <n v="1"/>
    <n v="1391"/>
    <n v="2"/>
    <x v="1"/>
    <n v="52"/>
    <x v="0"/>
    <n v="3"/>
    <x v="0"/>
    <n v="2"/>
    <x v="1"/>
    <n v="10596"/>
    <n v="15395"/>
    <n v="2"/>
    <s v="Y"/>
    <s v="No"/>
    <n v="11"/>
    <x v="0"/>
    <n v="2"/>
    <n v="80"/>
    <n v="0"/>
    <n v="14"/>
    <n v="5"/>
    <n v="3"/>
    <n v="4"/>
    <n v="2"/>
    <n v="3"/>
    <n v="2"/>
  </r>
  <r>
    <n v="41"/>
    <x v="1"/>
    <x v="1"/>
    <n v="1200"/>
    <x v="1"/>
    <n v="22"/>
    <n v="3"/>
    <s v="Life Sciences"/>
    <n v="1"/>
    <n v="1392"/>
    <n v="4"/>
    <x v="0"/>
    <n v="75"/>
    <x v="0"/>
    <n v="2"/>
    <x v="1"/>
    <n v="4"/>
    <x v="2"/>
    <n v="5467"/>
    <n v="13953"/>
    <n v="3"/>
    <s v="Y"/>
    <s v="Yes"/>
    <n v="14"/>
    <x v="0"/>
    <n v="1"/>
    <n v="80"/>
    <n v="2"/>
    <n v="12"/>
    <n v="4"/>
    <n v="2"/>
    <n v="6"/>
    <n v="2"/>
    <n v="3"/>
    <n v="3"/>
  </r>
  <r>
    <n v="37"/>
    <x v="1"/>
    <x v="0"/>
    <n v="1439"/>
    <x v="1"/>
    <n v="4"/>
    <n v="1"/>
    <s v="Life Sciences"/>
    <n v="1"/>
    <n v="1394"/>
    <n v="3"/>
    <x v="1"/>
    <n v="54"/>
    <x v="0"/>
    <n v="1"/>
    <x v="1"/>
    <n v="3"/>
    <x v="1"/>
    <n v="2996"/>
    <n v="5182"/>
    <n v="7"/>
    <s v="Y"/>
    <s v="Yes"/>
    <n v="15"/>
    <x v="0"/>
    <n v="4"/>
    <n v="80"/>
    <n v="0"/>
    <n v="8"/>
    <n v="2"/>
    <n v="3"/>
    <n v="6"/>
    <n v="4"/>
    <n v="1"/>
    <n v="3"/>
  </r>
  <r>
    <n v="33"/>
    <x v="1"/>
    <x v="1"/>
    <n v="1111"/>
    <x v="0"/>
    <n v="5"/>
    <n v="1"/>
    <s v="Life Sciences"/>
    <n v="1"/>
    <n v="1395"/>
    <n v="2"/>
    <x v="1"/>
    <n v="61"/>
    <x v="0"/>
    <n v="2"/>
    <x v="0"/>
    <n v="4"/>
    <x v="1"/>
    <n v="9998"/>
    <n v="19293"/>
    <n v="6"/>
    <s v="Y"/>
    <s v="No"/>
    <n v="13"/>
    <x v="0"/>
    <n v="1"/>
    <n v="80"/>
    <n v="0"/>
    <n v="8"/>
    <n v="2"/>
    <n v="4"/>
    <n v="5"/>
    <n v="4"/>
    <n v="1"/>
    <n v="2"/>
  </r>
  <r>
    <n v="32"/>
    <x v="1"/>
    <x v="0"/>
    <n v="499"/>
    <x v="0"/>
    <n v="2"/>
    <n v="1"/>
    <s v="Marketing"/>
    <n v="1"/>
    <n v="1396"/>
    <n v="3"/>
    <x v="1"/>
    <n v="36"/>
    <x v="0"/>
    <n v="2"/>
    <x v="0"/>
    <n v="2"/>
    <x v="1"/>
    <n v="4078"/>
    <n v="20497"/>
    <n v="0"/>
    <s v="Y"/>
    <s v="Yes"/>
    <n v="13"/>
    <x v="0"/>
    <n v="1"/>
    <n v="80"/>
    <n v="3"/>
    <n v="4"/>
    <n v="3"/>
    <n v="2"/>
    <n v="3"/>
    <n v="2"/>
    <n v="1"/>
    <n v="2"/>
  </r>
  <r>
    <n v="39"/>
    <x v="1"/>
    <x v="2"/>
    <n v="1485"/>
    <x v="1"/>
    <n v="25"/>
    <n v="2"/>
    <s v="Life Sciences"/>
    <n v="1"/>
    <n v="1397"/>
    <n v="3"/>
    <x v="1"/>
    <n v="71"/>
    <x v="0"/>
    <n v="3"/>
    <x v="4"/>
    <n v="3"/>
    <x v="1"/>
    <n v="10920"/>
    <n v="3449"/>
    <n v="3"/>
    <s v="Y"/>
    <s v="No"/>
    <n v="21"/>
    <x v="1"/>
    <n v="2"/>
    <n v="80"/>
    <n v="1"/>
    <n v="13"/>
    <n v="2"/>
    <n v="3"/>
    <n v="6"/>
    <n v="4"/>
    <n v="0"/>
    <n v="5"/>
  </r>
  <r>
    <n v="25"/>
    <x v="1"/>
    <x v="0"/>
    <n v="1372"/>
    <x v="0"/>
    <n v="18"/>
    <n v="1"/>
    <s v="Life Sciences"/>
    <n v="1"/>
    <n v="1399"/>
    <n v="1"/>
    <x v="1"/>
    <n v="93"/>
    <x v="2"/>
    <n v="2"/>
    <x v="0"/>
    <n v="3"/>
    <x v="1"/>
    <n v="6232"/>
    <n v="12477"/>
    <n v="2"/>
    <s v="Y"/>
    <s v="No"/>
    <n v="11"/>
    <x v="0"/>
    <n v="2"/>
    <n v="80"/>
    <n v="0"/>
    <n v="6"/>
    <n v="3"/>
    <n v="2"/>
    <n v="3"/>
    <n v="2"/>
    <n v="1"/>
    <n v="2"/>
  </r>
  <r>
    <n v="52"/>
    <x v="1"/>
    <x v="1"/>
    <n v="322"/>
    <x v="1"/>
    <n v="28"/>
    <n v="2"/>
    <s v="Medical"/>
    <n v="1"/>
    <n v="1401"/>
    <n v="4"/>
    <x v="0"/>
    <n v="59"/>
    <x v="2"/>
    <n v="4"/>
    <x v="3"/>
    <n v="3"/>
    <x v="1"/>
    <n v="13247"/>
    <n v="9731"/>
    <n v="2"/>
    <s v="Y"/>
    <s v="Yes"/>
    <n v="11"/>
    <x v="0"/>
    <n v="2"/>
    <n v="80"/>
    <n v="1"/>
    <n v="24"/>
    <n v="3"/>
    <n v="2"/>
    <n v="5"/>
    <n v="3"/>
    <n v="0"/>
    <n v="2"/>
  </r>
  <r>
    <n v="43"/>
    <x v="1"/>
    <x v="0"/>
    <n v="930"/>
    <x v="1"/>
    <n v="6"/>
    <n v="3"/>
    <s v="Medical"/>
    <n v="1"/>
    <n v="1402"/>
    <n v="1"/>
    <x v="0"/>
    <n v="73"/>
    <x v="1"/>
    <n v="2"/>
    <x v="1"/>
    <n v="3"/>
    <x v="0"/>
    <n v="4081"/>
    <n v="20003"/>
    <n v="1"/>
    <s v="Y"/>
    <s v="Yes"/>
    <n v="14"/>
    <x v="0"/>
    <n v="1"/>
    <n v="80"/>
    <n v="0"/>
    <n v="20"/>
    <n v="3"/>
    <n v="1"/>
    <n v="20"/>
    <n v="7"/>
    <n v="1"/>
    <n v="8"/>
  </r>
  <r>
    <n v="27"/>
    <x v="1"/>
    <x v="0"/>
    <n v="205"/>
    <x v="0"/>
    <n v="10"/>
    <n v="3"/>
    <s v="Marketing"/>
    <n v="1"/>
    <n v="1403"/>
    <n v="4"/>
    <x v="0"/>
    <n v="98"/>
    <x v="1"/>
    <n v="2"/>
    <x v="0"/>
    <n v="4"/>
    <x v="1"/>
    <n v="5769"/>
    <n v="7100"/>
    <n v="1"/>
    <s v="Y"/>
    <s v="Yes"/>
    <n v="11"/>
    <x v="0"/>
    <n v="4"/>
    <n v="80"/>
    <n v="0"/>
    <n v="6"/>
    <n v="3"/>
    <n v="3"/>
    <n v="6"/>
    <n v="2"/>
    <n v="4"/>
    <n v="4"/>
  </r>
  <r>
    <n v="27"/>
    <x v="0"/>
    <x v="0"/>
    <n v="135"/>
    <x v="1"/>
    <n v="17"/>
    <n v="4"/>
    <s v="Life Sciences"/>
    <n v="1"/>
    <n v="1405"/>
    <n v="4"/>
    <x v="0"/>
    <n v="51"/>
    <x v="0"/>
    <n v="1"/>
    <x v="1"/>
    <n v="3"/>
    <x v="0"/>
    <n v="2394"/>
    <n v="25681"/>
    <n v="1"/>
    <s v="Y"/>
    <s v="Yes"/>
    <n v="13"/>
    <x v="0"/>
    <n v="4"/>
    <n v="80"/>
    <n v="0"/>
    <n v="8"/>
    <n v="2"/>
    <n v="3"/>
    <n v="8"/>
    <n v="2"/>
    <n v="7"/>
    <n v="7"/>
  </r>
  <r>
    <n v="26"/>
    <x v="1"/>
    <x v="0"/>
    <n v="683"/>
    <x v="1"/>
    <n v="2"/>
    <n v="1"/>
    <s v="Medical"/>
    <n v="1"/>
    <n v="1407"/>
    <n v="1"/>
    <x v="1"/>
    <n v="36"/>
    <x v="1"/>
    <n v="1"/>
    <x v="1"/>
    <n v="4"/>
    <x v="0"/>
    <n v="3904"/>
    <n v="4050"/>
    <n v="0"/>
    <s v="Y"/>
    <s v="No"/>
    <n v="12"/>
    <x v="0"/>
    <n v="4"/>
    <n v="80"/>
    <n v="0"/>
    <n v="5"/>
    <n v="2"/>
    <n v="3"/>
    <n v="4"/>
    <n v="3"/>
    <n v="1"/>
    <n v="1"/>
  </r>
  <r>
    <n v="42"/>
    <x v="1"/>
    <x v="0"/>
    <n v="1147"/>
    <x v="2"/>
    <n v="10"/>
    <n v="3"/>
    <s v="Human Resources"/>
    <n v="1"/>
    <n v="1408"/>
    <n v="3"/>
    <x v="0"/>
    <n v="31"/>
    <x v="0"/>
    <n v="4"/>
    <x v="5"/>
    <n v="1"/>
    <x v="1"/>
    <n v="16799"/>
    <n v="16616"/>
    <n v="0"/>
    <s v="Y"/>
    <s v="No"/>
    <n v="14"/>
    <x v="0"/>
    <n v="3"/>
    <n v="80"/>
    <n v="1"/>
    <n v="21"/>
    <n v="5"/>
    <n v="3"/>
    <n v="20"/>
    <n v="7"/>
    <n v="0"/>
    <n v="9"/>
  </r>
  <r>
    <n v="52"/>
    <x v="1"/>
    <x v="0"/>
    <n v="258"/>
    <x v="1"/>
    <n v="8"/>
    <n v="4"/>
    <s v="Other"/>
    <n v="1"/>
    <n v="1409"/>
    <n v="3"/>
    <x v="0"/>
    <n v="54"/>
    <x v="0"/>
    <n v="1"/>
    <x v="2"/>
    <n v="1"/>
    <x v="1"/>
    <n v="2950"/>
    <n v="17363"/>
    <n v="9"/>
    <s v="Y"/>
    <s v="No"/>
    <n v="13"/>
    <x v="0"/>
    <n v="3"/>
    <n v="80"/>
    <n v="0"/>
    <n v="12"/>
    <n v="2"/>
    <n v="1"/>
    <n v="5"/>
    <n v="4"/>
    <n v="0"/>
    <n v="4"/>
  </r>
  <r>
    <n v="37"/>
    <x v="1"/>
    <x v="0"/>
    <n v="1462"/>
    <x v="1"/>
    <n v="11"/>
    <n v="3"/>
    <s v="Medical"/>
    <n v="1"/>
    <n v="1411"/>
    <n v="1"/>
    <x v="0"/>
    <n v="94"/>
    <x v="0"/>
    <n v="1"/>
    <x v="2"/>
    <n v="3"/>
    <x v="0"/>
    <n v="3629"/>
    <n v="19106"/>
    <n v="4"/>
    <s v="Y"/>
    <s v="No"/>
    <n v="18"/>
    <x v="0"/>
    <n v="1"/>
    <n v="80"/>
    <n v="0"/>
    <n v="8"/>
    <n v="6"/>
    <n v="3"/>
    <n v="3"/>
    <n v="2"/>
    <n v="0"/>
    <n v="2"/>
  </r>
  <r>
    <n v="35"/>
    <x v="1"/>
    <x v="1"/>
    <n v="200"/>
    <x v="1"/>
    <n v="18"/>
    <n v="2"/>
    <s v="Life Sciences"/>
    <n v="1"/>
    <n v="1412"/>
    <n v="3"/>
    <x v="1"/>
    <n v="60"/>
    <x v="0"/>
    <n v="3"/>
    <x v="3"/>
    <n v="4"/>
    <x v="0"/>
    <n v="9362"/>
    <n v="19944"/>
    <n v="2"/>
    <s v="Y"/>
    <s v="No"/>
    <n v="11"/>
    <x v="0"/>
    <n v="3"/>
    <n v="80"/>
    <n v="0"/>
    <n v="10"/>
    <n v="2"/>
    <n v="3"/>
    <n v="2"/>
    <n v="2"/>
    <n v="2"/>
    <n v="2"/>
  </r>
  <r>
    <n v="25"/>
    <x v="1"/>
    <x v="0"/>
    <n v="949"/>
    <x v="1"/>
    <n v="1"/>
    <n v="3"/>
    <s v="Technical Degree"/>
    <n v="1"/>
    <n v="1415"/>
    <n v="1"/>
    <x v="1"/>
    <n v="81"/>
    <x v="0"/>
    <n v="1"/>
    <x v="2"/>
    <n v="4"/>
    <x v="1"/>
    <n v="3229"/>
    <n v="4910"/>
    <n v="4"/>
    <s v="Y"/>
    <s v="No"/>
    <n v="11"/>
    <x v="0"/>
    <n v="2"/>
    <n v="80"/>
    <n v="1"/>
    <n v="7"/>
    <n v="2"/>
    <n v="2"/>
    <n v="3"/>
    <n v="2"/>
    <n v="0"/>
    <n v="2"/>
  </r>
  <r>
    <n v="26"/>
    <x v="1"/>
    <x v="0"/>
    <n v="652"/>
    <x v="1"/>
    <n v="7"/>
    <n v="3"/>
    <s v="Other"/>
    <n v="1"/>
    <n v="1417"/>
    <n v="3"/>
    <x v="1"/>
    <n v="100"/>
    <x v="2"/>
    <n v="1"/>
    <x v="2"/>
    <n v="1"/>
    <x v="0"/>
    <n v="3578"/>
    <n v="23577"/>
    <n v="0"/>
    <s v="Y"/>
    <s v="No"/>
    <n v="12"/>
    <x v="0"/>
    <n v="4"/>
    <n v="80"/>
    <n v="0"/>
    <n v="8"/>
    <n v="2"/>
    <n v="3"/>
    <n v="7"/>
    <n v="7"/>
    <n v="0"/>
    <n v="7"/>
  </r>
  <r>
    <n v="29"/>
    <x v="1"/>
    <x v="0"/>
    <n v="332"/>
    <x v="2"/>
    <n v="17"/>
    <n v="3"/>
    <s v="Other"/>
    <n v="1"/>
    <n v="1419"/>
    <n v="2"/>
    <x v="1"/>
    <n v="51"/>
    <x v="1"/>
    <n v="3"/>
    <x v="8"/>
    <n v="1"/>
    <x v="0"/>
    <n v="7988"/>
    <n v="9769"/>
    <n v="1"/>
    <s v="Y"/>
    <s v="No"/>
    <n v="13"/>
    <x v="0"/>
    <n v="1"/>
    <n v="80"/>
    <n v="0"/>
    <n v="10"/>
    <n v="3"/>
    <n v="2"/>
    <n v="10"/>
    <n v="9"/>
    <n v="0"/>
    <n v="9"/>
  </r>
  <r>
    <n v="49"/>
    <x v="0"/>
    <x v="1"/>
    <n v="1475"/>
    <x v="1"/>
    <n v="28"/>
    <n v="2"/>
    <s v="Life Sciences"/>
    <n v="1"/>
    <n v="1420"/>
    <n v="1"/>
    <x v="1"/>
    <n v="97"/>
    <x v="1"/>
    <n v="2"/>
    <x v="2"/>
    <n v="1"/>
    <x v="0"/>
    <n v="4284"/>
    <n v="22710"/>
    <n v="3"/>
    <s v="Y"/>
    <s v="No"/>
    <n v="20"/>
    <x v="1"/>
    <n v="1"/>
    <n v="80"/>
    <n v="0"/>
    <n v="20"/>
    <n v="2"/>
    <n v="3"/>
    <n v="4"/>
    <n v="3"/>
    <n v="1"/>
    <n v="3"/>
  </r>
  <r>
    <n v="29"/>
    <x v="0"/>
    <x v="1"/>
    <n v="337"/>
    <x v="1"/>
    <n v="14"/>
    <n v="1"/>
    <s v="Other"/>
    <n v="1"/>
    <n v="1421"/>
    <n v="3"/>
    <x v="0"/>
    <n v="84"/>
    <x v="0"/>
    <n v="3"/>
    <x v="4"/>
    <n v="4"/>
    <x v="0"/>
    <n v="7553"/>
    <n v="22930"/>
    <n v="0"/>
    <s v="Y"/>
    <s v="Yes"/>
    <n v="12"/>
    <x v="0"/>
    <n v="1"/>
    <n v="80"/>
    <n v="0"/>
    <n v="9"/>
    <n v="1"/>
    <n v="3"/>
    <n v="8"/>
    <n v="7"/>
    <n v="7"/>
    <n v="7"/>
  </r>
  <r>
    <n v="54"/>
    <x v="1"/>
    <x v="0"/>
    <n v="971"/>
    <x v="1"/>
    <n v="1"/>
    <n v="3"/>
    <s v="Medical"/>
    <n v="1"/>
    <n v="1422"/>
    <n v="4"/>
    <x v="0"/>
    <n v="54"/>
    <x v="0"/>
    <n v="4"/>
    <x v="7"/>
    <n v="4"/>
    <x v="0"/>
    <n v="17328"/>
    <n v="5652"/>
    <n v="6"/>
    <s v="Y"/>
    <s v="No"/>
    <n v="19"/>
    <x v="0"/>
    <n v="4"/>
    <n v="80"/>
    <n v="0"/>
    <n v="29"/>
    <n v="3"/>
    <n v="2"/>
    <n v="20"/>
    <n v="7"/>
    <n v="12"/>
    <n v="7"/>
  </r>
  <r>
    <n v="58"/>
    <x v="1"/>
    <x v="0"/>
    <n v="1055"/>
    <x v="1"/>
    <n v="1"/>
    <n v="3"/>
    <s v="Medical"/>
    <n v="1"/>
    <n v="1423"/>
    <n v="4"/>
    <x v="0"/>
    <n v="76"/>
    <x v="0"/>
    <n v="5"/>
    <x v="7"/>
    <n v="1"/>
    <x v="1"/>
    <n v="19701"/>
    <n v="22456"/>
    <n v="3"/>
    <s v="Y"/>
    <s v="Yes"/>
    <n v="21"/>
    <x v="1"/>
    <n v="3"/>
    <n v="80"/>
    <n v="1"/>
    <n v="32"/>
    <n v="3"/>
    <n v="3"/>
    <n v="9"/>
    <n v="8"/>
    <n v="1"/>
    <n v="5"/>
  </r>
  <r>
    <n v="55"/>
    <x v="1"/>
    <x v="0"/>
    <n v="1136"/>
    <x v="1"/>
    <n v="1"/>
    <n v="4"/>
    <s v="Medical"/>
    <n v="1"/>
    <n v="1424"/>
    <n v="2"/>
    <x v="1"/>
    <n v="81"/>
    <x v="2"/>
    <n v="4"/>
    <x v="7"/>
    <n v="4"/>
    <x v="2"/>
    <n v="14732"/>
    <n v="12414"/>
    <n v="2"/>
    <s v="Y"/>
    <s v="No"/>
    <n v="13"/>
    <x v="0"/>
    <n v="4"/>
    <n v="80"/>
    <n v="2"/>
    <n v="31"/>
    <n v="4"/>
    <n v="4"/>
    <n v="7"/>
    <n v="7"/>
    <n v="0"/>
    <n v="0"/>
  </r>
  <r>
    <n v="36"/>
    <x v="1"/>
    <x v="0"/>
    <n v="1174"/>
    <x v="0"/>
    <n v="3"/>
    <n v="4"/>
    <s v="Marketing"/>
    <n v="1"/>
    <n v="1425"/>
    <n v="1"/>
    <x v="0"/>
    <n v="99"/>
    <x v="0"/>
    <n v="2"/>
    <x v="0"/>
    <n v="2"/>
    <x v="0"/>
    <n v="9278"/>
    <n v="20763"/>
    <n v="3"/>
    <s v="Y"/>
    <s v="Yes"/>
    <n v="16"/>
    <x v="0"/>
    <n v="4"/>
    <n v="80"/>
    <n v="0"/>
    <n v="15"/>
    <n v="3"/>
    <n v="3"/>
    <n v="5"/>
    <n v="4"/>
    <n v="0"/>
    <n v="1"/>
  </r>
  <r>
    <n v="31"/>
    <x v="0"/>
    <x v="1"/>
    <n v="667"/>
    <x v="0"/>
    <n v="1"/>
    <n v="4"/>
    <s v="Life Sciences"/>
    <n v="1"/>
    <n v="1427"/>
    <n v="2"/>
    <x v="0"/>
    <n v="50"/>
    <x v="3"/>
    <n v="1"/>
    <x v="6"/>
    <n v="3"/>
    <x v="0"/>
    <n v="1359"/>
    <n v="16154"/>
    <n v="1"/>
    <s v="Y"/>
    <s v="No"/>
    <n v="12"/>
    <x v="0"/>
    <n v="2"/>
    <n v="80"/>
    <n v="0"/>
    <n v="1"/>
    <n v="3"/>
    <n v="3"/>
    <n v="1"/>
    <n v="0"/>
    <n v="0"/>
    <n v="0"/>
  </r>
  <r>
    <n v="30"/>
    <x v="1"/>
    <x v="0"/>
    <n v="855"/>
    <x v="0"/>
    <n v="7"/>
    <n v="4"/>
    <s v="Marketing"/>
    <n v="1"/>
    <n v="1428"/>
    <n v="4"/>
    <x v="0"/>
    <n v="73"/>
    <x v="0"/>
    <n v="2"/>
    <x v="0"/>
    <n v="1"/>
    <x v="2"/>
    <n v="4779"/>
    <n v="12761"/>
    <n v="7"/>
    <s v="Y"/>
    <s v="No"/>
    <n v="14"/>
    <x v="0"/>
    <n v="2"/>
    <n v="80"/>
    <n v="2"/>
    <n v="8"/>
    <n v="3"/>
    <n v="3"/>
    <n v="3"/>
    <n v="2"/>
    <n v="0"/>
    <n v="2"/>
  </r>
  <r>
    <n v="31"/>
    <x v="1"/>
    <x v="0"/>
    <n v="182"/>
    <x v="1"/>
    <n v="8"/>
    <n v="5"/>
    <s v="Life Sciences"/>
    <n v="1"/>
    <n v="1430"/>
    <n v="1"/>
    <x v="0"/>
    <n v="93"/>
    <x v="0"/>
    <n v="4"/>
    <x v="7"/>
    <n v="2"/>
    <x v="0"/>
    <n v="16422"/>
    <n v="8847"/>
    <n v="3"/>
    <s v="Y"/>
    <s v="No"/>
    <n v="11"/>
    <x v="0"/>
    <n v="3"/>
    <n v="80"/>
    <n v="0"/>
    <n v="9"/>
    <n v="3"/>
    <n v="4"/>
    <n v="3"/>
    <n v="2"/>
    <n v="1"/>
    <n v="0"/>
  </r>
  <r>
    <n v="34"/>
    <x v="1"/>
    <x v="1"/>
    <n v="560"/>
    <x v="1"/>
    <n v="1"/>
    <n v="4"/>
    <s v="Other"/>
    <n v="1"/>
    <n v="1431"/>
    <n v="4"/>
    <x v="1"/>
    <n v="91"/>
    <x v="0"/>
    <n v="1"/>
    <x v="1"/>
    <n v="1"/>
    <x v="2"/>
    <n v="2996"/>
    <n v="20284"/>
    <n v="5"/>
    <s v="Y"/>
    <s v="No"/>
    <n v="14"/>
    <x v="0"/>
    <n v="3"/>
    <n v="80"/>
    <n v="2"/>
    <n v="10"/>
    <n v="2"/>
    <n v="3"/>
    <n v="4"/>
    <n v="3"/>
    <n v="1"/>
    <n v="3"/>
  </r>
  <r>
    <n v="31"/>
    <x v="0"/>
    <x v="0"/>
    <n v="202"/>
    <x v="1"/>
    <n v="8"/>
    <n v="3"/>
    <s v="Life Sciences"/>
    <n v="1"/>
    <n v="1433"/>
    <n v="1"/>
    <x v="0"/>
    <n v="34"/>
    <x v="1"/>
    <n v="1"/>
    <x v="1"/>
    <n v="2"/>
    <x v="0"/>
    <n v="1261"/>
    <n v="22262"/>
    <n v="1"/>
    <s v="Y"/>
    <s v="No"/>
    <n v="12"/>
    <x v="0"/>
    <n v="3"/>
    <n v="80"/>
    <n v="0"/>
    <n v="1"/>
    <n v="3"/>
    <n v="4"/>
    <n v="1"/>
    <n v="0"/>
    <n v="0"/>
    <n v="0"/>
  </r>
  <r>
    <n v="27"/>
    <x v="1"/>
    <x v="0"/>
    <n v="1377"/>
    <x v="1"/>
    <n v="11"/>
    <n v="1"/>
    <s v="Life Sciences"/>
    <n v="1"/>
    <n v="1434"/>
    <n v="2"/>
    <x v="1"/>
    <n v="91"/>
    <x v="0"/>
    <n v="1"/>
    <x v="2"/>
    <n v="1"/>
    <x v="1"/>
    <n v="2099"/>
    <n v="7679"/>
    <n v="0"/>
    <s v="Y"/>
    <s v="No"/>
    <n v="14"/>
    <x v="0"/>
    <n v="2"/>
    <n v="80"/>
    <n v="0"/>
    <n v="6"/>
    <n v="3"/>
    <n v="4"/>
    <n v="5"/>
    <n v="0"/>
    <n v="1"/>
    <n v="4"/>
  </r>
  <r>
    <n v="36"/>
    <x v="1"/>
    <x v="0"/>
    <n v="172"/>
    <x v="1"/>
    <n v="4"/>
    <n v="4"/>
    <s v="Life Sciences"/>
    <n v="1"/>
    <n v="1435"/>
    <n v="1"/>
    <x v="1"/>
    <n v="37"/>
    <x v="1"/>
    <n v="2"/>
    <x v="2"/>
    <n v="4"/>
    <x v="0"/>
    <n v="5810"/>
    <n v="22604"/>
    <n v="1"/>
    <s v="Y"/>
    <s v="No"/>
    <n v="16"/>
    <x v="0"/>
    <n v="3"/>
    <n v="80"/>
    <n v="0"/>
    <n v="10"/>
    <n v="2"/>
    <n v="2"/>
    <n v="10"/>
    <n v="4"/>
    <n v="1"/>
    <n v="8"/>
  </r>
  <r>
    <n v="36"/>
    <x v="1"/>
    <x v="0"/>
    <n v="329"/>
    <x v="0"/>
    <n v="16"/>
    <n v="4"/>
    <s v="Marketing"/>
    <n v="1"/>
    <n v="1436"/>
    <n v="3"/>
    <x v="0"/>
    <n v="98"/>
    <x v="1"/>
    <n v="2"/>
    <x v="0"/>
    <n v="1"/>
    <x v="1"/>
    <n v="5647"/>
    <n v="13494"/>
    <n v="4"/>
    <s v="Y"/>
    <s v="No"/>
    <n v="13"/>
    <x v="0"/>
    <n v="1"/>
    <n v="80"/>
    <n v="2"/>
    <n v="11"/>
    <n v="3"/>
    <n v="2"/>
    <n v="3"/>
    <n v="2"/>
    <n v="0"/>
    <n v="2"/>
  </r>
  <r>
    <n v="47"/>
    <x v="1"/>
    <x v="0"/>
    <n v="465"/>
    <x v="1"/>
    <n v="1"/>
    <n v="3"/>
    <s v="Technical Degree"/>
    <n v="1"/>
    <n v="1438"/>
    <n v="1"/>
    <x v="1"/>
    <n v="74"/>
    <x v="0"/>
    <n v="1"/>
    <x v="1"/>
    <n v="4"/>
    <x v="1"/>
    <n v="3420"/>
    <n v="10205"/>
    <n v="7"/>
    <s v="Y"/>
    <s v="No"/>
    <n v="12"/>
    <x v="0"/>
    <n v="3"/>
    <n v="80"/>
    <n v="1"/>
    <n v="17"/>
    <n v="2"/>
    <n v="2"/>
    <n v="6"/>
    <n v="5"/>
    <n v="1"/>
    <n v="2"/>
  </r>
  <r>
    <n v="25"/>
    <x v="0"/>
    <x v="0"/>
    <n v="383"/>
    <x v="0"/>
    <n v="9"/>
    <n v="2"/>
    <s v="Life Sciences"/>
    <n v="1"/>
    <n v="1439"/>
    <n v="1"/>
    <x v="1"/>
    <n v="68"/>
    <x v="1"/>
    <n v="1"/>
    <x v="6"/>
    <n v="1"/>
    <x v="1"/>
    <n v="4400"/>
    <n v="15182"/>
    <n v="3"/>
    <s v="Y"/>
    <s v="No"/>
    <n v="12"/>
    <x v="0"/>
    <n v="1"/>
    <n v="80"/>
    <n v="0"/>
    <n v="6"/>
    <n v="2"/>
    <n v="3"/>
    <n v="3"/>
    <n v="2"/>
    <n v="2"/>
    <n v="2"/>
  </r>
  <r>
    <n v="37"/>
    <x v="1"/>
    <x v="2"/>
    <n v="1413"/>
    <x v="1"/>
    <n v="5"/>
    <n v="2"/>
    <s v="Technical Degree"/>
    <n v="1"/>
    <n v="1440"/>
    <n v="3"/>
    <x v="1"/>
    <n v="84"/>
    <x v="2"/>
    <n v="1"/>
    <x v="2"/>
    <n v="3"/>
    <x v="0"/>
    <n v="3500"/>
    <n v="25470"/>
    <n v="0"/>
    <s v="Y"/>
    <s v="No"/>
    <n v="14"/>
    <x v="0"/>
    <n v="1"/>
    <n v="80"/>
    <n v="0"/>
    <n v="7"/>
    <n v="2"/>
    <n v="1"/>
    <n v="6"/>
    <n v="5"/>
    <n v="1"/>
    <n v="3"/>
  </r>
  <r>
    <n v="56"/>
    <x v="1"/>
    <x v="0"/>
    <n v="1255"/>
    <x v="1"/>
    <n v="1"/>
    <n v="2"/>
    <s v="Life Sciences"/>
    <n v="1"/>
    <n v="1441"/>
    <n v="1"/>
    <x v="0"/>
    <n v="90"/>
    <x v="0"/>
    <n v="1"/>
    <x v="1"/>
    <n v="1"/>
    <x v="1"/>
    <n v="2066"/>
    <n v="10494"/>
    <n v="2"/>
    <s v="Y"/>
    <s v="No"/>
    <n v="22"/>
    <x v="1"/>
    <n v="4"/>
    <n v="80"/>
    <n v="1"/>
    <n v="5"/>
    <n v="3"/>
    <n v="4"/>
    <n v="3"/>
    <n v="2"/>
    <n v="1"/>
    <n v="0"/>
  </r>
  <r>
    <n v="47"/>
    <x v="1"/>
    <x v="0"/>
    <n v="359"/>
    <x v="1"/>
    <n v="2"/>
    <n v="4"/>
    <s v="Medical"/>
    <n v="1"/>
    <n v="1443"/>
    <n v="1"/>
    <x v="0"/>
    <n v="82"/>
    <x v="0"/>
    <n v="4"/>
    <x v="7"/>
    <n v="3"/>
    <x v="1"/>
    <n v="17169"/>
    <n v="26703"/>
    <n v="3"/>
    <s v="Y"/>
    <s v="No"/>
    <n v="19"/>
    <x v="0"/>
    <n v="2"/>
    <n v="80"/>
    <n v="2"/>
    <n v="26"/>
    <n v="2"/>
    <n v="4"/>
    <n v="20"/>
    <n v="17"/>
    <n v="5"/>
    <n v="6"/>
  </r>
  <r>
    <n v="24"/>
    <x v="1"/>
    <x v="0"/>
    <n v="1476"/>
    <x v="0"/>
    <n v="4"/>
    <n v="1"/>
    <s v="Medical"/>
    <n v="1"/>
    <n v="1445"/>
    <n v="4"/>
    <x v="0"/>
    <n v="42"/>
    <x v="0"/>
    <n v="2"/>
    <x v="0"/>
    <n v="3"/>
    <x v="1"/>
    <n v="4162"/>
    <n v="15211"/>
    <n v="1"/>
    <s v="Y"/>
    <s v="Yes"/>
    <n v="12"/>
    <x v="0"/>
    <n v="3"/>
    <n v="80"/>
    <n v="2"/>
    <n v="5"/>
    <n v="3"/>
    <n v="3"/>
    <n v="5"/>
    <n v="4"/>
    <n v="0"/>
    <n v="3"/>
  </r>
  <r>
    <n v="32"/>
    <x v="1"/>
    <x v="0"/>
    <n v="601"/>
    <x v="0"/>
    <n v="7"/>
    <n v="5"/>
    <s v="Marketing"/>
    <n v="1"/>
    <n v="1446"/>
    <n v="4"/>
    <x v="1"/>
    <n v="97"/>
    <x v="0"/>
    <n v="2"/>
    <x v="0"/>
    <n v="4"/>
    <x v="1"/>
    <n v="9204"/>
    <n v="23343"/>
    <n v="4"/>
    <s v="Y"/>
    <s v="No"/>
    <n v="12"/>
    <x v="0"/>
    <n v="3"/>
    <n v="80"/>
    <n v="1"/>
    <n v="7"/>
    <n v="3"/>
    <n v="2"/>
    <n v="4"/>
    <n v="3"/>
    <n v="0"/>
    <n v="3"/>
  </r>
  <r>
    <n v="34"/>
    <x v="1"/>
    <x v="0"/>
    <n v="401"/>
    <x v="1"/>
    <n v="1"/>
    <n v="3"/>
    <s v="Life Sciences"/>
    <n v="1"/>
    <n v="1447"/>
    <n v="4"/>
    <x v="0"/>
    <n v="86"/>
    <x v="1"/>
    <n v="1"/>
    <x v="2"/>
    <n v="2"/>
    <x v="1"/>
    <n v="3294"/>
    <n v="3708"/>
    <n v="5"/>
    <s v="Y"/>
    <s v="No"/>
    <n v="17"/>
    <x v="0"/>
    <n v="1"/>
    <n v="80"/>
    <n v="1"/>
    <n v="7"/>
    <n v="2"/>
    <n v="2"/>
    <n v="5"/>
    <n v="4"/>
    <n v="0"/>
    <n v="2"/>
  </r>
  <r>
    <n v="41"/>
    <x v="1"/>
    <x v="0"/>
    <n v="1283"/>
    <x v="1"/>
    <n v="5"/>
    <n v="5"/>
    <s v="Medical"/>
    <n v="1"/>
    <n v="1448"/>
    <n v="2"/>
    <x v="1"/>
    <n v="90"/>
    <x v="2"/>
    <n v="1"/>
    <x v="1"/>
    <n v="3"/>
    <x v="1"/>
    <n v="2127"/>
    <n v="5561"/>
    <n v="2"/>
    <s v="Y"/>
    <s v="Yes"/>
    <n v="12"/>
    <x v="0"/>
    <n v="1"/>
    <n v="80"/>
    <n v="0"/>
    <n v="7"/>
    <n v="5"/>
    <n v="2"/>
    <n v="4"/>
    <n v="2"/>
    <n v="0"/>
    <n v="3"/>
  </r>
  <r>
    <n v="40"/>
    <x v="1"/>
    <x v="2"/>
    <n v="663"/>
    <x v="1"/>
    <n v="9"/>
    <n v="4"/>
    <s v="Other"/>
    <n v="1"/>
    <n v="1449"/>
    <n v="3"/>
    <x v="1"/>
    <n v="81"/>
    <x v="0"/>
    <n v="2"/>
    <x v="2"/>
    <n v="3"/>
    <x v="2"/>
    <n v="3975"/>
    <n v="23099"/>
    <n v="3"/>
    <s v="Y"/>
    <s v="No"/>
    <n v="11"/>
    <x v="0"/>
    <n v="3"/>
    <n v="80"/>
    <n v="2"/>
    <n v="11"/>
    <n v="2"/>
    <n v="4"/>
    <n v="8"/>
    <n v="7"/>
    <n v="0"/>
    <n v="7"/>
  </r>
  <r>
    <n v="31"/>
    <x v="1"/>
    <x v="0"/>
    <n v="326"/>
    <x v="0"/>
    <n v="8"/>
    <n v="2"/>
    <s v="Life Sciences"/>
    <n v="1"/>
    <n v="1453"/>
    <n v="1"/>
    <x v="1"/>
    <n v="31"/>
    <x v="0"/>
    <n v="3"/>
    <x v="0"/>
    <n v="4"/>
    <x v="2"/>
    <n v="10793"/>
    <n v="8386"/>
    <n v="1"/>
    <s v="Y"/>
    <s v="No"/>
    <n v="18"/>
    <x v="0"/>
    <n v="1"/>
    <n v="80"/>
    <n v="1"/>
    <n v="13"/>
    <n v="5"/>
    <n v="3"/>
    <n v="13"/>
    <n v="7"/>
    <n v="9"/>
    <n v="9"/>
  </r>
  <r>
    <n v="46"/>
    <x v="0"/>
    <x v="0"/>
    <n v="377"/>
    <x v="0"/>
    <n v="9"/>
    <n v="3"/>
    <s v="Marketing"/>
    <n v="1"/>
    <n v="1457"/>
    <n v="1"/>
    <x v="1"/>
    <n v="52"/>
    <x v="0"/>
    <n v="3"/>
    <x v="0"/>
    <n v="4"/>
    <x v="2"/>
    <n v="10096"/>
    <n v="15986"/>
    <n v="4"/>
    <s v="Y"/>
    <s v="No"/>
    <n v="11"/>
    <x v="0"/>
    <n v="1"/>
    <n v="80"/>
    <n v="1"/>
    <n v="28"/>
    <n v="1"/>
    <n v="4"/>
    <n v="7"/>
    <n v="7"/>
    <n v="4"/>
    <n v="3"/>
  </r>
  <r>
    <n v="39"/>
    <x v="0"/>
    <x v="2"/>
    <n v="592"/>
    <x v="1"/>
    <n v="2"/>
    <n v="3"/>
    <s v="Life Sciences"/>
    <n v="1"/>
    <n v="1458"/>
    <n v="1"/>
    <x v="0"/>
    <n v="54"/>
    <x v="1"/>
    <n v="1"/>
    <x v="2"/>
    <n v="1"/>
    <x v="0"/>
    <n v="3646"/>
    <n v="17181"/>
    <n v="2"/>
    <s v="Y"/>
    <s v="Yes"/>
    <n v="23"/>
    <x v="1"/>
    <n v="2"/>
    <n v="80"/>
    <n v="0"/>
    <n v="11"/>
    <n v="2"/>
    <n v="4"/>
    <n v="1"/>
    <n v="0"/>
    <n v="0"/>
    <n v="0"/>
  </r>
  <r>
    <n v="31"/>
    <x v="0"/>
    <x v="1"/>
    <n v="1445"/>
    <x v="1"/>
    <n v="1"/>
    <n v="5"/>
    <s v="Life Sciences"/>
    <n v="1"/>
    <n v="1459"/>
    <n v="3"/>
    <x v="0"/>
    <n v="100"/>
    <x v="2"/>
    <n v="3"/>
    <x v="3"/>
    <n v="2"/>
    <x v="0"/>
    <n v="7446"/>
    <n v="8931"/>
    <n v="1"/>
    <s v="Y"/>
    <s v="No"/>
    <n v="11"/>
    <x v="0"/>
    <n v="1"/>
    <n v="80"/>
    <n v="0"/>
    <n v="10"/>
    <n v="2"/>
    <n v="3"/>
    <n v="10"/>
    <n v="8"/>
    <n v="4"/>
    <n v="7"/>
  </r>
  <r>
    <n v="45"/>
    <x v="1"/>
    <x v="0"/>
    <n v="1038"/>
    <x v="1"/>
    <n v="20"/>
    <n v="3"/>
    <s v="Medical"/>
    <n v="1"/>
    <n v="1460"/>
    <n v="2"/>
    <x v="1"/>
    <n v="95"/>
    <x v="3"/>
    <n v="3"/>
    <x v="4"/>
    <n v="1"/>
    <x v="2"/>
    <n v="10851"/>
    <n v="19863"/>
    <n v="2"/>
    <s v="Y"/>
    <s v="Yes"/>
    <n v="18"/>
    <x v="0"/>
    <n v="2"/>
    <n v="80"/>
    <n v="1"/>
    <n v="24"/>
    <n v="2"/>
    <n v="3"/>
    <n v="7"/>
    <n v="7"/>
    <n v="0"/>
    <n v="7"/>
  </r>
  <r>
    <n v="31"/>
    <x v="1"/>
    <x v="0"/>
    <n v="1398"/>
    <x v="2"/>
    <n v="8"/>
    <n v="2"/>
    <s v="Medical"/>
    <n v="1"/>
    <n v="1461"/>
    <n v="4"/>
    <x v="0"/>
    <n v="96"/>
    <x v="2"/>
    <n v="1"/>
    <x v="8"/>
    <n v="2"/>
    <x v="0"/>
    <n v="2109"/>
    <n v="24609"/>
    <n v="9"/>
    <s v="Y"/>
    <s v="No"/>
    <n v="18"/>
    <x v="0"/>
    <n v="4"/>
    <n v="80"/>
    <n v="0"/>
    <n v="8"/>
    <n v="3"/>
    <n v="3"/>
    <n v="3"/>
    <n v="2"/>
    <n v="0"/>
    <n v="2"/>
  </r>
  <r>
    <n v="31"/>
    <x v="0"/>
    <x v="1"/>
    <n v="523"/>
    <x v="1"/>
    <n v="2"/>
    <n v="3"/>
    <s v="Life Sciences"/>
    <n v="1"/>
    <n v="1464"/>
    <n v="2"/>
    <x v="1"/>
    <n v="94"/>
    <x v="0"/>
    <n v="1"/>
    <x v="2"/>
    <n v="4"/>
    <x v="1"/>
    <n v="3722"/>
    <n v="21081"/>
    <n v="6"/>
    <s v="Y"/>
    <s v="Yes"/>
    <n v="13"/>
    <x v="0"/>
    <n v="3"/>
    <n v="80"/>
    <n v="1"/>
    <n v="7"/>
    <n v="2"/>
    <n v="1"/>
    <n v="2"/>
    <n v="2"/>
    <n v="2"/>
    <n v="2"/>
  </r>
  <r>
    <n v="45"/>
    <x v="1"/>
    <x v="0"/>
    <n v="1448"/>
    <x v="1"/>
    <n v="29"/>
    <n v="3"/>
    <s v="Technical Degree"/>
    <n v="1"/>
    <n v="1465"/>
    <n v="2"/>
    <x v="1"/>
    <n v="55"/>
    <x v="0"/>
    <n v="3"/>
    <x v="3"/>
    <n v="4"/>
    <x v="1"/>
    <n v="9380"/>
    <n v="14720"/>
    <n v="4"/>
    <s v="Y"/>
    <s v="Yes"/>
    <n v="18"/>
    <x v="0"/>
    <n v="4"/>
    <n v="80"/>
    <n v="2"/>
    <n v="10"/>
    <n v="4"/>
    <n v="4"/>
    <n v="3"/>
    <n v="1"/>
    <n v="1"/>
    <n v="2"/>
  </r>
  <r>
    <n v="48"/>
    <x v="1"/>
    <x v="0"/>
    <n v="1221"/>
    <x v="0"/>
    <n v="7"/>
    <n v="3"/>
    <s v="Marketing"/>
    <n v="1"/>
    <n v="1466"/>
    <n v="3"/>
    <x v="1"/>
    <n v="96"/>
    <x v="0"/>
    <n v="2"/>
    <x v="0"/>
    <n v="1"/>
    <x v="2"/>
    <n v="5486"/>
    <n v="24795"/>
    <n v="4"/>
    <s v="Y"/>
    <s v="No"/>
    <n v="11"/>
    <x v="0"/>
    <n v="1"/>
    <n v="80"/>
    <n v="3"/>
    <n v="15"/>
    <n v="3"/>
    <n v="3"/>
    <n v="2"/>
    <n v="2"/>
    <n v="2"/>
    <n v="2"/>
  </r>
  <r>
    <n v="34"/>
    <x v="0"/>
    <x v="0"/>
    <n v="1107"/>
    <x v="2"/>
    <n v="9"/>
    <n v="4"/>
    <s v="Technical Degree"/>
    <n v="1"/>
    <n v="1467"/>
    <n v="1"/>
    <x v="0"/>
    <n v="52"/>
    <x v="0"/>
    <n v="1"/>
    <x v="8"/>
    <n v="3"/>
    <x v="1"/>
    <n v="2742"/>
    <n v="3072"/>
    <n v="1"/>
    <s v="Y"/>
    <s v="No"/>
    <n v="15"/>
    <x v="0"/>
    <n v="4"/>
    <n v="80"/>
    <n v="0"/>
    <n v="2"/>
    <n v="0"/>
    <n v="3"/>
    <n v="2"/>
    <n v="2"/>
    <n v="2"/>
    <n v="2"/>
  </r>
  <r>
    <n v="40"/>
    <x v="1"/>
    <x v="2"/>
    <n v="218"/>
    <x v="1"/>
    <n v="8"/>
    <n v="1"/>
    <s v="Medical"/>
    <n v="1"/>
    <n v="1468"/>
    <n v="4"/>
    <x v="1"/>
    <n v="55"/>
    <x v="1"/>
    <n v="3"/>
    <x v="7"/>
    <n v="2"/>
    <x v="2"/>
    <n v="13757"/>
    <n v="25178"/>
    <n v="2"/>
    <s v="Y"/>
    <s v="No"/>
    <n v="11"/>
    <x v="0"/>
    <n v="3"/>
    <n v="80"/>
    <n v="1"/>
    <n v="16"/>
    <n v="5"/>
    <n v="3"/>
    <n v="9"/>
    <n v="8"/>
    <n v="4"/>
    <n v="8"/>
  </r>
  <r>
    <n v="28"/>
    <x v="1"/>
    <x v="0"/>
    <n v="866"/>
    <x v="0"/>
    <n v="5"/>
    <n v="3"/>
    <s v="Medical"/>
    <n v="1"/>
    <n v="1469"/>
    <n v="4"/>
    <x v="1"/>
    <n v="84"/>
    <x v="0"/>
    <n v="2"/>
    <x v="0"/>
    <n v="1"/>
    <x v="0"/>
    <n v="8463"/>
    <n v="23490"/>
    <n v="0"/>
    <s v="Y"/>
    <s v="No"/>
    <n v="18"/>
    <x v="0"/>
    <n v="4"/>
    <n v="80"/>
    <n v="0"/>
    <n v="6"/>
    <n v="4"/>
    <n v="3"/>
    <n v="5"/>
    <n v="4"/>
    <n v="1"/>
    <n v="3"/>
  </r>
  <r>
    <n v="44"/>
    <x v="1"/>
    <x v="2"/>
    <n v="981"/>
    <x v="1"/>
    <n v="5"/>
    <n v="3"/>
    <s v="Life Sciences"/>
    <n v="1"/>
    <n v="1471"/>
    <n v="3"/>
    <x v="1"/>
    <n v="90"/>
    <x v="1"/>
    <n v="1"/>
    <x v="2"/>
    <n v="3"/>
    <x v="0"/>
    <n v="3162"/>
    <n v="7973"/>
    <n v="3"/>
    <s v="Y"/>
    <s v="No"/>
    <n v="14"/>
    <x v="0"/>
    <n v="4"/>
    <n v="80"/>
    <n v="0"/>
    <n v="7"/>
    <n v="5"/>
    <n v="3"/>
    <n v="5"/>
    <n v="2"/>
    <n v="0"/>
    <n v="3"/>
  </r>
  <r>
    <n v="53"/>
    <x v="1"/>
    <x v="0"/>
    <n v="447"/>
    <x v="1"/>
    <n v="2"/>
    <n v="3"/>
    <s v="Medical"/>
    <n v="1"/>
    <n v="1472"/>
    <n v="4"/>
    <x v="1"/>
    <n v="39"/>
    <x v="2"/>
    <n v="4"/>
    <x v="7"/>
    <n v="2"/>
    <x v="0"/>
    <n v="16598"/>
    <n v="19764"/>
    <n v="4"/>
    <s v="Y"/>
    <s v="No"/>
    <n v="12"/>
    <x v="0"/>
    <n v="2"/>
    <n v="80"/>
    <n v="0"/>
    <n v="35"/>
    <n v="2"/>
    <n v="2"/>
    <n v="9"/>
    <n v="8"/>
    <n v="8"/>
    <n v="8"/>
  </r>
  <r>
    <n v="49"/>
    <x v="1"/>
    <x v="0"/>
    <n v="1495"/>
    <x v="1"/>
    <n v="5"/>
    <n v="4"/>
    <s v="Technical Degree"/>
    <n v="1"/>
    <n v="1473"/>
    <n v="1"/>
    <x v="1"/>
    <n v="96"/>
    <x v="0"/>
    <n v="2"/>
    <x v="4"/>
    <n v="3"/>
    <x v="1"/>
    <n v="6651"/>
    <n v="21534"/>
    <n v="2"/>
    <s v="Y"/>
    <s v="No"/>
    <n v="14"/>
    <x v="0"/>
    <n v="2"/>
    <n v="80"/>
    <n v="1"/>
    <n v="20"/>
    <n v="0"/>
    <n v="2"/>
    <n v="3"/>
    <n v="2"/>
    <n v="1"/>
    <n v="2"/>
  </r>
  <r>
    <n v="40"/>
    <x v="1"/>
    <x v="0"/>
    <n v="896"/>
    <x v="1"/>
    <n v="2"/>
    <n v="3"/>
    <s v="Medical"/>
    <n v="1"/>
    <n v="1474"/>
    <n v="3"/>
    <x v="1"/>
    <n v="68"/>
    <x v="0"/>
    <n v="1"/>
    <x v="1"/>
    <n v="3"/>
    <x v="2"/>
    <n v="2345"/>
    <n v="8045"/>
    <n v="2"/>
    <s v="Y"/>
    <s v="No"/>
    <n v="14"/>
    <x v="0"/>
    <n v="3"/>
    <n v="80"/>
    <n v="1"/>
    <n v="8"/>
    <n v="3"/>
    <n v="4"/>
    <n v="3"/>
    <n v="1"/>
    <n v="1"/>
    <n v="2"/>
  </r>
  <r>
    <n v="44"/>
    <x v="1"/>
    <x v="0"/>
    <n v="1467"/>
    <x v="1"/>
    <n v="20"/>
    <n v="3"/>
    <s v="Life Sciences"/>
    <n v="1"/>
    <n v="1475"/>
    <n v="4"/>
    <x v="1"/>
    <n v="49"/>
    <x v="0"/>
    <n v="1"/>
    <x v="1"/>
    <n v="2"/>
    <x v="0"/>
    <n v="3420"/>
    <n v="21158"/>
    <n v="1"/>
    <s v="Y"/>
    <s v="No"/>
    <n v="13"/>
    <x v="0"/>
    <n v="3"/>
    <n v="80"/>
    <n v="0"/>
    <n v="6"/>
    <n v="3"/>
    <n v="2"/>
    <n v="5"/>
    <n v="2"/>
    <n v="1"/>
    <n v="3"/>
  </r>
  <r>
    <n v="33"/>
    <x v="1"/>
    <x v="1"/>
    <n v="430"/>
    <x v="0"/>
    <n v="7"/>
    <n v="3"/>
    <s v="Medical"/>
    <n v="1"/>
    <n v="1477"/>
    <n v="4"/>
    <x v="1"/>
    <n v="54"/>
    <x v="0"/>
    <n v="2"/>
    <x v="0"/>
    <n v="1"/>
    <x v="1"/>
    <n v="4373"/>
    <n v="17456"/>
    <n v="0"/>
    <s v="Y"/>
    <s v="No"/>
    <n v="14"/>
    <x v="0"/>
    <n v="1"/>
    <n v="80"/>
    <n v="2"/>
    <n v="5"/>
    <n v="2"/>
    <n v="3"/>
    <n v="4"/>
    <n v="3"/>
    <n v="0"/>
    <n v="3"/>
  </r>
  <r>
    <n v="34"/>
    <x v="1"/>
    <x v="0"/>
    <n v="1326"/>
    <x v="0"/>
    <n v="3"/>
    <n v="3"/>
    <s v="Other"/>
    <n v="1"/>
    <n v="1478"/>
    <n v="4"/>
    <x v="1"/>
    <n v="81"/>
    <x v="3"/>
    <n v="2"/>
    <x v="0"/>
    <n v="1"/>
    <x v="0"/>
    <n v="4759"/>
    <n v="15891"/>
    <n v="3"/>
    <s v="Y"/>
    <s v="No"/>
    <n v="18"/>
    <x v="0"/>
    <n v="4"/>
    <n v="80"/>
    <n v="0"/>
    <n v="15"/>
    <n v="2"/>
    <n v="3"/>
    <n v="13"/>
    <n v="9"/>
    <n v="3"/>
    <n v="12"/>
  </r>
  <r>
    <n v="30"/>
    <x v="1"/>
    <x v="0"/>
    <n v="1358"/>
    <x v="0"/>
    <n v="16"/>
    <n v="1"/>
    <s v="Life Sciences"/>
    <n v="1"/>
    <n v="1479"/>
    <n v="4"/>
    <x v="1"/>
    <n v="96"/>
    <x v="0"/>
    <n v="2"/>
    <x v="0"/>
    <n v="3"/>
    <x v="1"/>
    <n v="5301"/>
    <n v="2939"/>
    <n v="8"/>
    <s v="Y"/>
    <s v="No"/>
    <n v="15"/>
    <x v="0"/>
    <n v="3"/>
    <n v="80"/>
    <n v="2"/>
    <n v="4"/>
    <n v="2"/>
    <n v="2"/>
    <n v="2"/>
    <n v="1"/>
    <n v="2"/>
    <n v="2"/>
  </r>
  <r>
    <n v="42"/>
    <x v="1"/>
    <x v="1"/>
    <n v="748"/>
    <x v="1"/>
    <n v="9"/>
    <n v="2"/>
    <s v="Medical"/>
    <n v="1"/>
    <n v="1480"/>
    <n v="1"/>
    <x v="0"/>
    <n v="74"/>
    <x v="0"/>
    <n v="1"/>
    <x v="2"/>
    <n v="4"/>
    <x v="0"/>
    <n v="3673"/>
    <n v="16458"/>
    <n v="1"/>
    <s v="Y"/>
    <s v="No"/>
    <n v="13"/>
    <x v="0"/>
    <n v="3"/>
    <n v="80"/>
    <n v="0"/>
    <n v="12"/>
    <n v="3"/>
    <n v="3"/>
    <n v="12"/>
    <n v="9"/>
    <n v="5"/>
    <n v="8"/>
  </r>
  <r>
    <n v="44"/>
    <x v="1"/>
    <x v="1"/>
    <n v="383"/>
    <x v="0"/>
    <n v="1"/>
    <n v="5"/>
    <s v="Marketing"/>
    <n v="1"/>
    <n v="1481"/>
    <n v="1"/>
    <x v="0"/>
    <n v="79"/>
    <x v="0"/>
    <n v="2"/>
    <x v="0"/>
    <n v="3"/>
    <x v="1"/>
    <n v="4768"/>
    <n v="9282"/>
    <n v="7"/>
    <s v="Y"/>
    <s v="No"/>
    <n v="12"/>
    <x v="0"/>
    <n v="3"/>
    <n v="80"/>
    <n v="1"/>
    <n v="11"/>
    <n v="4"/>
    <n v="2"/>
    <n v="1"/>
    <n v="0"/>
    <n v="0"/>
    <n v="0"/>
  </r>
  <r>
    <n v="30"/>
    <x v="1"/>
    <x v="2"/>
    <n v="990"/>
    <x v="1"/>
    <n v="7"/>
    <n v="3"/>
    <s v="Technical Degree"/>
    <n v="1"/>
    <n v="1482"/>
    <n v="3"/>
    <x v="1"/>
    <n v="64"/>
    <x v="0"/>
    <n v="1"/>
    <x v="1"/>
    <n v="3"/>
    <x v="2"/>
    <n v="1274"/>
    <n v="7152"/>
    <n v="1"/>
    <s v="Y"/>
    <s v="No"/>
    <n v="13"/>
    <x v="0"/>
    <n v="2"/>
    <n v="80"/>
    <n v="2"/>
    <n v="1"/>
    <n v="2"/>
    <n v="2"/>
    <n v="1"/>
    <n v="0"/>
    <n v="0"/>
    <n v="0"/>
  </r>
  <r>
    <n v="57"/>
    <x v="1"/>
    <x v="0"/>
    <n v="405"/>
    <x v="1"/>
    <n v="1"/>
    <n v="2"/>
    <s v="Life Sciences"/>
    <n v="1"/>
    <n v="1483"/>
    <n v="2"/>
    <x v="1"/>
    <n v="93"/>
    <x v="2"/>
    <n v="2"/>
    <x v="1"/>
    <n v="3"/>
    <x v="1"/>
    <n v="4900"/>
    <n v="2721"/>
    <n v="0"/>
    <s v="Y"/>
    <s v="No"/>
    <n v="24"/>
    <x v="1"/>
    <n v="1"/>
    <n v="80"/>
    <n v="1"/>
    <n v="13"/>
    <n v="2"/>
    <n v="2"/>
    <n v="12"/>
    <n v="9"/>
    <n v="2"/>
    <n v="8"/>
  </r>
  <r>
    <n v="49"/>
    <x v="1"/>
    <x v="0"/>
    <n v="1490"/>
    <x v="1"/>
    <n v="7"/>
    <n v="4"/>
    <s v="Life Sciences"/>
    <n v="1"/>
    <n v="1484"/>
    <n v="3"/>
    <x v="1"/>
    <n v="35"/>
    <x v="0"/>
    <n v="3"/>
    <x v="4"/>
    <n v="2"/>
    <x v="2"/>
    <n v="10466"/>
    <n v="20948"/>
    <n v="3"/>
    <s v="Y"/>
    <s v="No"/>
    <n v="14"/>
    <x v="0"/>
    <n v="2"/>
    <n v="80"/>
    <n v="2"/>
    <n v="29"/>
    <n v="3"/>
    <n v="3"/>
    <n v="8"/>
    <n v="7"/>
    <n v="0"/>
    <n v="7"/>
  </r>
  <r>
    <n v="34"/>
    <x v="1"/>
    <x v="1"/>
    <n v="829"/>
    <x v="1"/>
    <n v="15"/>
    <n v="3"/>
    <s v="Medical"/>
    <n v="1"/>
    <n v="1485"/>
    <n v="2"/>
    <x v="1"/>
    <n v="71"/>
    <x v="0"/>
    <n v="4"/>
    <x v="7"/>
    <n v="1"/>
    <x v="2"/>
    <n v="17007"/>
    <n v="11929"/>
    <n v="7"/>
    <s v="Y"/>
    <s v="No"/>
    <n v="14"/>
    <x v="0"/>
    <n v="4"/>
    <n v="80"/>
    <n v="2"/>
    <n v="16"/>
    <n v="3"/>
    <n v="2"/>
    <n v="14"/>
    <n v="8"/>
    <n v="6"/>
    <n v="9"/>
  </r>
  <r>
    <n v="28"/>
    <x v="0"/>
    <x v="1"/>
    <n v="1496"/>
    <x v="0"/>
    <n v="1"/>
    <n v="3"/>
    <s v="Technical Degree"/>
    <n v="1"/>
    <n v="1486"/>
    <n v="1"/>
    <x v="1"/>
    <n v="92"/>
    <x v="0"/>
    <n v="1"/>
    <x v="6"/>
    <n v="3"/>
    <x v="1"/>
    <n v="2909"/>
    <n v="15747"/>
    <n v="3"/>
    <s v="Y"/>
    <s v="No"/>
    <n v="15"/>
    <x v="0"/>
    <n v="4"/>
    <n v="80"/>
    <n v="1"/>
    <n v="5"/>
    <n v="3"/>
    <n v="4"/>
    <n v="3"/>
    <n v="2"/>
    <n v="1"/>
    <n v="2"/>
  </r>
  <r>
    <n v="29"/>
    <x v="0"/>
    <x v="1"/>
    <n v="115"/>
    <x v="0"/>
    <n v="13"/>
    <n v="3"/>
    <s v="Technical Degree"/>
    <n v="1"/>
    <n v="1487"/>
    <n v="1"/>
    <x v="0"/>
    <n v="51"/>
    <x v="0"/>
    <n v="2"/>
    <x v="0"/>
    <n v="2"/>
    <x v="0"/>
    <n v="5765"/>
    <n v="17485"/>
    <n v="5"/>
    <s v="Y"/>
    <s v="No"/>
    <n v="11"/>
    <x v="0"/>
    <n v="1"/>
    <n v="80"/>
    <n v="0"/>
    <n v="7"/>
    <n v="4"/>
    <n v="1"/>
    <n v="5"/>
    <n v="3"/>
    <n v="0"/>
    <n v="0"/>
  </r>
  <r>
    <n v="34"/>
    <x v="0"/>
    <x v="0"/>
    <n v="790"/>
    <x v="0"/>
    <n v="24"/>
    <n v="4"/>
    <s v="Medical"/>
    <n v="1"/>
    <n v="1489"/>
    <n v="1"/>
    <x v="0"/>
    <n v="40"/>
    <x v="1"/>
    <n v="2"/>
    <x v="0"/>
    <n v="2"/>
    <x v="0"/>
    <n v="4599"/>
    <n v="7815"/>
    <n v="0"/>
    <s v="Y"/>
    <s v="Yes"/>
    <n v="23"/>
    <x v="1"/>
    <n v="3"/>
    <n v="80"/>
    <n v="0"/>
    <n v="16"/>
    <n v="2"/>
    <n v="4"/>
    <n v="15"/>
    <n v="9"/>
    <n v="10"/>
    <n v="10"/>
  </r>
  <r>
    <n v="35"/>
    <x v="1"/>
    <x v="0"/>
    <n v="660"/>
    <x v="0"/>
    <n v="7"/>
    <n v="1"/>
    <s v="Life Sciences"/>
    <n v="1"/>
    <n v="1492"/>
    <n v="4"/>
    <x v="1"/>
    <n v="76"/>
    <x v="0"/>
    <n v="1"/>
    <x v="6"/>
    <n v="3"/>
    <x v="1"/>
    <n v="2404"/>
    <n v="16192"/>
    <n v="1"/>
    <s v="Y"/>
    <s v="No"/>
    <n v="13"/>
    <x v="0"/>
    <n v="1"/>
    <n v="80"/>
    <n v="1"/>
    <n v="1"/>
    <n v="3"/>
    <n v="3"/>
    <n v="1"/>
    <n v="0"/>
    <n v="0"/>
    <n v="0"/>
  </r>
  <r>
    <n v="24"/>
    <x v="0"/>
    <x v="1"/>
    <n v="381"/>
    <x v="1"/>
    <n v="9"/>
    <n v="3"/>
    <s v="Medical"/>
    <n v="1"/>
    <n v="1494"/>
    <n v="2"/>
    <x v="1"/>
    <n v="89"/>
    <x v="0"/>
    <n v="1"/>
    <x v="2"/>
    <n v="1"/>
    <x v="0"/>
    <n v="3172"/>
    <n v="16998"/>
    <n v="2"/>
    <s v="Y"/>
    <s v="Yes"/>
    <n v="11"/>
    <x v="0"/>
    <n v="3"/>
    <n v="80"/>
    <n v="0"/>
    <n v="4"/>
    <n v="2"/>
    <n v="2"/>
    <n v="0"/>
    <n v="0"/>
    <n v="0"/>
    <n v="0"/>
  </r>
  <r>
    <n v="24"/>
    <x v="1"/>
    <x v="2"/>
    <n v="830"/>
    <x v="0"/>
    <n v="13"/>
    <n v="2"/>
    <s v="Life Sciences"/>
    <n v="1"/>
    <n v="1495"/>
    <n v="4"/>
    <x v="0"/>
    <n v="78"/>
    <x v="0"/>
    <n v="1"/>
    <x v="6"/>
    <n v="2"/>
    <x v="1"/>
    <n v="2033"/>
    <n v="7103"/>
    <n v="1"/>
    <s v="Y"/>
    <s v="No"/>
    <n v="13"/>
    <x v="0"/>
    <n v="3"/>
    <n v="80"/>
    <n v="1"/>
    <n v="1"/>
    <n v="2"/>
    <n v="3"/>
    <n v="1"/>
    <n v="0"/>
    <n v="0"/>
    <n v="0"/>
  </r>
  <r>
    <n v="44"/>
    <x v="1"/>
    <x v="1"/>
    <n v="1193"/>
    <x v="1"/>
    <n v="2"/>
    <n v="1"/>
    <s v="Medical"/>
    <n v="1"/>
    <n v="1496"/>
    <n v="2"/>
    <x v="1"/>
    <n v="86"/>
    <x v="0"/>
    <n v="3"/>
    <x v="3"/>
    <n v="3"/>
    <x v="0"/>
    <n v="10209"/>
    <n v="19719"/>
    <n v="5"/>
    <s v="Y"/>
    <s v="Yes"/>
    <n v="18"/>
    <x v="0"/>
    <n v="2"/>
    <n v="80"/>
    <n v="0"/>
    <n v="16"/>
    <n v="2"/>
    <n v="2"/>
    <n v="2"/>
    <n v="2"/>
    <n v="2"/>
    <n v="2"/>
  </r>
  <r>
    <n v="29"/>
    <x v="1"/>
    <x v="0"/>
    <n v="1246"/>
    <x v="0"/>
    <n v="19"/>
    <n v="3"/>
    <s v="Life Sciences"/>
    <n v="1"/>
    <n v="1497"/>
    <n v="3"/>
    <x v="1"/>
    <n v="77"/>
    <x v="1"/>
    <n v="2"/>
    <x v="0"/>
    <n v="3"/>
    <x v="2"/>
    <n v="8620"/>
    <n v="23757"/>
    <n v="1"/>
    <s v="Y"/>
    <s v="No"/>
    <n v="14"/>
    <x v="0"/>
    <n v="3"/>
    <n v="80"/>
    <n v="2"/>
    <n v="10"/>
    <n v="3"/>
    <n v="3"/>
    <n v="10"/>
    <n v="7"/>
    <n v="0"/>
    <n v="4"/>
  </r>
  <r>
    <n v="30"/>
    <x v="1"/>
    <x v="0"/>
    <n v="330"/>
    <x v="2"/>
    <n v="1"/>
    <n v="3"/>
    <s v="Life Sciences"/>
    <n v="1"/>
    <n v="1499"/>
    <n v="3"/>
    <x v="1"/>
    <n v="46"/>
    <x v="0"/>
    <n v="1"/>
    <x v="8"/>
    <n v="3"/>
    <x v="2"/>
    <n v="2064"/>
    <n v="15428"/>
    <n v="0"/>
    <s v="Y"/>
    <s v="No"/>
    <n v="21"/>
    <x v="1"/>
    <n v="1"/>
    <n v="80"/>
    <n v="1"/>
    <n v="6"/>
    <n v="3"/>
    <n v="4"/>
    <n v="5"/>
    <n v="3"/>
    <n v="1"/>
    <n v="3"/>
  </r>
  <r>
    <n v="55"/>
    <x v="1"/>
    <x v="0"/>
    <n v="1229"/>
    <x v="1"/>
    <n v="4"/>
    <n v="4"/>
    <s v="Life Sciences"/>
    <n v="1"/>
    <n v="1501"/>
    <n v="4"/>
    <x v="1"/>
    <n v="30"/>
    <x v="0"/>
    <n v="2"/>
    <x v="4"/>
    <n v="3"/>
    <x v="1"/>
    <n v="4035"/>
    <n v="16143"/>
    <n v="0"/>
    <s v="Y"/>
    <s v="Yes"/>
    <n v="16"/>
    <x v="0"/>
    <n v="2"/>
    <n v="80"/>
    <n v="0"/>
    <n v="4"/>
    <n v="2"/>
    <n v="3"/>
    <n v="3"/>
    <n v="2"/>
    <n v="1"/>
    <n v="2"/>
  </r>
  <r>
    <n v="33"/>
    <x v="1"/>
    <x v="0"/>
    <n v="1099"/>
    <x v="1"/>
    <n v="4"/>
    <n v="4"/>
    <s v="Medical"/>
    <n v="1"/>
    <n v="1502"/>
    <n v="1"/>
    <x v="0"/>
    <n v="82"/>
    <x v="1"/>
    <n v="1"/>
    <x v="2"/>
    <n v="2"/>
    <x v="1"/>
    <n v="3838"/>
    <n v="8192"/>
    <n v="8"/>
    <s v="Y"/>
    <s v="No"/>
    <n v="11"/>
    <x v="0"/>
    <n v="4"/>
    <n v="80"/>
    <n v="0"/>
    <n v="8"/>
    <n v="5"/>
    <n v="3"/>
    <n v="5"/>
    <n v="4"/>
    <n v="0"/>
    <n v="2"/>
  </r>
  <r>
    <n v="47"/>
    <x v="1"/>
    <x v="0"/>
    <n v="571"/>
    <x v="0"/>
    <n v="14"/>
    <n v="3"/>
    <s v="Medical"/>
    <n v="1"/>
    <n v="1503"/>
    <n v="3"/>
    <x v="0"/>
    <n v="78"/>
    <x v="0"/>
    <n v="2"/>
    <x v="0"/>
    <n v="3"/>
    <x v="1"/>
    <n v="4591"/>
    <n v="24200"/>
    <n v="3"/>
    <s v="Y"/>
    <s v="Yes"/>
    <n v="17"/>
    <x v="0"/>
    <n v="3"/>
    <n v="80"/>
    <n v="1"/>
    <n v="11"/>
    <n v="4"/>
    <n v="2"/>
    <n v="5"/>
    <n v="4"/>
    <n v="1"/>
    <n v="2"/>
  </r>
  <r>
    <n v="28"/>
    <x v="0"/>
    <x v="1"/>
    <n v="289"/>
    <x v="1"/>
    <n v="2"/>
    <n v="2"/>
    <s v="Medical"/>
    <n v="1"/>
    <n v="1504"/>
    <n v="3"/>
    <x v="1"/>
    <n v="38"/>
    <x v="1"/>
    <n v="1"/>
    <x v="2"/>
    <n v="1"/>
    <x v="0"/>
    <n v="2561"/>
    <n v="5355"/>
    <n v="7"/>
    <s v="Y"/>
    <s v="No"/>
    <n v="11"/>
    <x v="0"/>
    <n v="3"/>
    <n v="80"/>
    <n v="0"/>
    <n v="8"/>
    <n v="2"/>
    <n v="2"/>
    <n v="0"/>
    <n v="0"/>
    <n v="0"/>
    <n v="0"/>
  </r>
  <r>
    <n v="28"/>
    <x v="1"/>
    <x v="0"/>
    <n v="1423"/>
    <x v="1"/>
    <n v="1"/>
    <n v="3"/>
    <s v="Life Sciences"/>
    <n v="1"/>
    <n v="1506"/>
    <n v="1"/>
    <x v="1"/>
    <n v="72"/>
    <x v="1"/>
    <n v="1"/>
    <x v="1"/>
    <n v="3"/>
    <x v="2"/>
    <n v="1563"/>
    <n v="12530"/>
    <n v="1"/>
    <s v="Y"/>
    <s v="No"/>
    <n v="14"/>
    <x v="0"/>
    <n v="4"/>
    <n v="80"/>
    <n v="1"/>
    <n v="1"/>
    <n v="2"/>
    <n v="1"/>
    <n v="1"/>
    <n v="0"/>
    <n v="0"/>
    <n v="0"/>
  </r>
  <r>
    <n v="28"/>
    <x v="1"/>
    <x v="1"/>
    <n v="467"/>
    <x v="0"/>
    <n v="7"/>
    <n v="3"/>
    <s v="Life Sciences"/>
    <n v="1"/>
    <n v="1507"/>
    <n v="3"/>
    <x v="1"/>
    <n v="55"/>
    <x v="0"/>
    <n v="2"/>
    <x v="0"/>
    <n v="1"/>
    <x v="0"/>
    <n v="4898"/>
    <n v="11827"/>
    <n v="0"/>
    <s v="Y"/>
    <s v="No"/>
    <n v="14"/>
    <x v="0"/>
    <n v="4"/>
    <n v="80"/>
    <n v="0"/>
    <n v="5"/>
    <n v="5"/>
    <n v="3"/>
    <n v="4"/>
    <n v="2"/>
    <n v="1"/>
    <n v="3"/>
  </r>
  <r>
    <n v="49"/>
    <x v="1"/>
    <x v="0"/>
    <n v="271"/>
    <x v="1"/>
    <n v="3"/>
    <n v="2"/>
    <s v="Medical"/>
    <n v="1"/>
    <n v="1509"/>
    <n v="3"/>
    <x v="0"/>
    <n v="43"/>
    <x v="1"/>
    <n v="2"/>
    <x v="2"/>
    <n v="1"/>
    <x v="1"/>
    <n v="4789"/>
    <n v="23070"/>
    <n v="4"/>
    <s v="Y"/>
    <s v="No"/>
    <n v="25"/>
    <x v="1"/>
    <n v="1"/>
    <n v="80"/>
    <n v="1"/>
    <n v="10"/>
    <n v="3"/>
    <n v="3"/>
    <n v="3"/>
    <n v="2"/>
    <n v="1"/>
    <n v="2"/>
  </r>
  <r>
    <n v="29"/>
    <x v="1"/>
    <x v="1"/>
    <n v="410"/>
    <x v="1"/>
    <n v="2"/>
    <n v="1"/>
    <s v="Life Sciences"/>
    <n v="1"/>
    <n v="1513"/>
    <n v="4"/>
    <x v="0"/>
    <n v="97"/>
    <x v="0"/>
    <n v="1"/>
    <x v="2"/>
    <n v="2"/>
    <x v="1"/>
    <n v="3180"/>
    <n v="4668"/>
    <n v="0"/>
    <s v="Y"/>
    <s v="No"/>
    <n v="13"/>
    <x v="0"/>
    <n v="3"/>
    <n v="80"/>
    <n v="3"/>
    <n v="4"/>
    <n v="3"/>
    <n v="3"/>
    <n v="3"/>
    <n v="2"/>
    <n v="0"/>
    <n v="2"/>
  </r>
  <r>
    <n v="28"/>
    <x v="1"/>
    <x v="0"/>
    <n v="1083"/>
    <x v="1"/>
    <n v="29"/>
    <n v="1"/>
    <s v="Life Sciences"/>
    <n v="1"/>
    <n v="1514"/>
    <n v="3"/>
    <x v="1"/>
    <n v="96"/>
    <x v="3"/>
    <n v="2"/>
    <x v="3"/>
    <n v="2"/>
    <x v="1"/>
    <n v="6549"/>
    <n v="3173"/>
    <n v="1"/>
    <s v="Y"/>
    <s v="No"/>
    <n v="14"/>
    <x v="0"/>
    <n v="2"/>
    <n v="80"/>
    <n v="2"/>
    <n v="8"/>
    <n v="2"/>
    <n v="2"/>
    <n v="8"/>
    <n v="6"/>
    <n v="1"/>
    <n v="7"/>
  </r>
  <r>
    <n v="33"/>
    <x v="1"/>
    <x v="0"/>
    <n v="516"/>
    <x v="1"/>
    <n v="8"/>
    <n v="5"/>
    <s v="Life Sciences"/>
    <n v="1"/>
    <n v="1515"/>
    <n v="4"/>
    <x v="1"/>
    <n v="69"/>
    <x v="0"/>
    <n v="2"/>
    <x v="4"/>
    <n v="3"/>
    <x v="0"/>
    <n v="6388"/>
    <n v="22049"/>
    <n v="2"/>
    <s v="Y"/>
    <s v="Yes"/>
    <n v="17"/>
    <x v="0"/>
    <n v="1"/>
    <n v="80"/>
    <n v="0"/>
    <n v="14"/>
    <n v="6"/>
    <n v="3"/>
    <n v="0"/>
    <n v="0"/>
    <n v="0"/>
    <n v="0"/>
  </r>
  <r>
    <n v="32"/>
    <x v="1"/>
    <x v="0"/>
    <n v="495"/>
    <x v="1"/>
    <n v="10"/>
    <n v="3"/>
    <s v="Medical"/>
    <n v="1"/>
    <n v="1516"/>
    <n v="3"/>
    <x v="1"/>
    <n v="64"/>
    <x v="0"/>
    <n v="3"/>
    <x v="5"/>
    <n v="4"/>
    <x v="0"/>
    <n v="11244"/>
    <n v="21072"/>
    <n v="2"/>
    <s v="Y"/>
    <s v="No"/>
    <n v="25"/>
    <x v="1"/>
    <n v="2"/>
    <n v="80"/>
    <n v="0"/>
    <n v="10"/>
    <n v="5"/>
    <n v="4"/>
    <n v="5"/>
    <n v="2"/>
    <n v="0"/>
    <n v="0"/>
  </r>
  <r>
    <n v="54"/>
    <x v="1"/>
    <x v="1"/>
    <n v="1050"/>
    <x v="1"/>
    <n v="11"/>
    <n v="4"/>
    <s v="Medical"/>
    <n v="1"/>
    <n v="1520"/>
    <n v="2"/>
    <x v="0"/>
    <n v="87"/>
    <x v="0"/>
    <n v="4"/>
    <x v="5"/>
    <n v="4"/>
    <x v="2"/>
    <n v="16032"/>
    <n v="24456"/>
    <n v="3"/>
    <s v="Y"/>
    <s v="No"/>
    <n v="20"/>
    <x v="1"/>
    <n v="1"/>
    <n v="80"/>
    <n v="1"/>
    <n v="26"/>
    <n v="2"/>
    <n v="3"/>
    <n v="14"/>
    <n v="9"/>
    <n v="1"/>
    <n v="12"/>
  </r>
  <r>
    <n v="29"/>
    <x v="0"/>
    <x v="0"/>
    <n v="224"/>
    <x v="1"/>
    <n v="1"/>
    <n v="4"/>
    <s v="Technical Degree"/>
    <n v="1"/>
    <n v="1522"/>
    <n v="1"/>
    <x v="1"/>
    <n v="100"/>
    <x v="1"/>
    <n v="1"/>
    <x v="1"/>
    <n v="1"/>
    <x v="0"/>
    <n v="2362"/>
    <n v="7568"/>
    <n v="6"/>
    <s v="Y"/>
    <s v="No"/>
    <n v="13"/>
    <x v="0"/>
    <n v="3"/>
    <n v="80"/>
    <n v="0"/>
    <n v="11"/>
    <n v="2"/>
    <n v="1"/>
    <n v="9"/>
    <n v="7"/>
    <n v="0"/>
    <n v="7"/>
  </r>
  <r>
    <n v="44"/>
    <x v="1"/>
    <x v="0"/>
    <n v="136"/>
    <x v="1"/>
    <n v="28"/>
    <n v="3"/>
    <s v="Life Sciences"/>
    <n v="1"/>
    <n v="1523"/>
    <n v="4"/>
    <x v="1"/>
    <n v="32"/>
    <x v="0"/>
    <n v="4"/>
    <x v="7"/>
    <n v="1"/>
    <x v="1"/>
    <n v="16328"/>
    <n v="22074"/>
    <n v="3"/>
    <s v="Y"/>
    <s v="No"/>
    <n v="13"/>
    <x v="0"/>
    <n v="3"/>
    <n v="80"/>
    <n v="1"/>
    <n v="24"/>
    <n v="1"/>
    <n v="4"/>
    <n v="20"/>
    <n v="6"/>
    <n v="14"/>
    <n v="17"/>
  </r>
  <r>
    <n v="39"/>
    <x v="1"/>
    <x v="0"/>
    <n v="1089"/>
    <x v="1"/>
    <n v="6"/>
    <n v="3"/>
    <s v="Life Sciences"/>
    <n v="1"/>
    <n v="1525"/>
    <n v="2"/>
    <x v="0"/>
    <n v="32"/>
    <x v="0"/>
    <n v="3"/>
    <x v="3"/>
    <n v="2"/>
    <x v="0"/>
    <n v="8376"/>
    <n v="9150"/>
    <n v="4"/>
    <s v="Y"/>
    <s v="No"/>
    <n v="18"/>
    <x v="0"/>
    <n v="4"/>
    <n v="80"/>
    <n v="0"/>
    <n v="9"/>
    <n v="3"/>
    <n v="3"/>
    <n v="2"/>
    <n v="0"/>
    <n v="2"/>
    <n v="2"/>
  </r>
  <r>
    <n v="46"/>
    <x v="1"/>
    <x v="0"/>
    <n v="228"/>
    <x v="0"/>
    <n v="3"/>
    <n v="3"/>
    <s v="Life Sciences"/>
    <n v="1"/>
    <n v="1527"/>
    <n v="3"/>
    <x v="0"/>
    <n v="51"/>
    <x v="0"/>
    <n v="4"/>
    <x v="5"/>
    <n v="2"/>
    <x v="1"/>
    <n v="16606"/>
    <n v="11380"/>
    <n v="8"/>
    <s v="Y"/>
    <s v="No"/>
    <n v="12"/>
    <x v="0"/>
    <n v="4"/>
    <n v="80"/>
    <n v="1"/>
    <n v="23"/>
    <n v="2"/>
    <n v="4"/>
    <n v="13"/>
    <n v="12"/>
    <n v="5"/>
    <n v="1"/>
  </r>
  <r>
    <n v="35"/>
    <x v="1"/>
    <x v="0"/>
    <n v="1029"/>
    <x v="1"/>
    <n v="16"/>
    <n v="3"/>
    <s v="Life Sciences"/>
    <n v="1"/>
    <n v="1529"/>
    <n v="4"/>
    <x v="0"/>
    <n v="91"/>
    <x v="1"/>
    <n v="3"/>
    <x v="4"/>
    <n v="2"/>
    <x v="0"/>
    <n v="8606"/>
    <n v="21195"/>
    <n v="1"/>
    <s v="Y"/>
    <s v="No"/>
    <n v="19"/>
    <x v="0"/>
    <n v="4"/>
    <n v="80"/>
    <n v="0"/>
    <n v="11"/>
    <n v="3"/>
    <n v="1"/>
    <n v="11"/>
    <n v="8"/>
    <n v="3"/>
    <n v="3"/>
  </r>
  <r>
    <n v="23"/>
    <x v="1"/>
    <x v="0"/>
    <n v="507"/>
    <x v="1"/>
    <n v="20"/>
    <n v="1"/>
    <s v="Life Sciences"/>
    <n v="1"/>
    <n v="1533"/>
    <n v="1"/>
    <x v="1"/>
    <n v="97"/>
    <x v="0"/>
    <n v="2"/>
    <x v="2"/>
    <n v="3"/>
    <x v="0"/>
    <n v="2272"/>
    <n v="24812"/>
    <n v="0"/>
    <s v="Y"/>
    <s v="No"/>
    <n v="14"/>
    <x v="0"/>
    <n v="2"/>
    <n v="80"/>
    <n v="0"/>
    <n v="5"/>
    <n v="2"/>
    <n v="3"/>
    <n v="4"/>
    <n v="3"/>
    <n v="1"/>
    <n v="2"/>
  </r>
  <r>
    <n v="40"/>
    <x v="0"/>
    <x v="0"/>
    <n v="676"/>
    <x v="1"/>
    <n v="9"/>
    <n v="4"/>
    <s v="Life Sciences"/>
    <n v="1"/>
    <n v="1534"/>
    <n v="4"/>
    <x v="1"/>
    <n v="86"/>
    <x v="0"/>
    <n v="1"/>
    <x v="2"/>
    <n v="1"/>
    <x v="0"/>
    <n v="2018"/>
    <n v="21831"/>
    <n v="3"/>
    <s v="Y"/>
    <s v="No"/>
    <n v="14"/>
    <x v="0"/>
    <n v="2"/>
    <n v="80"/>
    <n v="0"/>
    <n v="15"/>
    <n v="3"/>
    <n v="1"/>
    <n v="5"/>
    <n v="4"/>
    <n v="1"/>
    <n v="0"/>
  </r>
  <r>
    <n v="34"/>
    <x v="1"/>
    <x v="0"/>
    <n v="971"/>
    <x v="0"/>
    <n v="1"/>
    <n v="3"/>
    <s v="Technical Degree"/>
    <n v="1"/>
    <n v="1535"/>
    <n v="4"/>
    <x v="1"/>
    <n v="64"/>
    <x v="1"/>
    <n v="3"/>
    <x v="0"/>
    <n v="3"/>
    <x v="1"/>
    <n v="7083"/>
    <n v="12288"/>
    <n v="1"/>
    <s v="Y"/>
    <s v="Yes"/>
    <n v="14"/>
    <x v="0"/>
    <n v="4"/>
    <n v="80"/>
    <n v="0"/>
    <n v="10"/>
    <n v="3"/>
    <n v="3"/>
    <n v="10"/>
    <n v="9"/>
    <n v="8"/>
    <n v="6"/>
  </r>
  <r>
    <n v="31"/>
    <x v="0"/>
    <x v="1"/>
    <n v="561"/>
    <x v="1"/>
    <n v="3"/>
    <n v="3"/>
    <s v="Life Sciences"/>
    <n v="1"/>
    <n v="1537"/>
    <n v="4"/>
    <x v="0"/>
    <n v="33"/>
    <x v="0"/>
    <n v="1"/>
    <x v="1"/>
    <n v="3"/>
    <x v="0"/>
    <n v="4084"/>
    <n v="4156"/>
    <n v="1"/>
    <s v="Y"/>
    <s v="No"/>
    <n v="12"/>
    <x v="0"/>
    <n v="1"/>
    <n v="80"/>
    <n v="0"/>
    <n v="7"/>
    <n v="2"/>
    <n v="1"/>
    <n v="7"/>
    <n v="2"/>
    <n v="7"/>
    <n v="7"/>
  </r>
  <r>
    <n v="50"/>
    <x v="1"/>
    <x v="1"/>
    <n v="333"/>
    <x v="1"/>
    <n v="22"/>
    <n v="5"/>
    <s v="Medical"/>
    <n v="1"/>
    <n v="1539"/>
    <n v="3"/>
    <x v="1"/>
    <n v="88"/>
    <x v="3"/>
    <n v="4"/>
    <x v="7"/>
    <n v="4"/>
    <x v="0"/>
    <n v="14411"/>
    <n v="24450"/>
    <n v="1"/>
    <s v="Y"/>
    <s v="Yes"/>
    <n v="13"/>
    <x v="0"/>
    <n v="4"/>
    <n v="80"/>
    <n v="0"/>
    <n v="32"/>
    <n v="2"/>
    <n v="3"/>
    <n v="32"/>
    <n v="6"/>
    <n v="13"/>
    <n v="9"/>
  </r>
  <r>
    <n v="34"/>
    <x v="1"/>
    <x v="0"/>
    <n v="1440"/>
    <x v="0"/>
    <n v="7"/>
    <n v="2"/>
    <s v="Technical Degree"/>
    <n v="1"/>
    <n v="1541"/>
    <n v="2"/>
    <x v="1"/>
    <n v="55"/>
    <x v="0"/>
    <n v="1"/>
    <x v="6"/>
    <n v="3"/>
    <x v="1"/>
    <n v="2308"/>
    <n v="4944"/>
    <n v="0"/>
    <s v="Y"/>
    <s v="Yes"/>
    <n v="25"/>
    <x v="1"/>
    <n v="2"/>
    <n v="80"/>
    <n v="1"/>
    <n v="12"/>
    <n v="4"/>
    <n v="3"/>
    <n v="11"/>
    <n v="10"/>
    <n v="5"/>
    <n v="7"/>
  </r>
  <r>
    <n v="42"/>
    <x v="1"/>
    <x v="0"/>
    <n v="1210"/>
    <x v="1"/>
    <n v="2"/>
    <n v="3"/>
    <s v="Medical"/>
    <n v="1"/>
    <n v="1542"/>
    <n v="3"/>
    <x v="1"/>
    <n v="68"/>
    <x v="1"/>
    <n v="1"/>
    <x v="2"/>
    <n v="2"/>
    <x v="1"/>
    <n v="4841"/>
    <n v="24052"/>
    <n v="4"/>
    <s v="Y"/>
    <s v="No"/>
    <n v="14"/>
    <x v="0"/>
    <n v="2"/>
    <n v="80"/>
    <n v="1"/>
    <n v="4"/>
    <n v="3"/>
    <n v="3"/>
    <n v="1"/>
    <n v="0"/>
    <n v="0"/>
    <n v="0"/>
  </r>
  <r>
    <n v="37"/>
    <x v="1"/>
    <x v="0"/>
    <n v="674"/>
    <x v="1"/>
    <n v="13"/>
    <n v="3"/>
    <s v="Medical"/>
    <n v="1"/>
    <n v="1543"/>
    <n v="1"/>
    <x v="1"/>
    <n v="47"/>
    <x v="0"/>
    <n v="2"/>
    <x v="1"/>
    <n v="4"/>
    <x v="1"/>
    <n v="4285"/>
    <n v="3031"/>
    <n v="1"/>
    <s v="Y"/>
    <s v="No"/>
    <n v="17"/>
    <x v="0"/>
    <n v="1"/>
    <n v="80"/>
    <n v="0"/>
    <n v="10"/>
    <n v="2"/>
    <n v="3"/>
    <n v="10"/>
    <n v="8"/>
    <n v="3"/>
    <n v="7"/>
  </r>
  <r>
    <n v="29"/>
    <x v="1"/>
    <x v="0"/>
    <n v="441"/>
    <x v="1"/>
    <n v="8"/>
    <n v="1"/>
    <s v="Other"/>
    <n v="1"/>
    <n v="1544"/>
    <n v="3"/>
    <x v="0"/>
    <n v="39"/>
    <x v="3"/>
    <n v="2"/>
    <x v="4"/>
    <n v="1"/>
    <x v="1"/>
    <n v="9715"/>
    <n v="7288"/>
    <n v="3"/>
    <s v="Y"/>
    <s v="No"/>
    <n v="13"/>
    <x v="0"/>
    <n v="3"/>
    <n v="80"/>
    <n v="1"/>
    <n v="9"/>
    <n v="3"/>
    <n v="3"/>
    <n v="7"/>
    <n v="7"/>
    <n v="0"/>
    <n v="7"/>
  </r>
  <r>
    <n v="33"/>
    <x v="1"/>
    <x v="0"/>
    <n v="575"/>
    <x v="1"/>
    <n v="25"/>
    <n v="3"/>
    <s v="Life Sciences"/>
    <n v="1"/>
    <n v="1545"/>
    <n v="4"/>
    <x v="1"/>
    <n v="44"/>
    <x v="1"/>
    <n v="2"/>
    <x v="3"/>
    <n v="2"/>
    <x v="0"/>
    <n v="4320"/>
    <n v="24152"/>
    <n v="1"/>
    <s v="Y"/>
    <s v="No"/>
    <n v="13"/>
    <x v="0"/>
    <n v="4"/>
    <n v="80"/>
    <n v="0"/>
    <n v="5"/>
    <n v="2"/>
    <n v="3"/>
    <n v="5"/>
    <n v="3"/>
    <n v="0"/>
    <n v="2"/>
  </r>
  <r>
    <n v="45"/>
    <x v="1"/>
    <x v="0"/>
    <n v="950"/>
    <x v="1"/>
    <n v="28"/>
    <n v="3"/>
    <s v="Technical Degree"/>
    <n v="1"/>
    <n v="1546"/>
    <n v="4"/>
    <x v="1"/>
    <n v="97"/>
    <x v="0"/>
    <n v="1"/>
    <x v="1"/>
    <n v="4"/>
    <x v="1"/>
    <n v="2132"/>
    <n v="4585"/>
    <n v="4"/>
    <s v="Y"/>
    <s v="No"/>
    <n v="20"/>
    <x v="1"/>
    <n v="4"/>
    <n v="80"/>
    <n v="1"/>
    <n v="8"/>
    <n v="3"/>
    <n v="3"/>
    <n v="5"/>
    <n v="4"/>
    <n v="0"/>
    <n v="3"/>
  </r>
  <r>
    <n v="42"/>
    <x v="1"/>
    <x v="1"/>
    <n v="288"/>
    <x v="1"/>
    <n v="2"/>
    <n v="3"/>
    <s v="Life Sciences"/>
    <n v="1"/>
    <n v="1547"/>
    <n v="4"/>
    <x v="1"/>
    <n v="40"/>
    <x v="0"/>
    <n v="3"/>
    <x v="4"/>
    <n v="4"/>
    <x v="1"/>
    <n v="10124"/>
    <n v="18611"/>
    <n v="2"/>
    <s v="Y"/>
    <s v="Yes"/>
    <n v="14"/>
    <x v="0"/>
    <n v="3"/>
    <n v="80"/>
    <n v="1"/>
    <n v="24"/>
    <n v="3"/>
    <n v="1"/>
    <n v="20"/>
    <n v="8"/>
    <n v="13"/>
    <n v="9"/>
  </r>
  <r>
    <n v="40"/>
    <x v="1"/>
    <x v="0"/>
    <n v="1342"/>
    <x v="0"/>
    <n v="9"/>
    <n v="2"/>
    <s v="Medical"/>
    <n v="1"/>
    <n v="1548"/>
    <n v="1"/>
    <x v="1"/>
    <n v="47"/>
    <x v="0"/>
    <n v="2"/>
    <x v="0"/>
    <n v="1"/>
    <x v="1"/>
    <n v="5473"/>
    <n v="19345"/>
    <n v="0"/>
    <s v="Y"/>
    <s v="No"/>
    <n v="12"/>
    <x v="0"/>
    <n v="4"/>
    <n v="80"/>
    <n v="0"/>
    <n v="9"/>
    <n v="5"/>
    <n v="4"/>
    <n v="8"/>
    <n v="4"/>
    <n v="7"/>
    <n v="1"/>
  </r>
  <r>
    <n v="33"/>
    <x v="1"/>
    <x v="0"/>
    <n v="589"/>
    <x v="1"/>
    <n v="28"/>
    <n v="4"/>
    <s v="Life Sciences"/>
    <n v="1"/>
    <n v="1549"/>
    <n v="2"/>
    <x v="1"/>
    <n v="79"/>
    <x v="0"/>
    <n v="2"/>
    <x v="2"/>
    <n v="3"/>
    <x v="1"/>
    <n v="5207"/>
    <n v="22949"/>
    <n v="1"/>
    <s v="Y"/>
    <s v="Yes"/>
    <n v="12"/>
    <x v="0"/>
    <n v="2"/>
    <n v="80"/>
    <n v="1"/>
    <n v="15"/>
    <n v="3"/>
    <n v="3"/>
    <n v="15"/>
    <n v="14"/>
    <n v="5"/>
    <n v="7"/>
  </r>
  <r>
    <n v="40"/>
    <x v="1"/>
    <x v="0"/>
    <n v="898"/>
    <x v="2"/>
    <n v="6"/>
    <n v="2"/>
    <s v="Medical"/>
    <n v="1"/>
    <n v="1550"/>
    <n v="3"/>
    <x v="1"/>
    <n v="38"/>
    <x v="0"/>
    <n v="4"/>
    <x v="5"/>
    <n v="4"/>
    <x v="0"/>
    <n v="16437"/>
    <n v="17381"/>
    <n v="1"/>
    <s v="Y"/>
    <s v="Yes"/>
    <n v="21"/>
    <x v="1"/>
    <n v="4"/>
    <n v="80"/>
    <n v="0"/>
    <n v="21"/>
    <n v="2"/>
    <n v="3"/>
    <n v="21"/>
    <n v="7"/>
    <n v="7"/>
    <n v="7"/>
  </r>
  <r>
    <n v="24"/>
    <x v="1"/>
    <x v="0"/>
    <n v="350"/>
    <x v="1"/>
    <n v="21"/>
    <n v="2"/>
    <s v="Technical Degree"/>
    <n v="1"/>
    <n v="1551"/>
    <n v="3"/>
    <x v="1"/>
    <n v="57"/>
    <x v="1"/>
    <n v="1"/>
    <x v="2"/>
    <n v="1"/>
    <x v="2"/>
    <n v="2296"/>
    <n v="10036"/>
    <n v="0"/>
    <s v="Y"/>
    <s v="No"/>
    <n v="14"/>
    <x v="0"/>
    <n v="2"/>
    <n v="80"/>
    <n v="3"/>
    <n v="2"/>
    <n v="3"/>
    <n v="3"/>
    <n v="1"/>
    <n v="1"/>
    <n v="0"/>
    <n v="0"/>
  </r>
  <r>
    <n v="40"/>
    <x v="1"/>
    <x v="2"/>
    <n v="1142"/>
    <x v="1"/>
    <n v="8"/>
    <n v="2"/>
    <s v="Life Sciences"/>
    <n v="1"/>
    <n v="1552"/>
    <n v="4"/>
    <x v="1"/>
    <n v="72"/>
    <x v="0"/>
    <n v="2"/>
    <x v="4"/>
    <n v="4"/>
    <x v="2"/>
    <n v="4069"/>
    <n v="8841"/>
    <n v="3"/>
    <s v="Y"/>
    <s v="Yes"/>
    <n v="18"/>
    <x v="0"/>
    <n v="3"/>
    <n v="80"/>
    <n v="0"/>
    <n v="8"/>
    <n v="2"/>
    <n v="3"/>
    <n v="2"/>
    <n v="2"/>
    <n v="2"/>
    <n v="2"/>
  </r>
  <r>
    <n v="45"/>
    <x v="1"/>
    <x v="0"/>
    <n v="538"/>
    <x v="1"/>
    <n v="1"/>
    <n v="4"/>
    <s v="Technical Degree"/>
    <n v="1"/>
    <n v="1553"/>
    <n v="1"/>
    <x v="1"/>
    <n v="66"/>
    <x v="0"/>
    <n v="3"/>
    <x v="4"/>
    <n v="2"/>
    <x v="2"/>
    <n v="7441"/>
    <n v="20933"/>
    <n v="1"/>
    <s v="Y"/>
    <s v="No"/>
    <n v="12"/>
    <x v="0"/>
    <n v="1"/>
    <n v="80"/>
    <n v="3"/>
    <n v="10"/>
    <n v="4"/>
    <n v="3"/>
    <n v="10"/>
    <n v="8"/>
    <n v="7"/>
    <n v="7"/>
  </r>
  <r>
    <n v="35"/>
    <x v="1"/>
    <x v="0"/>
    <n v="1402"/>
    <x v="0"/>
    <n v="28"/>
    <n v="4"/>
    <s v="Life Sciences"/>
    <n v="1"/>
    <n v="1554"/>
    <n v="2"/>
    <x v="0"/>
    <n v="98"/>
    <x v="1"/>
    <n v="1"/>
    <x v="6"/>
    <n v="3"/>
    <x v="1"/>
    <n v="2430"/>
    <n v="26204"/>
    <n v="0"/>
    <s v="Y"/>
    <s v="No"/>
    <n v="23"/>
    <x v="1"/>
    <n v="1"/>
    <n v="80"/>
    <n v="2"/>
    <n v="6"/>
    <n v="5"/>
    <n v="3"/>
    <n v="5"/>
    <n v="3"/>
    <n v="4"/>
    <n v="2"/>
  </r>
  <r>
    <n v="32"/>
    <x v="1"/>
    <x v="0"/>
    <n v="824"/>
    <x v="1"/>
    <n v="5"/>
    <n v="2"/>
    <s v="Life Sciences"/>
    <n v="1"/>
    <n v="1555"/>
    <n v="4"/>
    <x v="0"/>
    <n v="67"/>
    <x v="1"/>
    <n v="2"/>
    <x v="1"/>
    <n v="2"/>
    <x v="1"/>
    <n v="5878"/>
    <n v="15624"/>
    <n v="3"/>
    <s v="Y"/>
    <s v="No"/>
    <n v="12"/>
    <x v="0"/>
    <n v="1"/>
    <n v="80"/>
    <n v="1"/>
    <n v="12"/>
    <n v="2"/>
    <n v="3"/>
    <n v="7"/>
    <n v="1"/>
    <n v="2"/>
    <n v="5"/>
  </r>
  <r>
    <n v="36"/>
    <x v="1"/>
    <x v="0"/>
    <n v="1157"/>
    <x v="0"/>
    <n v="2"/>
    <n v="4"/>
    <s v="Life Sciences"/>
    <n v="1"/>
    <n v="1556"/>
    <n v="3"/>
    <x v="1"/>
    <n v="70"/>
    <x v="0"/>
    <n v="1"/>
    <x v="6"/>
    <n v="4"/>
    <x v="0"/>
    <n v="2644"/>
    <n v="17001"/>
    <n v="3"/>
    <s v="Y"/>
    <s v="Yes"/>
    <n v="21"/>
    <x v="1"/>
    <n v="4"/>
    <n v="80"/>
    <n v="0"/>
    <n v="7"/>
    <n v="3"/>
    <n v="2"/>
    <n v="3"/>
    <n v="2"/>
    <n v="1"/>
    <n v="2"/>
  </r>
  <r>
    <n v="48"/>
    <x v="1"/>
    <x v="0"/>
    <n v="492"/>
    <x v="0"/>
    <n v="16"/>
    <n v="4"/>
    <s v="Life Sciences"/>
    <n v="1"/>
    <n v="1557"/>
    <n v="3"/>
    <x v="0"/>
    <n v="96"/>
    <x v="0"/>
    <n v="2"/>
    <x v="0"/>
    <n v="3"/>
    <x v="2"/>
    <n v="6439"/>
    <n v="13693"/>
    <n v="8"/>
    <s v="Y"/>
    <s v="No"/>
    <n v="14"/>
    <x v="0"/>
    <n v="3"/>
    <n v="80"/>
    <n v="1"/>
    <n v="18"/>
    <n v="2"/>
    <n v="3"/>
    <n v="8"/>
    <n v="7"/>
    <n v="7"/>
    <n v="7"/>
  </r>
  <r>
    <n v="29"/>
    <x v="1"/>
    <x v="0"/>
    <n v="598"/>
    <x v="1"/>
    <n v="9"/>
    <n v="3"/>
    <s v="Life Sciences"/>
    <n v="1"/>
    <n v="1558"/>
    <n v="3"/>
    <x v="1"/>
    <n v="91"/>
    <x v="2"/>
    <n v="1"/>
    <x v="1"/>
    <n v="3"/>
    <x v="1"/>
    <n v="2451"/>
    <n v="22376"/>
    <n v="6"/>
    <s v="Y"/>
    <s v="No"/>
    <n v="18"/>
    <x v="0"/>
    <n v="1"/>
    <n v="80"/>
    <n v="2"/>
    <n v="5"/>
    <n v="2"/>
    <n v="2"/>
    <n v="1"/>
    <n v="0"/>
    <n v="0"/>
    <n v="0"/>
  </r>
  <r>
    <n v="33"/>
    <x v="1"/>
    <x v="0"/>
    <n v="1242"/>
    <x v="0"/>
    <n v="8"/>
    <n v="4"/>
    <s v="Life Sciences"/>
    <n v="1"/>
    <n v="1560"/>
    <n v="1"/>
    <x v="1"/>
    <n v="46"/>
    <x v="0"/>
    <n v="2"/>
    <x v="0"/>
    <n v="1"/>
    <x v="1"/>
    <n v="6392"/>
    <n v="10589"/>
    <n v="2"/>
    <s v="Y"/>
    <s v="No"/>
    <n v="13"/>
    <x v="0"/>
    <n v="4"/>
    <n v="80"/>
    <n v="1"/>
    <n v="8"/>
    <n v="6"/>
    <n v="1"/>
    <n v="2"/>
    <n v="2"/>
    <n v="2"/>
    <n v="2"/>
  </r>
  <r>
    <n v="30"/>
    <x v="0"/>
    <x v="0"/>
    <n v="740"/>
    <x v="0"/>
    <n v="1"/>
    <n v="3"/>
    <s v="Life Sciences"/>
    <n v="1"/>
    <n v="1562"/>
    <n v="2"/>
    <x v="1"/>
    <n v="64"/>
    <x v="1"/>
    <n v="2"/>
    <x v="0"/>
    <n v="1"/>
    <x v="1"/>
    <n v="9714"/>
    <n v="5323"/>
    <n v="1"/>
    <s v="Y"/>
    <s v="No"/>
    <n v="11"/>
    <x v="0"/>
    <n v="4"/>
    <n v="80"/>
    <n v="1"/>
    <n v="10"/>
    <n v="4"/>
    <n v="3"/>
    <n v="10"/>
    <n v="8"/>
    <n v="6"/>
    <n v="7"/>
  </r>
  <r>
    <n v="38"/>
    <x v="1"/>
    <x v="1"/>
    <n v="888"/>
    <x v="2"/>
    <n v="10"/>
    <n v="4"/>
    <s v="Human Resources"/>
    <n v="1"/>
    <n v="1563"/>
    <n v="3"/>
    <x v="1"/>
    <n v="71"/>
    <x v="0"/>
    <n v="2"/>
    <x v="8"/>
    <n v="3"/>
    <x v="1"/>
    <n v="6077"/>
    <n v="14814"/>
    <n v="3"/>
    <s v="Y"/>
    <s v="No"/>
    <n v="11"/>
    <x v="0"/>
    <n v="3"/>
    <n v="80"/>
    <n v="0"/>
    <n v="10"/>
    <n v="2"/>
    <n v="3"/>
    <n v="6"/>
    <n v="3"/>
    <n v="1"/>
    <n v="2"/>
  </r>
  <r>
    <n v="35"/>
    <x v="1"/>
    <x v="0"/>
    <n v="992"/>
    <x v="1"/>
    <n v="1"/>
    <n v="3"/>
    <s v="Medical"/>
    <n v="1"/>
    <n v="1564"/>
    <n v="4"/>
    <x v="1"/>
    <n v="68"/>
    <x v="1"/>
    <n v="1"/>
    <x v="2"/>
    <n v="1"/>
    <x v="0"/>
    <n v="2450"/>
    <n v="21731"/>
    <n v="1"/>
    <s v="Y"/>
    <s v="No"/>
    <n v="19"/>
    <x v="0"/>
    <n v="2"/>
    <n v="80"/>
    <n v="0"/>
    <n v="3"/>
    <n v="3"/>
    <n v="3"/>
    <n v="3"/>
    <n v="0"/>
    <n v="1"/>
    <n v="2"/>
  </r>
  <r>
    <n v="30"/>
    <x v="1"/>
    <x v="0"/>
    <n v="1288"/>
    <x v="0"/>
    <n v="29"/>
    <n v="4"/>
    <s v="Technical Degree"/>
    <n v="1"/>
    <n v="1568"/>
    <n v="3"/>
    <x v="1"/>
    <n v="33"/>
    <x v="0"/>
    <n v="3"/>
    <x v="0"/>
    <n v="2"/>
    <x v="1"/>
    <n v="9250"/>
    <n v="17799"/>
    <n v="3"/>
    <s v="Y"/>
    <s v="No"/>
    <n v="12"/>
    <x v="0"/>
    <n v="2"/>
    <n v="80"/>
    <n v="1"/>
    <n v="9"/>
    <n v="3"/>
    <n v="3"/>
    <n v="4"/>
    <n v="2"/>
    <n v="1"/>
    <n v="3"/>
  </r>
  <r>
    <n v="35"/>
    <x v="0"/>
    <x v="0"/>
    <n v="104"/>
    <x v="1"/>
    <n v="2"/>
    <n v="3"/>
    <s v="Life Sciences"/>
    <n v="1"/>
    <n v="1569"/>
    <n v="1"/>
    <x v="0"/>
    <n v="69"/>
    <x v="0"/>
    <n v="1"/>
    <x v="2"/>
    <n v="1"/>
    <x v="2"/>
    <n v="2074"/>
    <n v="26619"/>
    <n v="1"/>
    <s v="Y"/>
    <s v="Yes"/>
    <n v="12"/>
    <x v="0"/>
    <n v="4"/>
    <n v="80"/>
    <n v="1"/>
    <n v="1"/>
    <n v="2"/>
    <n v="3"/>
    <n v="1"/>
    <n v="0"/>
    <n v="0"/>
    <n v="0"/>
  </r>
  <r>
    <n v="53"/>
    <x v="0"/>
    <x v="0"/>
    <n v="607"/>
    <x v="1"/>
    <n v="2"/>
    <n v="5"/>
    <s v="Technical Degree"/>
    <n v="1"/>
    <n v="1572"/>
    <n v="3"/>
    <x v="0"/>
    <n v="78"/>
    <x v="1"/>
    <n v="3"/>
    <x v="3"/>
    <n v="4"/>
    <x v="1"/>
    <n v="10169"/>
    <n v="14618"/>
    <n v="0"/>
    <s v="Y"/>
    <s v="No"/>
    <n v="16"/>
    <x v="0"/>
    <n v="2"/>
    <n v="80"/>
    <n v="1"/>
    <n v="34"/>
    <n v="4"/>
    <n v="3"/>
    <n v="33"/>
    <n v="7"/>
    <n v="1"/>
    <n v="9"/>
  </r>
  <r>
    <n v="38"/>
    <x v="0"/>
    <x v="0"/>
    <n v="903"/>
    <x v="1"/>
    <n v="2"/>
    <n v="3"/>
    <s v="Medical"/>
    <n v="1"/>
    <n v="1573"/>
    <n v="3"/>
    <x v="1"/>
    <n v="81"/>
    <x v="0"/>
    <n v="2"/>
    <x v="3"/>
    <n v="2"/>
    <x v="1"/>
    <n v="4855"/>
    <n v="7653"/>
    <n v="4"/>
    <s v="Y"/>
    <s v="No"/>
    <n v="11"/>
    <x v="0"/>
    <n v="1"/>
    <n v="80"/>
    <n v="2"/>
    <n v="7"/>
    <n v="2"/>
    <n v="3"/>
    <n v="5"/>
    <n v="2"/>
    <n v="1"/>
    <n v="4"/>
  </r>
  <r>
    <n v="32"/>
    <x v="1"/>
    <x v="2"/>
    <n v="1200"/>
    <x v="1"/>
    <n v="1"/>
    <n v="4"/>
    <s v="Technical Degree"/>
    <n v="1"/>
    <n v="1574"/>
    <n v="4"/>
    <x v="1"/>
    <n v="62"/>
    <x v="0"/>
    <n v="2"/>
    <x v="1"/>
    <n v="1"/>
    <x v="1"/>
    <n v="4087"/>
    <n v="25174"/>
    <n v="4"/>
    <s v="Y"/>
    <s v="No"/>
    <n v="14"/>
    <x v="0"/>
    <n v="2"/>
    <n v="80"/>
    <n v="1"/>
    <n v="9"/>
    <n v="3"/>
    <n v="2"/>
    <n v="6"/>
    <n v="5"/>
    <n v="1"/>
    <n v="2"/>
  </r>
  <r>
    <n v="48"/>
    <x v="1"/>
    <x v="0"/>
    <n v="1108"/>
    <x v="1"/>
    <n v="15"/>
    <n v="4"/>
    <s v="Other"/>
    <n v="1"/>
    <n v="1576"/>
    <n v="3"/>
    <x v="0"/>
    <n v="65"/>
    <x v="0"/>
    <n v="1"/>
    <x v="1"/>
    <n v="1"/>
    <x v="1"/>
    <n v="2367"/>
    <n v="16530"/>
    <n v="8"/>
    <s v="Y"/>
    <s v="No"/>
    <n v="12"/>
    <x v="0"/>
    <n v="4"/>
    <n v="80"/>
    <n v="1"/>
    <n v="10"/>
    <n v="3"/>
    <n v="2"/>
    <n v="8"/>
    <n v="2"/>
    <n v="7"/>
    <n v="6"/>
  </r>
  <r>
    <n v="34"/>
    <x v="1"/>
    <x v="0"/>
    <n v="479"/>
    <x v="1"/>
    <n v="7"/>
    <n v="4"/>
    <s v="Medical"/>
    <n v="1"/>
    <n v="1577"/>
    <n v="1"/>
    <x v="1"/>
    <n v="35"/>
    <x v="0"/>
    <n v="1"/>
    <x v="1"/>
    <n v="4"/>
    <x v="0"/>
    <n v="2972"/>
    <n v="22061"/>
    <n v="1"/>
    <s v="Y"/>
    <s v="No"/>
    <n v="13"/>
    <x v="0"/>
    <n v="3"/>
    <n v="80"/>
    <n v="0"/>
    <n v="1"/>
    <n v="4"/>
    <n v="1"/>
    <n v="1"/>
    <n v="0"/>
    <n v="0"/>
    <n v="0"/>
  </r>
  <r>
    <n v="55"/>
    <x v="1"/>
    <x v="0"/>
    <n v="685"/>
    <x v="0"/>
    <n v="26"/>
    <n v="5"/>
    <s v="Marketing"/>
    <n v="1"/>
    <n v="1578"/>
    <n v="3"/>
    <x v="1"/>
    <n v="60"/>
    <x v="1"/>
    <n v="5"/>
    <x v="5"/>
    <n v="4"/>
    <x v="1"/>
    <n v="19586"/>
    <n v="23037"/>
    <n v="1"/>
    <s v="Y"/>
    <s v="No"/>
    <n v="21"/>
    <x v="1"/>
    <n v="3"/>
    <n v="80"/>
    <n v="1"/>
    <n v="36"/>
    <n v="3"/>
    <n v="3"/>
    <n v="36"/>
    <n v="6"/>
    <n v="2"/>
    <n v="13"/>
  </r>
  <r>
    <n v="34"/>
    <x v="1"/>
    <x v="0"/>
    <n v="1351"/>
    <x v="1"/>
    <n v="1"/>
    <n v="4"/>
    <s v="Life Sciences"/>
    <n v="1"/>
    <n v="1580"/>
    <n v="2"/>
    <x v="1"/>
    <n v="45"/>
    <x v="0"/>
    <n v="2"/>
    <x v="1"/>
    <n v="4"/>
    <x v="1"/>
    <n v="5484"/>
    <n v="13008"/>
    <n v="9"/>
    <s v="Y"/>
    <s v="No"/>
    <n v="17"/>
    <x v="0"/>
    <n v="2"/>
    <n v="80"/>
    <n v="1"/>
    <n v="9"/>
    <n v="3"/>
    <n v="2"/>
    <n v="2"/>
    <n v="2"/>
    <n v="2"/>
    <n v="1"/>
  </r>
  <r>
    <n v="26"/>
    <x v="1"/>
    <x v="0"/>
    <n v="474"/>
    <x v="1"/>
    <n v="3"/>
    <n v="3"/>
    <s v="Life Sciences"/>
    <n v="1"/>
    <n v="1581"/>
    <n v="1"/>
    <x v="0"/>
    <n v="89"/>
    <x v="0"/>
    <n v="1"/>
    <x v="1"/>
    <n v="4"/>
    <x v="1"/>
    <n v="2061"/>
    <n v="11133"/>
    <n v="1"/>
    <s v="Y"/>
    <s v="No"/>
    <n v="21"/>
    <x v="1"/>
    <n v="1"/>
    <n v="80"/>
    <n v="0"/>
    <n v="1"/>
    <n v="5"/>
    <n v="3"/>
    <n v="1"/>
    <n v="0"/>
    <n v="0"/>
    <n v="0"/>
  </r>
  <r>
    <n v="38"/>
    <x v="1"/>
    <x v="0"/>
    <n v="1245"/>
    <x v="0"/>
    <n v="14"/>
    <n v="3"/>
    <s v="Life Sciences"/>
    <n v="1"/>
    <n v="1582"/>
    <n v="3"/>
    <x v="1"/>
    <n v="80"/>
    <x v="0"/>
    <n v="2"/>
    <x v="0"/>
    <n v="2"/>
    <x v="1"/>
    <n v="9924"/>
    <n v="12355"/>
    <n v="0"/>
    <s v="Y"/>
    <s v="No"/>
    <n v="11"/>
    <x v="0"/>
    <n v="4"/>
    <n v="80"/>
    <n v="1"/>
    <n v="10"/>
    <n v="3"/>
    <n v="3"/>
    <n v="9"/>
    <n v="8"/>
    <n v="7"/>
    <n v="7"/>
  </r>
  <r>
    <n v="38"/>
    <x v="1"/>
    <x v="0"/>
    <n v="437"/>
    <x v="0"/>
    <n v="16"/>
    <n v="3"/>
    <s v="Life Sciences"/>
    <n v="1"/>
    <n v="1583"/>
    <n v="2"/>
    <x v="0"/>
    <n v="90"/>
    <x v="0"/>
    <n v="2"/>
    <x v="0"/>
    <n v="2"/>
    <x v="0"/>
    <n v="4198"/>
    <n v="16379"/>
    <n v="2"/>
    <s v="Y"/>
    <s v="No"/>
    <n v="12"/>
    <x v="0"/>
    <n v="2"/>
    <n v="80"/>
    <n v="0"/>
    <n v="8"/>
    <n v="5"/>
    <n v="4"/>
    <n v="3"/>
    <n v="2"/>
    <n v="1"/>
    <n v="2"/>
  </r>
  <r>
    <n v="36"/>
    <x v="1"/>
    <x v="0"/>
    <n v="884"/>
    <x v="0"/>
    <n v="1"/>
    <n v="4"/>
    <s v="Life Sciences"/>
    <n v="1"/>
    <n v="1585"/>
    <n v="2"/>
    <x v="0"/>
    <n v="73"/>
    <x v="0"/>
    <n v="2"/>
    <x v="0"/>
    <n v="3"/>
    <x v="0"/>
    <n v="6815"/>
    <n v="21447"/>
    <n v="6"/>
    <s v="Y"/>
    <s v="No"/>
    <n v="13"/>
    <x v="0"/>
    <n v="1"/>
    <n v="80"/>
    <n v="0"/>
    <n v="15"/>
    <n v="5"/>
    <n v="3"/>
    <n v="1"/>
    <n v="0"/>
    <n v="0"/>
    <n v="0"/>
  </r>
  <r>
    <n v="29"/>
    <x v="1"/>
    <x v="0"/>
    <n v="1370"/>
    <x v="1"/>
    <n v="3"/>
    <n v="1"/>
    <s v="Medical"/>
    <n v="1"/>
    <n v="1586"/>
    <n v="2"/>
    <x v="1"/>
    <n v="87"/>
    <x v="0"/>
    <n v="1"/>
    <x v="2"/>
    <n v="1"/>
    <x v="0"/>
    <n v="4723"/>
    <n v="16213"/>
    <n v="1"/>
    <s v="Y"/>
    <s v="Yes"/>
    <n v="18"/>
    <x v="0"/>
    <n v="4"/>
    <n v="80"/>
    <n v="0"/>
    <n v="10"/>
    <n v="3"/>
    <n v="3"/>
    <n v="10"/>
    <n v="9"/>
    <n v="1"/>
    <n v="5"/>
  </r>
  <r>
    <n v="35"/>
    <x v="1"/>
    <x v="0"/>
    <n v="670"/>
    <x v="1"/>
    <n v="10"/>
    <n v="4"/>
    <s v="Medical"/>
    <n v="1"/>
    <n v="1587"/>
    <n v="1"/>
    <x v="0"/>
    <n v="51"/>
    <x v="0"/>
    <n v="2"/>
    <x v="4"/>
    <n v="3"/>
    <x v="0"/>
    <n v="6142"/>
    <n v="4223"/>
    <n v="3"/>
    <s v="Y"/>
    <s v="Yes"/>
    <n v="16"/>
    <x v="0"/>
    <n v="3"/>
    <n v="80"/>
    <n v="0"/>
    <n v="10"/>
    <n v="4"/>
    <n v="3"/>
    <n v="5"/>
    <n v="2"/>
    <n v="0"/>
    <n v="4"/>
  </r>
  <r>
    <n v="39"/>
    <x v="1"/>
    <x v="0"/>
    <n v="1462"/>
    <x v="0"/>
    <n v="6"/>
    <n v="3"/>
    <s v="Medical"/>
    <n v="1"/>
    <n v="1588"/>
    <n v="4"/>
    <x v="1"/>
    <n v="38"/>
    <x v="2"/>
    <n v="3"/>
    <x v="0"/>
    <n v="3"/>
    <x v="1"/>
    <n v="8237"/>
    <n v="4658"/>
    <n v="2"/>
    <s v="Y"/>
    <s v="No"/>
    <n v="11"/>
    <x v="0"/>
    <n v="1"/>
    <n v="80"/>
    <n v="1"/>
    <n v="11"/>
    <n v="3"/>
    <n v="3"/>
    <n v="7"/>
    <n v="6"/>
    <n v="7"/>
    <n v="6"/>
  </r>
  <r>
    <n v="29"/>
    <x v="1"/>
    <x v="1"/>
    <n v="995"/>
    <x v="1"/>
    <n v="2"/>
    <n v="1"/>
    <s v="Life Sciences"/>
    <n v="1"/>
    <n v="1590"/>
    <n v="1"/>
    <x v="1"/>
    <n v="87"/>
    <x v="0"/>
    <n v="2"/>
    <x v="4"/>
    <n v="4"/>
    <x v="2"/>
    <n v="8853"/>
    <n v="24483"/>
    <n v="1"/>
    <s v="Y"/>
    <s v="No"/>
    <n v="19"/>
    <x v="0"/>
    <n v="4"/>
    <n v="80"/>
    <n v="1"/>
    <n v="6"/>
    <n v="0"/>
    <n v="4"/>
    <n v="6"/>
    <n v="4"/>
    <n v="1"/>
    <n v="3"/>
  </r>
  <r>
    <n v="50"/>
    <x v="1"/>
    <x v="0"/>
    <n v="264"/>
    <x v="0"/>
    <n v="9"/>
    <n v="3"/>
    <s v="Marketing"/>
    <n v="1"/>
    <n v="1591"/>
    <n v="3"/>
    <x v="1"/>
    <n v="59"/>
    <x v="0"/>
    <n v="5"/>
    <x v="5"/>
    <n v="3"/>
    <x v="1"/>
    <n v="19331"/>
    <n v="19519"/>
    <n v="4"/>
    <s v="Y"/>
    <s v="Yes"/>
    <n v="16"/>
    <x v="0"/>
    <n v="3"/>
    <n v="80"/>
    <n v="1"/>
    <n v="27"/>
    <n v="2"/>
    <n v="3"/>
    <n v="1"/>
    <n v="0"/>
    <n v="0"/>
    <n v="0"/>
  </r>
  <r>
    <n v="23"/>
    <x v="1"/>
    <x v="0"/>
    <n v="977"/>
    <x v="1"/>
    <n v="10"/>
    <n v="3"/>
    <s v="Technical Degree"/>
    <n v="1"/>
    <n v="1592"/>
    <n v="4"/>
    <x v="1"/>
    <n v="45"/>
    <x v="2"/>
    <n v="1"/>
    <x v="1"/>
    <n v="3"/>
    <x v="1"/>
    <n v="2073"/>
    <n v="12826"/>
    <n v="2"/>
    <s v="Y"/>
    <s v="No"/>
    <n v="16"/>
    <x v="0"/>
    <n v="4"/>
    <n v="80"/>
    <n v="1"/>
    <n v="4"/>
    <n v="2"/>
    <n v="3"/>
    <n v="2"/>
    <n v="2"/>
    <n v="2"/>
    <n v="2"/>
  </r>
  <r>
    <n v="36"/>
    <x v="1"/>
    <x v="1"/>
    <n v="1302"/>
    <x v="1"/>
    <n v="6"/>
    <n v="4"/>
    <s v="Life Sciences"/>
    <n v="1"/>
    <n v="1594"/>
    <n v="1"/>
    <x v="1"/>
    <n v="80"/>
    <x v="2"/>
    <n v="2"/>
    <x v="2"/>
    <n v="1"/>
    <x v="1"/>
    <n v="5562"/>
    <n v="19711"/>
    <n v="3"/>
    <s v="Y"/>
    <s v="Yes"/>
    <n v="13"/>
    <x v="0"/>
    <n v="4"/>
    <n v="80"/>
    <n v="1"/>
    <n v="9"/>
    <n v="3"/>
    <n v="3"/>
    <n v="3"/>
    <n v="2"/>
    <n v="0"/>
    <n v="2"/>
  </r>
  <r>
    <n v="42"/>
    <x v="1"/>
    <x v="0"/>
    <n v="1059"/>
    <x v="1"/>
    <n v="9"/>
    <n v="2"/>
    <s v="Other"/>
    <n v="1"/>
    <n v="1595"/>
    <n v="4"/>
    <x v="1"/>
    <n v="93"/>
    <x v="1"/>
    <n v="5"/>
    <x v="5"/>
    <n v="4"/>
    <x v="0"/>
    <n v="19613"/>
    <n v="26362"/>
    <n v="8"/>
    <s v="Y"/>
    <s v="No"/>
    <n v="22"/>
    <x v="1"/>
    <n v="4"/>
    <n v="80"/>
    <n v="0"/>
    <n v="24"/>
    <n v="2"/>
    <n v="3"/>
    <n v="1"/>
    <n v="0"/>
    <n v="0"/>
    <n v="1"/>
  </r>
  <r>
    <n v="35"/>
    <x v="1"/>
    <x v="0"/>
    <n v="750"/>
    <x v="1"/>
    <n v="28"/>
    <n v="3"/>
    <s v="Life Sciences"/>
    <n v="1"/>
    <n v="1596"/>
    <n v="2"/>
    <x v="1"/>
    <n v="46"/>
    <x v="2"/>
    <n v="2"/>
    <x v="2"/>
    <n v="3"/>
    <x v="1"/>
    <n v="3407"/>
    <n v="25348"/>
    <n v="1"/>
    <s v="Y"/>
    <s v="No"/>
    <n v="17"/>
    <x v="0"/>
    <n v="4"/>
    <n v="80"/>
    <n v="2"/>
    <n v="10"/>
    <n v="3"/>
    <n v="2"/>
    <n v="10"/>
    <n v="9"/>
    <n v="6"/>
    <n v="8"/>
  </r>
  <r>
    <n v="34"/>
    <x v="1"/>
    <x v="1"/>
    <n v="653"/>
    <x v="1"/>
    <n v="10"/>
    <n v="4"/>
    <s v="Technical Degree"/>
    <n v="1"/>
    <n v="1597"/>
    <n v="4"/>
    <x v="1"/>
    <n v="92"/>
    <x v="1"/>
    <n v="2"/>
    <x v="4"/>
    <n v="3"/>
    <x v="1"/>
    <n v="5063"/>
    <n v="15332"/>
    <n v="1"/>
    <s v="Y"/>
    <s v="No"/>
    <n v="14"/>
    <x v="0"/>
    <n v="2"/>
    <n v="80"/>
    <n v="1"/>
    <n v="8"/>
    <n v="3"/>
    <n v="2"/>
    <n v="8"/>
    <n v="2"/>
    <n v="7"/>
    <n v="7"/>
  </r>
  <r>
    <n v="40"/>
    <x v="1"/>
    <x v="0"/>
    <n v="118"/>
    <x v="0"/>
    <n v="14"/>
    <n v="2"/>
    <s v="Life Sciences"/>
    <n v="1"/>
    <n v="1598"/>
    <n v="4"/>
    <x v="0"/>
    <n v="84"/>
    <x v="0"/>
    <n v="2"/>
    <x v="0"/>
    <n v="1"/>
    <x v="1"/>
    <n v="4639"/>
    <n v="11262"/>
    <n v="1"/>
    <s v="Y"/>
    <s v="No"/>
    <n v="15"/>
    <x v="0"/>
    <n v="3"/>
    <n v="80"/>
    <n v="1"/>
    <n v="5"/>
    <n v="2"/>
    <n v="3"/>
    <n v="5"/>
    <n v="4"/>
    <n v="1"/>
    <n v="2"/>
  </r>
  <r>
    <n v="43"/>
    <x v="1"/>
    <x v="0"/>
    <n v="990"/>
    <x v="1"/>
    <n v="27"/>
    <n v="3"/>
    <s v="Technical Degree"/>
    <n v="1"/>
    <n v="1599"/>
    <n v="4"/>
    <x v="1"/>
    <n v="87"/>
    <x v="2"/>
    <n v="1"/>
    <x v="2"/>
    <n v="2"/>
    <x v="2"/>
    <n v="4876"/>
    <n v="5855"/>
    <n v="5"/>
    <s v="Y"/>
    <s v="No"/>
    <n v="12"/>
    <x v="0"/>
    <n v="3"/>
    <n v="80"/>
    <n v="1"/>
    <n v="8"/>
    <n v="0"/>
    <n v="3"/>
    <n v="6"/>
    <n v="4"/>
    <n v="0"/>
    <n v="2"/>
  </r>
  <r>
    <n v="35"/>
    <x v="1"/>
    <x v="0"/>
    <n v="1349"/>
    <x v="1"/>
    <n v="7"/>
    <n v="2"/>
    <s v="Life Sciences"/>
    <n v="1"/>
    <n v="1601"/>
    <n v="3"/>
    <x v="1"/>
    <n v="63"/>
    <x v="1"/>
    <n v="1"/>
    <x v="2"/>
    <n v="4"/>
    <x v="1"/>
    <n v="2690"/>
    <n v="7713"/>
    <n v="1"/>
    <s v="Y"/>
    <s v="No"/>
    <n v="18"/>
    <x v="0"/>
    <n v="4"/>
    <n v="80"/>
    <n v="1"/>
    <n v="1"/>
    <n v="5"/>
    <n v="2"/>
    <n v="1"/>
    <n v="0"/>
    <n v="0"/>
    <n v="1"/>
  </r>
  <r>
    <n v="46"/>
    <x v="1"/>
    <x v="0"/>
    <n v="563"/>
    <x v="0"/>
    <n v="1"/>
    <n v="4"/>
    <s v="Life Sciences"/>
    <n v="1"/>
    <n v="1602"/>
    <n v="4"/>
    <x v="1"/>
    <n v="56"/>
    <x v="2"/>
    <n v="4"/>
    <x v="5"/>
    <n v="1"/>
    <x v="0"/>
    <n v="17567"/>
    <n v="3156"/>
    <n v="1"/>
    <s v="Y"/>
    <s v="No"/>
    <n v="15"/>
    <x v="0"/>
    <n v="2"/>
    <n v="80"/>
    <n v="0"/>
    <n v="27"/>
    <n v="5"/>
    <n v="1"/>
    <n v="26"/>
    <n v="0"/>
    <n v="0"/>
    <n v="12"/>
  </r>
  <r>
    <n v="28"/>
    <x v="0"/>
    <x v="0"/>
    <n v="329"/>
    <x v="1"/>
    <n v="24"/>
    <n v="3"/>
    <s v="Medical"/>
    <n v="1"/>
    <n v="1604"/>
    <n v="3"/>
    <x v="1"/>
    <n v="51"/>
    <x v="0"/>
    <n v="1"/>
    <x v="2"/>
    <n v="2"/>
    <x v="1"/>
    <n v="2408"/>
    <n v="7324"/>
    <n v="1"/>
    <s v="Y"/>
    <s v="Yes"/>
    <n v="17"/>
    <x v="0"/>
    <n v="3"/>
    <n v="80"/>
    <n v="3"/>
    <n v="1"/>
    <n v="3"/>
    <n v="3"/>
    <n v="1"/>
    <n v="1"/>
    <n v="0"/>
    <n v="0"/>
  </r>
  <r>
    <n v="22"/>
    <x v="1"/>
    <x v="2"/>
    <n v="457"/>
    <x v="1"/>
    <n v="26"/>
    <n v="2"/>
    <s v="Other"/>
    <n v="1"/>
    <n v="1605"/>
    <n v="2"/>
    <x v="0"/>
    <n v="85"/>
    <x v="1"/>
    <n v="1"/>
    <x v="1"/>
    <n v="3"/>
    <x v="1"/>
    <n v="2814"/>
    <n v="10293"/>
    <n v="1"/>
    <s v="Y"/>
    <s v="Yes"/>
    <n v="14"/>
    <x v="0"/>
    <n v="2"/>
    <n v="80"/>
    <n v="0"/>
    <n v="4"/>
    <n v="2"/>
    <n v="2"/>
    <n v="4"/>
    <n v="2"/>
    <n v="1"/>
    <n v="3"/>
  </r>
  <r>
    <n v="50"/>
    <x v="1"/>
    <x v="1"/>
    <n v="1234"/>
    <x v="1"/>
    <n v="20"/>
    <n v="5"/>
    <s v="Medical"/>
    <n v="1"/>
    <n v="1606"/>
    <n v="2"/>
    <x v="1"/>
    <n v="41"/>
    <x v="0"/>
    <n v="4"/>
    <x v="4"/>
    <n v="3"/>
    <x v="1"/>
    <n v="11245"/>
    <n v="20689"/>
    <n v="2"/>
    <s v="Y"/>
    <s v="Yes"/>
    <n v="15"/>
    <x v="0"/>
    <n v="3"/>
    <n v="80"/>
    <n v="1"/>
    <n v="32"/>
    <n v="3"/>
    <n v="3"/>
    <n v="30"/>
    <n v="8"/>
    <n v="12"/>
    <n v="13"/>
  </r>
  <r>
    <n v="32"/>
    <x v="1"/>
    <x v="0"/>
    <n v="634"/>
    <x v="1"/>
    <n v="5"/>
    <n v="4"/>
    <s v="Other"/>
    <n v="1"/>
    <n v="1607"/>
    <n v="2"/>
    <x v="0"/>
    <n v="35"/>
    <x v="2"/>
    <n v="1"/>
    <x v="1"/>
    <n v="4"/>
    <x v="1"/>
    <n v="3312"/>
    <n v="18783"/>
    <n v="3"/>
    <s v="Y"/>
    <s v="No"/>
    <n v="17"/>
    <x v="0"/>
    <n v="4"/>
    <n v="80"/>
    <n v="2"/>
    <n v="6"/>
    <n v="3"/>
    <n v="3"/>
    <n v="3"/>
    <n v="2"/>
    <n v="0"/>
    <n v="2"/>
  </r>
  <r>
    <n v="44"/>
    <x v="1"/>
    <x v="0"/>
    <n v="1313"/>
    <x v="1"/>
    <n v="7"/>
    <n v="3"/>
    <s v="Medical"/>
    <n v="1"/>
    <n v="1608"/>
    <n v="2"/>
    <x v="0"/>
    <n v="31"/>
    <x v="0"/>
    <n v="5"/>
    <x v="7"/>
    <n v="4"/>
    <x v="2"/>
    <n v="19049"/>
    <n v="3549"/>
    <n v="0"/>
    <s v="Y"/>
    <s v="Yes"/>
    <n v="14"/>
    <x v="0"/>
    <n v="4"/>
    <n v="80"/>
    <n v="1"/>
    <n v="23"/>
    <n v="4"/>
    <n v="2"/>
    <n v="22"/>
    <n v="7"/>
    <n v="1"/>
    <n v="10"/>
  </r>
  <r>
    <n v="30"/>
    <x v="1"/>
    <x v="0"/>
    <n v="241"/>
    <x v="1"/>
    <n v="7"/>
    <n v="3"/>
    <s v="Medical"/>
    <n v="1"/>
    <n v="1609"/>
    <n v="2"/>
    <x v="1"/>
    <n v="48"/>
    <x v="1"/>
    <n v="1"/>
    <x v="1"/>
    <n v="2"/>
    <x v="1"/>
    <n v="2141"/>
    <n v="5348"/>
    <n v="1"/>
    <s v="Y"/>
    <s v="No"/>
    <n v="12"/>
    <x v="0"/>
    <n v="2"/>
    <n v="80"/>
    <n v="1"/>
    <n v="6"/>
    <n v="3"/>
    <n v="2"/>
    <n v="6"/>
    <n v="4"/>
    <n v="1"/>
    <n v="1"/>
  </r>
  <r>
    <n v="45"/>
    <x v="1"/>
    <x v="0"/>
    <n v="1015"/>
    <x v="1"/>
    <n v="5"/>
    <n v="5"/>
    <s v="Medical"/>
    <n v="1"/>
    <n v="1611"/>
    <n v="3"/>
    <x v="0"/>
    <n v="50"/>
    <x v="3"/>
    <n v="2"/>
    <x v="2"/>
    <n v="1"/>
    <x v="0"/>
    <n v="5769"/>
    <n v="23447"/>
    <n v="1"/>
    <s v="Y"/>
    <s v="Yes"/>
    <n v="14"/>
    <x v="0"/>
    <n v="1"/>
    <n v="80"/>
    <n v="0"/>
    <n v="10"/>
    <n v="3"/>
    <n v="3"/>
    <n v="10"/>
    <n v="7"/>
    <n v="1"/>
    <n v="4"/>
  </r>
  <r>
    <n v="45"/>
    <x v="1"/>
    <x v="2"/>
    <n v="336"/>
    <x v="0"/>
    <n v="26"/>
    <n v="3"/>
    <s v="Marketing"/>
    <n v="1"/>
    <n v="1612"/>
    <n v="1"/>
    <x v="1"/>
    <n v="52"/>
    <x v="1"/>
    <n v="2"/>
    <x v="0"/>
    <n v="1"/>
    <x v="1"/>
    <n v="4385"/>
    <n v="24162"/>
    <n v="1"/>
    <s v="Y"/>
    <s v="No"/>
    <n v="15"/>
    <x v="0"/>
    <n v="1"/>
    <n v="80"/>
    <n v="1"/>
    <n v="10"/>
    <n v="2"/>
    <n v="3"/>
    <n v="10"/>
    <n v="7"/>
    <n v="4"/>
    <n v="5"/>
  </r>
  <r>
    <n v="31"/>
    <x v="1"/>
    <x v="1"/>
    <n v="715"/>
    <x v="0"/>
    <n v="2"/>
    <n v="4"/>
    <s v="Other"/>
    <n v="1"/>
    <n v="1613"/>
    <n v="4"/>
    <x v="1"/>
    <n v="54"/>
    <x v="0"/>
    <n v="2"/>
    <x v="0"/>
    <n v="1"/>
    <x v="0"/>
    <n v="5332"/>
    <n v="21602"/>
    <n v="7"/>
    <s v="Y"/>
    <s v="No"/>
    <n v="13"/>
    <x v="0"/>
    <n v="4"/>
    <n v="80"/>
    <n v="0"/>
    <n v="10"/>
    <n v="3"/>
    <n v="3"/>
    <n v="5"/>
    <n v="2"/>
    <n v="0"/>
    <n v="3"/>
  </r>
  <r>
    <n v="36"/>
    <x v="1"/>
    <x v="0"/>
    <n v="559"/>
    <x v="1"/>
    <n v="12"/>
    <n v="4"/>
    <s v="Life Sciences"/>
    <n v="1"/>
    <n v="1614"/>
    <n v="3"/>
    <x v="0"/>
    <n v="76"/>
    <x v="0"/>
    <n v="2"/>
    <x v="3"/>
    <n v="3"/>
    <x v="1"/>
    <n v="4663"/>
    <n v="12421"/>
    <n v="9"/>
    <s v="Y"/>
    <s v="Yes"/>
    <n v="12"/>
    <x v="0"/>
    <n v="2"/>
    <n v="80"/>
    <n v="2"/>
    <n v="7"/>
    <n v="2"/>
    <n v="3"/>
    <n v="3"/>
    <n v="2"/>
    <n v="1"/>
    <n v="1"/>
  </r>
  <r>
    <n v="34"/>
    <x v="1"/>
    <x v="1"/>
    <n v="426"/>
    <x v="1"/>
    <n v="10"/>
    <n v="4"/>
    <s v="Life Sciences"/>
    <n v="1"/>
    <n v="1615"/>
    <n v="3"/>
    <x v="1"/>
    <n v="42"/>
    <x v="2"/>
    <n v="2"/>
    <x v="3"/>
    <n v="4"/>
    <x v="2"/>
    <n v="4724"/>
    <n v="17000"/>
    <n v="1"/>
    <s v="Y"/>
    <s v="No"/>
    <n v="13"/>
    <x v="0"/>
    <n v="1"/>
    <n v="80"/>
    <n v="1"/>
    <n v="9"/>
    <n v="3"/>
    <n v="3"/>
    <n v="9"/>
    <n v="7"/>
    <n v="7"/>
    <n v="2"/>
  </r>
  <r>
    <n v="49"/>
    <x v="1"/>
    <x v="0"/>
    <n v="722"/>
    <x v="1"/>
    <n v="25"/>
    <n v="4"/>
    <s v="Life Sciences"/>
    <n v="1"/>
    <n v="1617"/>
    <n v="3"/>
    <x v="0"/>
    <n v="84"/>
    <x v="0"/>
    <n v="1"/>
    <x v="2"/>
    <n v="1"/>
    <x v="1"/>
    <n v="3211"/>
    <n v="22102"/>
    <n v="1"/>
    <s v="Y"/>
    <s v="No"/>
    <n v="14"/>
    <x v="0"/>
    <n v="4"/>
    <n v="80"/>
    <n v="1"/>
    <n v="10"/>
    <n v="3"/>
    <n v="2"/>
    <n v="9"/>
    <n v="6"/>
    <n v="1"/>
    <n v="4"/>
  </r>
  <r>
    <n v="39"/>
    <x v="1"/>
    <x v="0"/>
    <n v="1387"/>
    <x v="1"/>
    <n v="10"/>
    <n v="5"/>
    <s v="Medical"/>
    <n v="1"/>
    <n v="1618"/>
    <n v="2"/>
    <x v="1"/>
    <n v="76"/>
    <x v="0"/>
    <n v="2"/>
    <x v="3"/>
    <n v="1"/>
    <x v="1"/>
    <n v="5377"/>
    <n v="3835"/>
    <n v="2"/>
    <s v="Y"/>
    <s v="No"/>
    <n v="13"/>
    <x v="0"/>
    <n v="4"/>
    <n v="80"/>
    <n v="3"/>
    <n v="10"/>
    <n v="3"/>
    <n v="3"/>
    <n v="7"/>
    <n v="7"/>
    <n v="7"/>
    <n v="7"/>
  </r>
  <r>
    <n v="27"/>
    <x v="1"/>
    <x v="0"/>
    <n v="1302"/>
    <x v="1"/>
    <n v="19"/>
    <n v="3"/>
    <s v="Other"/>
    <n v="1"/>
    <n v="1619"/>
    <n v="4"/>
    <x v="1"/>
    <n v="67"/>
    <x v="1"/>
    <n v="1"/>
    <x v="2"/>
    <n v="1"/>
    <x v="2"/>
    <n v="4066"/>
    <n v="16290"/>
    <n v="1"/>
    <s v="Y"/>
    <s v="No"/>
    <n v="11"/>
    <x v="0"/>
    <n v="1"/>
    <n v="80"/>
    <n v="2"/>
    <n v="7"/>
    <n v="3"/>
    <n v="3"/>
    <n v="7"/>
    <n v="7"/>
    <n v="0"/>
    <n v="7"/>
  </r>
  <r>
    <n v="35"/>
    <x v="1"/>
    <x v="0"/>
    <n v="819"/>
    <x v="1"/>
    <n v="18"/>
    <n v="5"/>
    <s v="Life Sciences"/>
    <n v="1"/>
    <n v="1621"/>
    <n v="2"/>
    <x v="1"/>
    <n v="48"/>
    <x v="2"/>
    <n v="2"/>
    <x v="1"/>
    <n v="1"/>
    <x v="1"/>
    <n v="5208"/>
    <n v="26312"/>
    <n v="1"/>
    <s v="Y"/>
    <s v="No"/>
    <n v="11"/>
    <x v="0"/>
    <n v="4"/>
    <n v="80"/>
    <n v="0"/>
    <n v="16"/>
    <n v="2"/>
    <n v="3"/>
    <n v="16"/>
    <n v="15"/>
    <n v="1"/>
    <n v="10"/>
  </r>
  <r>
    <n v="28"/>
    <x v="1"/>
    <x v="0"/>
    <n v="580"/>
    <x v="1"/>
    <n v="27"/>
    <n v="3"/>
    <s v="Medical"/>
    <n v="1"/>
    <n v="1622"/>
    <n v="2"/>
    <x v="0"/>
    <n v="39"/>
    <x v="3"/>
    <n v="2"/>
    <x v="3"/>
    <n v="1"/>
    <x v="2"/>
    <n v="4877"/>
    <n v="20460"/>
    <n v="0"/>
    <s v="Y"/>
    <s v="No"/>
    <n v="21"/>
    <x v="1"/>
    <n v="2"/>
    <n v="80"/>
    <n v="1"/>
    <n v="6"/>
    <n v="5"/>
    <n v="2"/>
    <n v="5"/>
    <n v="3"/>
    <n v="0"/>
    <n v="0"/>
  </r>
  <r>
    <n v="21"/>
    <x v="1"/>
    <x v="0"/>
    <n v="546"/>
    <x v="1"/>
    <n v="5"/>
    <n v="1"/>
    <s v="Medical"/>
    <n v="1"/>
    <n v="1623"/>
    <n v="3"/>
    <x v="1"/>
    <n v="97"/>
    <x v="0"/>
    <n v="1"/>
    <x v="1"/>
    <n v="4"/>
    <x v="0"/>
    <n v="3117"/>
    <n v="26009"/>
    <n v="1"/>
    <s v="Y"/>
    <s v="No"/>
    <n v="18"/>
    <x v="0"/>
    <n v="3"/>
    <n v="80"/>
    <n v="0"/>
    <n v="3"/>
    <n v="2"/>
    <n v="3"/>
    <n v="2"/>
    <n v="2"/>
    <n v="2"/>
    <n v="2"/>
  </r>
  <r>
    <n v="18"/>
    <x v="0"/>
    <x v="1"/>
    <n v="544"/>
    <x v="0"/>
    <n v="3"/>
    <n v="2"/>
    <s v="Medical"/>
    <n v="1"/>
    <n v="1624"/>
    <n v="2"/>
    <x v="0"/>
    <n v="70"/>
    <x v="0"/>
    <n v="1"/>
    <x v="6"/>
    <n v="4"/>
    <x v="0"/>
    <n v="1569"/>
    <n v="18420"/>
    <n v="1"/>
    <s v="Y"/>
    <s v="Yes"/>
    <n v="12"/>
    <x v="0"/>
    <n v="3"/>
    <n v="80"/>
    <n v="0"/>
    <n v="0"/>
    <n v="2"/>
    <n v="4"/>
    <n v="0"/>
    <n v="0"/>
    <n v="0"/>
    <n v="0"/>
  </r>
  <r>
    <n v="47"/>
    <x v="1"/>
    <x v="0"/>
    <n v="1176"/>
    <x v="2"/>
    <n v="26"/>
    <n v="4"/>
    <s v="Life Sciences"/>
    <n v="1"/>
    <n v="1625"/>
    <n v="4"/>
    <x v="0"/>
    <n v="98"/>
    <x v="0"/>
    <n v="5"/>
    <x v="5"/>
    <n v="3"/>
    <x v="1"/>
    <n v="19658"/>
    <n v="5220"/>
    <n v="3"/>
    <s v="Y"/>
    <s v="No"/>
    <n v="11"/>
    <x v="0"/>
    <n v="3"/>
    <n v="80"/>
    <n v="1"/>
    <n v="27"/>
    <n v="2"/>
    <n v="3"/>
    <n v="5"/>
    <n v="2"/>
    <n v="1"/>
    <n v="0"/>
  </r>
  <r>
    <n v="39"/>
    <x v="1"/>
    <x v="0"/>
    <n v="170"/>
    <x v="1"/>
    <n v="3"/>
    <n v="2"/>
    <s v="Medical"/>
    <n v="1"/>
    <n v="1627"/>
    <n v="3"/>
    <x v="1"/>
    <n v="76"/>
    <x v="1"/>
    <n v="2"/>
    <x v="2"/>
    <n v="3"/>
    <x v="2"/>
    <n v="3069"/>
    <n v="10302"/>
    <n v="0"/>
    <s v="Y"/>
    <s v="No"/>
    <n v="15"/>
    <x v="0"/>
    <n v="4"/>
    <n v="80"/>
    <n v="1"/>
    <n v="11"/>
    <n v="3"/>
    <n v="3"/>
    <n v="10"/>
    <n v="8"/>
    <n v="0"/>
    <n v="7"/>
  </r>
  <r>
    <n v="40"/>
    <x v="1"/>
    <x v="0"/>
    <n v="884"/>
    <x v="1"/>
    <n v="15"/>
    <n v="3"/>
    <s v="Life Sciences"/>
    <n v="1"/>
    <n v="1628"/>
    <n v="1"/>
    <x v="0"/>
    <n v="80"/>
    <x v="1"/>
    <n v="3"/>
    <x v="3"/>
    <n v="3"/>
    <x v="1"/>
    <n v="10435"/>
    <n v="25800"/>
    <n v="1"/>
    <s v="Y"/>
    <s v="No"/>
    <n v="13"/>
    <x v="0"/>
    <n v="4"/>
    <n v="80"/>
    <n v="2"/>
    <n v="18"/>
    <n v="2"/>
    <n v="3"/>
    <n v="18"/>
    <n v="15"/>
    <n v="14"/>
    <n v="12"/>
  </r>
  <r>
    <n v="35"/>
    <x v="1"/>
    <x v="2"/>
    <n v="208"/>
    <x v="1"/>
    <n v="8"/>
    <n v="4"/>
    <s v="Life Sciences"/>
    <n v="1"/>
    <n v="1630"/>
    <n v="3"/>
    <x v="0"/>
    <n v="52"/>
    <x v="0"/>
    <n v="2"/>
    <x v="4"/>
    <n v="3"/>
    <x v="1"/>
    <n v="4148"/>
    <n v="12250"/>
    <n v="1"/>
    <s v="Y"/>
    <s v="No"/>
    <n v="12"/>
    <x v="0"/>
    <n v="4"/>
    <n v="80"/>
    <n v="1"/>
    <n v="15"/>
    <n v="5"/>
    <n v="3"/>
    <n v="14"/>
    <n v="11"/>
    <n v="2"/>
    <n v="9"/>
  </r>
  <r>
    <n v="37"/>
    <x v="1"/>
    <x v="0"/>
    <n v="671"/>
    <x v="1"/>
    <n v="19"/>
    <n v="3"/>
    <s v="Life Sciences"/>
    <n v="1"/>
    <n v="1631"/>
    <n v="3"/>
    <x v="1"/>
    <n v="85"/>
    <x v="0"/>
    <n v="2"/>
    <x v="3"/>
    <n v="3"/>
    <x v="1"/>
    <n v="5768"/>
    <n v="26493"/>
    <n v="3"/>
    <s v="Y"/>
    <s v="No"/>
    <n v="17"/>
    <x v="0"/>
    <n v="1"/>
    <n v="80"/>
    <n v="3"/>
    <n v="9"/>
    <n v="2"/>
    <n v="2"/>
    <n v="4"/>
    <n v="3"/>
    <n v="0"/>
    <n v="2"/>
  </r>
  <r>
    <n v="39"/>
    <x v="1"/>
    <x v="1"/>
    <n v="711"/>
    <x v="1"/>
    <n v="4"/>
    <n v="3"/>
    <s v="Medical"/>
    <n v="1"/>
    <n v="1633"/>
    <n v="1"/>
    <x v="0"/>
    <n v="81"/>
    <x v="0"/>
    <n v="2"/>
    <x v="3"/>
    <n v="3"/>
    <x v="0"/>
    <n v="5042"/>
    <n v="3140"/>
    <n v="0"/>
    <s v="Y"/>
    <s v="No"/>
    <n v="13"/>
    <x v="0"/>
    <n v="4"/>
    <n v="80"/>
    <n v="0"/>
    <n v="10"/>
    <n v="2"/>
    <n v="1"/>
    <n v="9"/>
    <n v="2"/>
    <n v="3"/>
    <n v="8"/>
  </r>
  <r>
    <n v="45"/>
    <x v="1"/>
    <x v="0"/>
    <n v="1329"/>
    <x v="1"/>
    <n v="2"/>
    <n v="2"/>
    <s v="Other"/>
    <n v="1"/>
    <n v="1635"/>
    <n v="4"/>
    <x v="0"/>
    <n v="59"/>
    <x v="1"/>
    <n v="2"/>
    <x v="3"/>
    <n v="4"/>
    <x v="2"/>
    <n v="5770"/>
    <n v="5388"/>
    <n v="1"/>
    <s v="Y"/>
    <s v="No"/>
    <n v="19"/>
    <x v="0"/>
    <n v="1"/>
    <n v="80"/>
    <n v="2"/>
    <n v="10"/>
    <n v="3"/>
    <n v="3"/>
    <n v="10"/>
    <n v="7"/>
    <n v="3"/>
    <n v="9"/>
  </r>
  <r>
    <n v="38"/>
    <x v="1"/>
    <x v="0"/>
    <n v="397"/>
    <x v="1"/>
    <n v="2"/>
    <n v="2"/>
    <s v="Medical"/>
    <n v="1"/>
    <n v="1638"/>
    <n v="4"/>
    <x v="0"/>
    <n v="54"/>
    <x v="1"/>
    <n v="3"/>
    <x v="3"/>
    <n v="3"/>
    <x v="1"/>
    <n v="7756"/>
    <n v="14199"/>
    <n v="3"/>
    <s v="Y"/>
    <s v="Yes"/>
    <n v="19"/>
    <x v="0"/>
    <n v="4"/>
    <n v="80"/>
    <n v="1"/>
    <n v="10"/>
    <n v="6"/>
    <n v="4"/>
    <n v="5"/>
    <n v="4"/>
    <n v="0"/>
    <n v="2"/>
  </r>
  <r>
    <n v="35"/>
    <x v="0"/>
    <x v="0"/>
    <n v="737"/>
    <x v="0"/>
    <n v="10"/>
    <n v="3"/>
    <s v="Medical"/>
    <n v="1"/>
    <n v="1639"/>
    <n v="4"/>
    <x v="1"/>
    <n v="55"/>
    <x v="1"/>
    <n v="3"/>
    <x v="0"/>
    <n v="1"/>
    <x v="1"/>
    <n v="10306"/>
    <n v="21530"/>
    <n v="9"/>
    <s v="Y"/>
    <s v="No"/>
    <n v="17"/>
    <x v="0"/>
    <n v="3"/>
    <n v="80"/>
    <n v="0"/>
    <n v="15"/>
    <n v="3"/>
    <n v="3"/>
    <n v="13"/>
    <n v="12"/>
    <n v="6"/>
    <n v="0"/>
  </r>
  <r>
    <n v="37"/>
    <x v="1"/>
    <x v="0"/>
    <n v="1470"/>
    <x v="1"/>
    <n v="10"/>
    <n v="3"/>
    <s v="Medical"/>
    <n v="1"/>
    <n v="1640"/>
    <n v="2"/>
    <x v="0"/>
    <n v="71"/>
    <x v="0"/>
    <n v="1"/>
    <x v="1"/>
    <n v="2"/>
    <x v="1"/>
    <n v="3936"/>
    <n v="9953"/>
    <n v="1"/>
    <s v="Y"/>
    <s v="No"/>
    <n v="11"/>
    <x v="0"/>
    <n v="1"/>
    <n v="80"/>
    <n v="1"/>
    <n v="8"/>
    <n v="2"/>
    <n v="1"/>
    <n v="8"/>
    <n v="4"/>
    <n v="7"/>
    <n v="7"/>
  </r>
  <r>
    <n v="40"/>
    <x v="1"/>
    <x v="0"/>
    <n v="448"/>
    <x v="1"/>
    <n v="16"/>
    <n v="3"/>
    <s v="Life Sciences"/>
    <n v="1"/>
    <n v="1641"/>
    <n v="3"/>
    <x v="0"/>
    <n v="84"/>
    <x v="0"/>
    <n v="3"/>
    <x v="3"/>
    <n v="4"/>
    <x v="0"/>
    <n v="7945"/>
    <n v="19948"/>
    <n v="6"/>
    <s v="Y"/>
    <s v="Yes"/>
    <n v="15"/>
    <x v="0"/>
    <n v="4"/>
    <n v="80"/>
    <n v="0"/>
    <n v="18"/>
    <n v="2"/>
    <n v="2"/>
    <n v="4"/>
    <n v="2"/>
    <n v="3"/>
    <n v="3"/>
  </r>
  <r>
    <n v="44"/>
    <x v="1"/>
    <x v="1"/>
    <n v="602"/>
    <x v="2"/>
    <n v="1"/>
    <n v="5"/>
    <s v="Human Resources"/>
    <n v="1"/>
    <n v="1642"/>
    <n v="1"/>
    <x v="1"/>
    <n v="37"/>
    <x v="0"/>
    <n v="2"/>
    <x v="8"/>
    <n v="4"/>
    <x v="1"/>
    <n v="5743"/>
    <n v="10503"/>
    <n v="4"/>
    <s v="Y"/>
    <s v="Yes"/>
    <n v="11"/>
    <x v="0"/>
    <n v="3"/>
    <n v="80"/>
    <n v="0"/>
    <n v="14"/>
    <n v="3"/>
    <n v="3"/>
    <n v="10"/>
    <n v="7"/>
    <n v="0"/>
    <n v="2"/>
  </r>
  <r>
    <n v="48"/>
    <x v="1"/>
    <x v="1"/>
    <n v="365"/>
    <x v="1"/>
    <n v="4"/>
    <n v="5"/>
    <s v="Medical"/>
    <n v="1"/>
    <n v="1644"/>
    <n v="3"/>
    <x v="1"/>
    <n v="89"/>
    <x v="1"/>
    <n v="4"/>
    <x v="5"/>
    <n v="4"/>
    <x v="1"/>
    <n v="15202"/>
    <n v="5602"/>
    <n v="2"/>
    <s v="Y"/>
    <s v="No"/>
    <n v="25"/>
    <x v="1"/>
    <n v="2"/>
    <n v="80"/>
    <n v="1"/>
    <n v="23"/>
    <n v="3"/>
    <n v="3"/>
    <n v="2"/>
    <n v="2"/>
    <n v="2"/>
    <n v="2"/>
  </r>
  <r>
    <n v="35"/>
    <x v="0"/>
    <x v="0"/>
    <n v="763"/>
    <x v="0"/>
    <n v="15"/>
    <n v="2"/>
    <s v="Medical"/>
    <n v="1"/>
    <n v="1645"/>
    <n v="1"/>
    <x v="1"/>
    <n v="59"/>
    <x v="3"/>
    <n v="2"/>
    <x v="0"/>
    <n v="4"/>
    <x v="2"/>
    <n v="5440"/>
    <n v="22098"/>
    <n v="6"/>
    <s v="Y"/>
    <s v="Yes"/>
    <n v="14"/>
    <x v="0"/>
    <n v="4"/>
    <n v="80"/>
    <n v="2"/>
    <n v="7"/>
    <n v="2"/>
    <n v="2"/>
    <n v="2"/>
    <n v="2"/>
    <n v="2"/>
    <n v="2"/>
  </r>
  <r>
    <n v="24"/>
    <x v="1"/>
    <x v="1"/>
    <n v="567"/>
    <x v="1"/>
    <n v="2"/>
    <n v="1"/>
    <s v="Technical Degree"/>
    <n v="1"/>
    <n v="1646"/>
    <n v="1"/>
    <x v="0"/>
    <n v="32"/>
    <x v="0"/>
    <n v="1"/>
    <x v="1"/>
    <n v="4"/>
    <x v="0"/>
    <n v="3760"/>
    <n v="17218"/>
    <n v="1"/>
    <s v="Y"/>
    <s v="Yes"/>
    <n v="13"/>
    <x v="0"/>
    <n v="3"/>
    <n v="80"/>
    <n v="0"/>
    <n v="6"/>
    <n v="2"/>
    <n v="3"/>
    <n v="6"/>
    <n v="3"/>
    <n v="1"/>
    <n v="3"/>
  </r>
  <r>
    <n v="27"/>
    <x v="1"/>
    <x v="0"/>
    <n v="486"/>
    <x v="1"/>
    <n v="8"/>
    <n v="3"/>
    <s v="Medical"/>
    <n v="1"/>
    <n v="1647"/>
    <n v="2"/>
    <x v="0"/>
    <n v="86"/>
    <x v="2"/>
    <n v="1"/>
    <x v="1"/>
    <n v="3"/>
    <x v="1"/>
    <n v="3517"/>
    <n v="22490"/>
    <n v="7"/>
    <s v="Y"/>
    <s v="No"/>
    <n v="17"/>
    <x v="0"/>
    <n v="1"/>
    <n v="80"/>
    <n v="0"/>
    <n v="5"/>
    <n v="0"/>
    <n v="3"/>
    <n v="3"/>
    <n v="2"/>
    <n v="0"/>
    <n v="2"/>
  </r>
  <r>
    <n v="27"/>
    <x v="1"/>
    <x v="1"/>
    <n v="591"/>
    <x v="1"/>
    <n v="2"/>
    <n v="3"/>
    <s v="Medical"/>
    <n v="1"/>
    <n v="1648"/>
    <n v="4"/>
    <x v="1"/>
    <n v="87"/>
    <x v="0"/>
    <n v="1"/>
    <x v="1"/>
    <n v="4"/>
    <x v="0"/>
    <n v="2580"/>
    <n v="6297"/>
    <n v="2"/>
    <s v="Y"/>
    <s v="No"/>
    <n v="13"/>
    <x v="0"/>
    <n v="3"/>
    <n v="80"/>
    <n v="0"/>
    <n v="6"/>
    <n v="0"/>
    <n v="2"/>
    <n v="4"/>
    <n v="2"/>
    <n v="1"/>
    <n v="2"/>
  </r>
  <r>
    <n v="40"/>
    <x v="0"/>
    <x v="0"/>
    <n v="1329"/>
    <x v="1"/>
    <n v="7"/>
    <n v="3"/>
    <s v="Life Sciences"/>
    <n v="1"/>
    <n v="1649"/>
    <n v="1"/>
    <x v="1"/>
    <n v="73"/>
    <x v="0"/>
    <n v="1"/>
    <x v="2"/>
    <n v="1"/>
    <x v="0"/>
    <n v="2166"/>
    <n v="3339"/>
    <n v="3"/>
    <s v="Y"/>
    <s v="Yes"/>
    <n v="14"/>
    <x v="0"/>
    <n v="2"/>
    <n v="80"/>
    <n v="0"/>
    <n v="10"/>
    <n v="3"/>
    <n v="1"/>
    <n v="4"/>
    <n v="2"/>
    <n v="0"/>
    <n v="3"/>
  </r>
  <r>
    <n v="29"/>
    <x v="1"/>
    <x v="0"/>
    <n v="469"/>
    <x v="0"/>
    <n v="10"/>
    <n v="3"/>
    <s v="Medical"/>
    <n v="1"/>
    <n v="1650"/>
    <n v="3"/>
    <x v="1"/>
    <n v="42"/>
    <x v="1"/>
    <n v="2"/>
    <x v="0"/>
    <n v="3"/>
    <x v="0"/>
    <n v="5869"/>
    <n v="23413"/>
    <n v="9"/>
    <s v="Y"/>
    <s v="No"/>
    <n v="11"/>
    <x v="0"/>
    <n v="3"/>
    <n v="80"/>
    <n v="0"/>
    <n v="8"/>
    <n v="2"/>
    <n v="3"/>
    <n v="5"/>
    <n v="2"/>
    <n v="1"/>
    <n v="4"/>
  </r>
  <r>
    <n v="36"/>
    <x v="1"/>
    <x v="0"/>
    <n v="711"/>
    <x v="1"/>
    <n v="5"/>
    <n v="4"/>
    <s v="Life Sciences"/>
    <n v="1"/>
    <n v="1651"/>
    <n v="2"/>
    <x v="0"/>
    <n v="42"/>
    <x v="0"/>
    <n v="3"/>
    <x v="4"/>
    <n v="1"/>
    <x v="1"/>
    <n v="8008"/>
    <n v="22792"/>
    <n v="4"/>
    <s v="Y"/>
    <s v="No"/>
    <n v="12"/>
    <x v="0"/>
    <n v="3"/>
    <n v="80"/>
    <n v="2"/>
    <n v="9"/>
    <n v="6"/>
    <n v="3"/>
    <n v="3"/>
    <n v="2"/>
    <n v="0"/>
    <n v="2"/>
  </r>
  <r>
    <n v="25"/>
    <x v="1"/>
    <x v="1"/>
    <n v="772"/>
    <x v="1"/>
    <n v="2"/>
    <n v="1"/>
    <s v="Life Sciences"/>
    <n v="1"/>
    <n v="1653"/>
    <n v="4"/>
    <x v="1"/>
    <n v="77"/>
    <x v="2"/>
    <n v="2"/>
    <x v="3"/>
    <n v="3"/>
    <x v="2"/>
    <n v="5206"/>
    <n v="4973"/>
    <n v="1"/>
    <s v="Y"/>
    <s v="No"/>
    <n v="17"/>
    <x v="0"/>
    <n v="3"/>
    <n v="80"/>
    <n v="2"/>
    <n v="7"/>
    <n v="6"/>
    <n v="3"/>
    <n v="7"/>
    <n v="7"/>
    <n v="0"/>
    <n v="7"/>
  </r>
  <r>
    <n v="39"/>
    <x v="1"/>
    <x v="0"/>
    <n v="492"/>
    <x v="1"/>
    <n v="12"/>
    <n v="3"/>
    <s v="Medical"/>
    <n v="1"/>
    <n v="1654"/>
    <n v="4"/>
    <x v="1"/>
    <n v="66"/>
    <x v="0"/>
    <n v="2"/>
    <x v="3"/>
    <n v="2"/>
    <x v="1"/>
    <n v="5295"/>
    <n v="7693"/>
    <n v="4"/>
    <s v="Y"/>
    <s v="No"/>
    <n v="21"/>
    <x v="1"/>
    <n v="3"/>
    <n v="80"/>
    <n v="0"/>
    <n v="7"/>
    <n v="3"/>
    <n v="3"/>
    <n v="5"/>
    <n v="4"/>
    <n v="1"/>
    <n v="0"/>
  </r>
  <r>
    <n v="49"/>
    <x v="1"/>
    <x v="0"/>
    <n v="301"/>
    <x v="1"/>
    <n v="22"/>
    <n v="4"/>
    <s v="Other"/>
    <n v="1"/>
    <n v="1655"/>
    <n v="1"/>
    <x v="0"/>
    <n v="72"/>
    <x v="0"/>
    <n v="4"/>
    <x v="7"/>
    <n v="2"/>
    <x v="1"/>
    <n v="16413"/>
    <n v="3498"/>
    <n v="3"/>
    <s v="Y"/>
    <s v="No"/>
    <n v="16"/>
    <x v="0"/>
    <n v="2"/>
    <n v="80"/>
    <n v="2"/>
    <n v="27"/>
    <n v="2"/>
    <n v="3"/>
    <n v="4"/>
    <n v="2"/>
    <n v="1"/>
    <n v="2"/>
  </r>
  <r>
    <n v="50"/>
    <x v="1"/>
    <x v="0"/>
    <n v="813"/>
    <x v="1"/>
    <n v="17"/>
    <n v="5"/>
    <s v="Life Sciences"/>
    <n v="1"/>
    <n v="1656"/>
    <n v="4"/>
    <x v="0"/>
    <n v="50"/>
    <x v="1"/>
    <n v="3"/>
    <x v="7"/>
    <n v="1"/>
    <x v="2"/>
    <n v="13269"/>
    <n v="21981"/>
    <n v="5"/>
    <s v="Y"/>
    <s v="No"/>
    <n v="15"/>
    <x v="0"/>
    <n v="3"/>
    <n v="80"/>
    <n v="3"/>
    <n v="19"/>
    <n v="3"/>
    <n v="3"/>
    <n v="14"/>
    <n v="11"/>
    <n v="1"/>
    <n v="11"/>
  </r>
  <r>
    <n v="20"/>
    <x v="1"/>
    <x v="0"/>
    <n v="1141"/>
    <x v="0"/>
    <n v="2"/>
    <n v="3"/>
    <s v="Medical"/>
    <n v="1"/>
    <n v="1657"/>
    <n v="3"/>
    <x v="0"/>
    <n v="31"/>
    <x v="0"/>
    <n v="1"/>
    <x v="6"/>
    <n v="3"/>
    <x v="0"/>
    <n v="2783"/>
    <n v="13251"/>
    <n v="1"/>
    <s v="Y"/>
    <s v="No"/>
    <n v="19"/>
    <x v="0"/>
    <n v="1"/>
    <n v="80"/>
    <n v="0"/>
    <n v="2"/>
    <n v="3"/>
    <n v="3"/>
    <n v="2"/>
    <n v="2"/>
    <n v="2"/>
    <n v="2"/>
  </r>
  <r>
    <n v="34"/>
    <x v="1"/>
    <x v="0"/>
    <n v="1130"/>
    <x v="1"/>
    <n v="3"/>
    <n v="3"/>
    <s v="Life Sciences"/>
    <n v="1"/>
    <n v="1658"/>
    <n v="4"/>
    <x v="0"/>
    <n v="66"/>
    <x v="0"/>
    <n v="2"/>
    <x v="1"/>
    <n v="2"/>
    <x v="2"/>
    <n v="5433"/>
    <n v="19332"/>
    <n v="1"/>
    <s v="Y"/>
    <s v="No"/>
    <n v="12"/>
    <x v="0"/>
    <n v="3"/>
    <n v="80"/>
    <n v="1"/>
    <n v="11"/>
    <n v="2"/>
    <n v="3"/>
    <n v="11"/>
    <n v="8"/>
    <n v="7"/>
    <n v="9"/>
  </r>
  <r>
    <n v="36"/>
    <x v="1"/>
    <x v="0"/>
    <n v="311"/>
    <x v="1"/>
    <n v="7"/>
    <n v="3"/>
    <s v="Life Sciences"/>
    <n v="1"/>
    <n v="1659"/>
    <n v="1"/>
    <x v="1"/>
    <n v="77"/>
    <x v="0"/>
    <n v="1"/>
    <x v="2"/>
    <n v="2"/>
    <x v="0"/>
    <n v="2013"/>
    <n v="10950"/>
    <n v="2"/>
    <s v="Y"/>
    <s v="No"/>
    <n v="11"/>
    <x v="0"/>
    <n v="3"/>
    <n v="80"/>
    <n v="0"/>
    <n v="15"/>
    <n v="4"/>
    <n v="3"/>
    <n v="4"/>
    <n v="3"/>
    <n v="1"/>
    <n v="3"/>
  </r>
  <r>
    <n v="49"/>
    <x v="1"/>
    <x v="0"/>
    <n v="465"/>
    <x v="1"/>
    <n v="6"/>
    <n v="1"/>
    <s v="Life Sciences"/>
    <n v="1"/>
    <n v="1661"/>
    <n v="3"/>
    <x v="0"/>
    <n v="41"/>
    <x v="1"/>
    <n v="4"/>
    <x v="4"/>
    <n v="3"/>
    <x v="1"/>
    <n v="13966"/>
    <n v="11652"/>
    <n v="2"/>
    <s v="Y"/>
    <s v="Yes"/>
    <n v="19"/>
    <x v="0"/>
    <n v="2"/>
    <n v="80"/>
    <n v="1"/>
    <n v="30"/>
    <n v="3"/>
    <n v="3"/>
    <n v="15"/>
    <n v="11"/>
    <n v="2"/>
    <n v="12"/>
  </r>
  <r>
    <n v="36"/>
    <x v="1"/>
    <x v="2"/>
    <n v="894"/>
    <x v="1"/>
    <n v="1"/>
    <n v="4"/>
    <s v="Medical"/>
    <n v="1"/>
    <n v="1662"/>
    <n v="4"/>
    <x v="0"/>
    <n v="33"/>
    <x v="1"/>
    <n v="2"/>
    <x v="3"/>
    <n v="3"/>
    <x v="1"/>
    <n v="4374"/>
    <n v="15411"/>
    <n v="0"/>
    <s v="Y"/>
    <s v="No"/>
    <n v="15"/>
    <x v="0"/>
    <n v="3"/>
    <n v="80"/>
    <n v="0"/>
    <n v="4"/>
    <n v="6"/>
    <n v="3"/>
    <n v="3"/>
    <n v="2"/>
    <n v="1"/>
    <n v="2"/>
  </r>
  <r>
    <n v="36"/>
    <x v="1"/>
    <x v="0"/>
    <n v="1040"/>
    <x v="1"/>
    <n v="3"/>
    <n v="2"/>
    <s v="Life Sciences"/>
    <n v="1"/>
    <n v="1664"/>
    <n v="4"/>
    <x v="1"/>
    <n v="79"/>
    <x v="2"/>
    <n v="2"/>
    <x v="4"/>
    <n v="1"/>
    <x v="2"/>
    <n v="6842"/>
    <n v="26308"/>
    <n v="6"/>
    <s v="Y"/>
    <s v="No"/>
    <n v="20"/>
    <x v="1"/>
    <n v="1"/>
    <n v="80"/>
    <n v="1"/>
    <n v="13"/>
    <n v="3"/>
    <n v="3"/>
    <n v="5"/>
    <n v="4"/>
    <n v="0"/>
    <n v="4"/>
  </r>
  <r>
    <n v="54"/>
    <x v="1"/>
    <x v="0"/>
    <n v="584"/>
    <x v="1"/>
    <n v="22"/>
    <n v="5"/>
    <s v="Medical"/>
    <n v="1"/>
    <n v="1665"/>
    <n v="2"/>
    <x v="0"/>
    <n v="91"/>
    <x v="0"/>
    <n v="4"/>
    <x v="5"/>
    <n v="3"/>
    <x v="1"/>
    <n v="17426"/>
    <n v="18685"/>
    <n v="3"/>
    <s v="Y"/>
    <s v="No"/>
    <n v="25"/>
    <x v="1"/>
    <n v="3"/>
    <n v="80"/>
    <n v="1"/>
    <n v="36"/>
    <n v="6"/>
    <n v="3"/>
    <n v="10"/>
    <n v="8"/>
    <n v="4"/>
    <n v="7"/>
  </r>
  <r>
    <n v="43"/>
    <x v="1"/>
    <x v="0"/>
    <n v="1291"/>
    <x v="1"/>
    <n v="15"/>
    <n v="2"/>
    <s v="Life Sciences"/>
    <n v="1"/>
    <n v="1666"/>
    <n v="3"/>
    <x v="1"/>
    <n v="65"/>
    <x v="1"/>
    <n v="4"/>
    <x v="7"/>
    <n v="3"/>
    <x v="1"/>
    <n v="17603"/>
    <n v="3525"/>
    <n v="1"/>
    <s v="Y"/>
    <s v="No"/>
    <n v="24"/>
    <x v="1"/>
    <n v="1"/>
    <n v="80"/>
    <n v="1"/>
    <n v="14"/>
    <n v="3"/>
    <n v="3"/>
    <n v="14"/>
    <n v="10"/>
    <n v="6"/>
    <n v="11"/>
  </r>
  <r>
    <n v="35"/>
    <x v="0"/>
    <x v="1"/>
    <n v="880"/>
    <x v="0"/>
    <n v="12"/>
    <n v="4"/>
    <s v="Other"/>
    <n v="1"/>
    <n v="1667"/>
    <n v="4"/>
    <x v="1"/>
    <n v="36"/>
    <x v="0"/>
    <n v="2"/>
    <x v="0"/>
    <n v="4"/>
    <x v="0"/>
    <n v="4581"/>
    <n v="10414"/>
    <n v="3"/>
    <s v="Y"/>
    <s v="Yes"/>
    <n v="24"/>
    <x v="1"/>
    <n v="1"/>
    <n v="80"/>
    <n v="0"/>
    <n v="13"/>
    <n v="2"/>
    <n v="4"/>
    <n v="11"/>
    <n v="9"/>
    <n v="6"/>
    <n v="7"/>
  </r>
  <r>
    <n v="38"/>
    <x v="1"/>
    <x v="1"/>
    <n v="1189"/>
    <x v="1"/>
    <n v="1"/>
    <n v="3"/>
    <s v="Life Sciences"/>
    <n v="1"/>
    <n v="1668"/>
    <n v="4"/>
    <x v="1"/>
    <n v="90"/>
    <x v="0"/>
    <n v="2"/>
    <x v="1"/>
    <n v="4"/>
    <x v="1"/>
    <n v="4735"/>
    <n v="9867"/>
    <n v="7"/>
    <s v="Y"/>
    <s v="No"/>
    <n v="15"/>
    <x v="0"/>
    <n v="4"/>
    <n v="80"/>
    <n v="2"/>
    <n v="19"/>
    <n v="4"/>
    <n v="4"/>
    <n v="13"/>
    <n v="11"/>
    <n v="2"/>
    <n v="9"/>
  </r>
  <r>
    <n v="29"/>
    <x v="1"/>
    <x v="0"/>
    <n v="991"/>
    <x v="0"/>
    <n v="5"/>
    <n v="3"/>
    <s v="Medical"/>
    <n v="1"/>
    <n v="1669"/>
    <n v="1"/>
    <x v="1"/>
    <n v="43"/>
    <x v="1"/>
    <n v="2"/>
    <x v="0"/>
    <n v="2"/>
    <x v="2"/>
    <n v="4187"/>
    <n v="3356"/>
    <n v="1"/>
    <s v="Y"/>
    <s v="Yes"/>
    <n v="13"/>
    <x v="0"/>
    <n v="2"/>
    <n v="80"/>
    <n v="1"/>
    <n v="10"/>
    <n v="3"/>
    <n v="2"/>
    <n v="10"/>
    <n v="0"/>
    <n v="0"/>
    <n v="9"/>
  </r>
  <r>
    <n v="33"/>
    <x v="1"/>
    <x v="0"/>
    <n v="392"/>
    <x v="0"/>
    <n v="2"/>
    <n v="4"/>
    <s v="Medical"/>
    <n v="1"/>
    <n v="1670"/>
    <n v="4"/>
    <x v="1"/>
    <n v="93"/>
    <x v="0"/>
    <n v="2"/>
    <x v="0"/>
    <n v="4"/>
    <x v="2"/>
    <n v="5505"/>
    <n v="3921"/>
    <n v="1"/>
    <s v="Y"/>
    <s v="No"/>
    <n v="14"/>
    <x v="0"/>
    <n v="3"/>
    <n v="80"/>
    <n v="2"/>
    <n v="6"/>
    <n v="5"/>
    <n v="3"/>
    <n v="6"/>
    <n v="2"/>
    <n v="0"/>
    <n v="4"/>
  </r>
  <r>
    <n v="32"/>
    <x v="1"/>
    <x v="0"/>
    <n v="977"/>
    <x v="1"/>
    <n v="2"/>
    <n v="3"/>
    <s v="Medical"/>
    <n v="1"/>
    <n v="1671"/>
    <n v="4"/>
    <x v="1"/>
    <n v="45"/>
    <x v="0"/>
    <n v="2"/>
    <x v="1"/>
    <n v="2"/>
    <x v="2"/>
    <n v="5470"/>
    <n v="25518"/>
    <n v="0"/>
    <s v="Y"/>
    <s v="No"/>
    <n v="13"/>
    <x v="0"/>
    <n v="3"/>
    <n v="80"/>
    <n v="2"/>
    <n v="10"/>
    <n v="4"/>
    <n v="2"/>
    <n v="9"/>
    <n v="5"/>
    <n v="1"/>
    <n v="6"/>
  </r>
  <r>
    <n v="31"/>
    <x v="1"/>
    <x v="0"/>
    <n v="1112"/>
    <x v="0"/>
    <n v="5"/>
    <n v="4"/>
    <s v="Life Sciences"/>
    <n v="1"/>
    <n v="1673"/>
    <n v="1"/>
    <x v="0"/>
    <n v="67"/>
    <x v="0"/>
    <n v="2"/>
    <x v="0"/>
    <n v="4"/>
    <x v="1"/>
    <n v="5476"/>
    <n v="22589"/>
    <n v="1"/>
    <s v="Y"/>
    <s v="No"/>
    <n v="11"/>
    <x v="0"/>
    <n v="1"/>
    <n v="80"/>
    <n v="2"/>
    <n v="10"/>
    <n v="2"/>
    <n v="3"/>
    <n v="10"/>
    <n v="0"/>
    <n v="0"/>
    <n v="2"/>
  </r>
  <r>
    <n v="49"/>
    <x v="1"/>
    <x v="0"/>
    <n v="464"/>
    <x v="1"/>
    <n v="16"/>
    <n v="3"/>
    <s v="Medical"/>
    <n v="1"/>
    <n v="1674"/>
    <n v="4"/>
    <x v="0"/>
    <n v="74"/>
    <x v="0"/>
    <n v="1"/>
    <x v="2"/>
    <n v="1"/>
    <x v="2"/>
    <n v="2587"/>
    <n v="24941"/>
    <n v="4"/>
    <s v="Y"/>
    <s v="Yes"/>
    <n v="16"/>
    <x v="0"/>
    <n v="2"/>
    <n v="80"/>
    <n v="1"/>
    <n v="17"/>
    <n v="2"/>
    <n v="2"/>
    <n v="2"/>
    <n v="2"/>
    <n v="2"/>
    <n v="2"/>
  </r>
  <r>
    <n v="38"/>
    <x v="1"/>
    <x v="1"/>
    <n v="148"/>
    <x v="1"/>
    <n v="2"/>
    <n v="3"/>
    <s v="Medical"/>
    <n v="1"/>
    <n v="1675"/>
    <n v="4"/>
    <x v="0"/>
    <n v="42"/>
    <x v="1"/>
    <n v="1"/>
    <x v="2"/>
    <n v="2"/>
    <x v="0"/>
    <n v="2440"/>
    <n v="23826"/>
    <n v="1"/>
    <s v="Y"/>
    <s v="No"/>
    <n v="22"/>
    <x v="1"/>
    <n v="2"/>
    <n v="80"/>
    <n v="0"/>
    <n v="4"/>
    <n v="3"/>
    <n v="3"/>
    <n v="4"/>
    <n v="3"/>
    <n v="3"/>
    <n v="3"/>
  </r>
  <r>
    <n v="47"/>
    <x v="1"/>
    <x v="0"/>
    <n v="1225"/>
    <x v="0"/>
    <n v="2"/>
    <n v="4"/>
    <s v="Life Sciences"/>
    <n v="1"/>
    <n v="1676"/>
    <n v="2"/>
    <x v="0"/>
    <n v="47"/>
    <x v="2"/>
    <n v="4"/>
    <x v="5"/>
    <n v="2"/>
    <x v="2"/>
    <n v="15972"/>
    <n v="21086"/>
    <n v="6"/>
    <s v="Y"/>
    <s v="No"/>
    <n v="14"/>
    <x v="0"/>
    <n v="3"/>
    <n v="80"/>
    <n v="3"/>
    <n v="29"/>
    <n v="2"/>
    <n v="3"/>
    <n v="3"/>
    <n v="2"/>
    <n v="1"/>
    <n v="2"/>
  </r>
  <r>
    <n v="49"/>
    <x v="1"/>
    <x v="0"/>
    <n v="809"/>
    <x v="1"/>
    <n v="1"/>
    <n v="3"/>
    <s v="Life Sciences"/>
    <n v="1"/>
    <n v="1677"/>
    <n v="3"/>
    <x v="1"/>
    <n v="36"/>
    <x v="0"/>
    <n v="4"/>
    <x v="5"/>
    <n v="3"/>
    <x v="0"/>
    <n v="15379"/>
    <n v="22384"/>
    <n v="4"/>
    <s v="Y"/>
    <s v="No"/>
    <n v="14"/>
    <x v="0"/>
    <n v="1"/>
    <n v="80"/>
    <n v="0"/>
    <n v="23"/>
    <n v="2"/>
    <n v="3"/>
    <n v="8"/>
    <n v="7"/>
    <n v="0"/>
    <n v="0"/>
  </r>
  <r>
    <n v="41"/>
    <x v="1"/>
    <x v="0"/>
    <n v="1206"/>
    <x v="0"/>
    <n v="23"/>
    <n v="2"/>
    <s v="Life Sciences"/>
    <n v="1"/>
    <n v="1678"/>
    <n v="4"/>
    <x v="1"/>
    <n v="80"/>
    <x v="0"/>
    <n v="3"/>
    <x v="0"/>
    <n v="3"/>
    <x v="0"/>
    <n v="7082"/>
    <n v="11591"/>
    <n v="3"/>
    <s v="Y"/>
    <s v="Yes"/>
    <n v="16"/>
    <x v="0"/>
    <n v="4"/>
    <n v="80"/>
    <n v="0"/>
    <n v="21"/>
    <n v="2"/>
    <n v="3"/>
    <n v="2"/>
    <n v="0"/>
    <n v="0"/>
    <n v="2"/>
  </r>
  <r>
    <n v="20"/>
    <x v="1"/>
    <x v="0"/>
    <n v="727"/>
    <x v="0"/>
    <n v="9"/>
    <n v="1"/>
    <s v="Life Sciences"/>
    <n v="1"/>
    <n v="1680"/>
    <n v="4"/>
    <x v="1"/>
    <n v="54"/>
    <x v="0"/>
    <n v="1"/>
    <x v="6"/>
    <n v="1"/>
    <x v="0"/>
    <n v="2728"/>
    <n v="21082"/>
    <n v="1"/>
    <s v="Y"/>
    <s v="No"/>
    <n v="11"/>
    <x v="0"/>
    <n v="1"/>
    <n v="80"/>
    <n v="0"/>
    <n v="2"/>
    <n v="3"/>
    <n v="3"/>
    <n v="2"/>
    <n v="2"/>
    <n v="0"/>
    <n v="2"/>
  </r>
  <r>
    <n v="33"/>
    <x v="1"/>
    <x v="2"/>
    <n v="530"/>
    <x v="0"/>
    <n v="16"/>
    <n v="3"/>
    <s v="Life Sciences"/>
    <n v="1"/>
    <n v="1681"/>
    <n v="3"/>
    <x v="0"/>
    <n v="36"/>
    <x v="0"/>
    <n v="2"/>
    <x v="0"/>
    <n v="4"/>
    <x v="2"/>
    <n v="5368"/>
    <n v="16130"/>
    <n v="1"/>
    <s v="Y"/>
    <s v="Yes"/>
    <n v="25"/>
    <x v="1"/>
    <n v="3"/>
    <n v="80"/>
    <n v="1"/>
    <n v="7"/>
    <n v="2"/>
    <n v="3"/>
    <n v="6"/>
    <n v="5"/>
    <n v="1"/>
    <n v="2"/>
  </r>
  <r>
    <n v="36"/>
    <x v="1"/>
    <x v="0"/>
    <n v="1351"/>
    <x v="1"/>
    <n v="26"/>
    <n v="4"/>
    <s v="Life Sciences"/>
    <n v="1"/>
    <n v="1682"/>
    <n v="1"/>
    <x v="1"/>
    <n v="80"/>
    <x v="0"/>
    <n v="2"/>
    <x v="4"/>
    <n v="3"/>
    <x v="1"/>
    <n v="5347"/>
    <n v="7419"/>
    <n v="6"/>
    <s v="Y"/>
    <s v="No"/>
    <n v="14"/>
    <x v="0"/>
    <n v="2"/>
    <n v="80"/>
    <n v="2"/>
    <n v="10"/>
    <n v="2"/>
    <n v="2"/>
    <n v="3"/>
    <n v="2"/>
    <n v="0"/>
    <n v="2"/>
  </r>
  <r>
    <n v="44"/>
    <x v="1"/>
    <x v="0"/>
    <n v="528"/>
    <x v="2"/>
    <n v="1"/>
    <n v="3"/>
    <s v="Life Sciences"/>
    <n v="1"/>
    <n v="1683"/>
    <n v="3"/>
    <x v="0"/>
    <n v="44"/>
    <x v="0"/>
    <n v="1"/>
    <x v="8"/>
    <n v="4"/>
    <x v="2"/>
    <n v="3195"/>
    <n v="4167"/>
    <n v="4"/>
    <s v="Y"/>
    <s v="Yes"/>
    <n v="18"/>
    <x v="0"/>
    <n v="1"/>
    <n v="80"/>
    <n v="3"/>
    <n v="8"/>
    <n v="2"/>
    <n v="3"/>
    <n v="2"/>
    <n v="2"/>
    <n v="2"/>
    <n v="2"/>
  </r>
  <r>
    <n v="23"/>
    <x v="0"/>
    <x v="0"/>
    <n v="1320"/>
    <x v="1"/>
    <n v="8"/>
    <n v="1"/>
    <s v="Medical"/>
    <n v="1"/>
    <n v="1684"/>
    <n v="4"/>
    <x v="1"/>
    <n v="93"/>
    <x v="1"/>
    <n v="1"/>
    <x v="2"/>
    <n v="3"/>
    <x v="0"/>
    <n v="3989"/>
    <n v="20586"/>
    <n v="1"/>
    <s v="Y"/>
    <s v="Yes"/>
    <n v="11"/>
    <x v="0"/>
    <n v="1"/>
    <n v="80"/>
    <n v="0"/>
    <n v="5"/>
    <n v="2"/>
    <n v="3"/>
    <n v="5"/>
    <n v="4"/>
    <n v="1"/>
    <n v="2"/>
  </r>
  <r>
    <n v="38"/>
    <x v="1"/>
    <x v="0"/>
    <n v="1495"/>
    <x v="1"/>
    <n v="4"/>
    <n v="2"/>
    <s v="Medical"/>
    <n v="1"/>
    <n v="1687"/>
    <n v="4"/>
    <x v="0"/>
    <n v="87"/>
    <x v="0"/>
    <n v="1"/>
    <x v="2"/>
    <n v="3"/>
    <x v="1"/>
    <n v="3306"/>
    <n v="26176"/>
    <n v="7"/>
    <s v="Y"/>
    <s v="No"/>
    <n v="19"/>
    <x v="0"/>
    <n v="4"/>
    <n v="80"/>
    <n v="1"/>
    <n v="7"/>
    <n v="5"/>
    <n v="2"/>
    <n v="0"/>
    <n v="0"/>
    <n v="0"/>
    <n v="0"/>
  </r>
  <r>
    <n v="53"/>
    <x v="1"/>
    <x v="0"/>
    <n v="1395"/>
    <x v="1"/>
    <n v="24"/>
    <n v="4"/>
    <s v="Medical"/>
    <n v="1"/>
    <n v="1689"/>
    <n v="2"/>
    <x v="1"/>
    <n v="48"/>
    <x v="2"/>
    <n v="3"/>
    <x v="4"/>
    <n v="4"/>
    <x v="1"/>
    <n v="7005"/>
    <n v="3458"/>
    <n v="3"/>
    <s v="Y"/>
    <s v="No"/>
    <n v="15"/>
    <x v="0"/>
    <n v="3"/>
    <n v="80"/>
    <n v="0"/>
    <n v="11"/>
    <n v="2"/>
    <n v="3"/>
    <n v="4"/>
    <n v="3"/>
    <n v="1"/>
    <n v="2"/>
  </r>
  <r>
    <n v="48"/>
    <x v="0"/>
    <x v="1"/>
    <n v="708"/>
    <x v="0"/>
    <n v="7"/>
    <n v="2"/>
    <s v="Medical"/>
    <n v="1"/>
    <n v="1691"/>
    <n v="4"/>
    <x v="0"/>
    <n v="95"/>
    <x v="0"/>
    <n v="1"/>
    <x v="6"/>
    <n v="3"/>
    <x v="1"/>
    <n v="2655"/>
    <n v="11740"/>
    <n v="2"/>
    <s v="Y"/>
    <s v="Yes"/>
    <n v="11"/>
    <x v="0"/>
    <n v="3"/>
    <n v="80"/>
    <n v="2"/>
    <n v="19"/>
    <n v="3"/>
    <n v="3"/>
    <n v="9"/>
    <n v="7"/>
    <n v="7"/>
    <n v="7"/>
  </r>
  <r>
    <n v="32"/>
    <x v="0"/>
    <x v="0"/>
    <n v="1259"/>
    <x v="1"/>
    <n v="2"/>
    <n v="4"/>
    <s v="Life Sciences"/>
    <n v="1"/>
    <n v="1692"/>
    <n v="4"/>
    <x v="1"/>
    <n v="95"/>
    <x v="0"/>
    <n v="1"/>
    <x v="2"/>
    <n v="2"/>
    <x v="0"/>
    <n v="1393"/>
    <n v="24852"/>
    <n v="1"/>
    <s v="Y"/>
    <s v="No"/>
    <n v="12"/>
    <x v="0"/>
    <n v="1"/>
    <n v="80"/>
    <n v="0"/>
    <n v="1"/>
    <n v="2"/>
    <n v="3"/>
    <n v="1"/>
    <n v="0"/>
    <n v="0"/>
    <n v="0"/>
  </r>
  <r>
    <n v="26"/>
    <x v="1"/>
    <x v="2"/>
    <n v="786"/>
    <x v="1"/>
    <n v="7"/>
    <n v="3"/>
    <s v="Medical"/>
    <n v="1"/>
    <n v="1693"/>
    <n v="4"/>
    <x v="1"/>
    <n v="76"/>
    <x v="0"/>
    <n v="1"/>
    <x v="2"/>
    <n v="4"/>
    <x v="0"/>
    <n v="2570"/>
    <n v="11925"/>
    <n v="1"/>
    <s v="Y"/>
    <s v="No"/>
    <n v="20"/>
    <x v="1"/>
    <n v="3"/>
    <n v="80"/>
    <n v="0"/>
    <n v="7"/>
    <n v="5"/>
    <n v="3"/>
    <n v="7"/>
    <n v="7"/>
    <n v="5"/>
    <n v="7"/>
  </r>
  <r>
    <n v="55"/>
    <x v="1"/>
    <x v="0"/>
    <n v="1441"/>
    <x v="1"/>
    <n v="22"/>
    <n v="3"/>
    <s v="Technical Degree"/>
    <n v="1"/>
    <n v="1694"/>
    <n v="1"/>
    <x v="1"/>
    <n v="94"/>
    <x v="1"/>
    <n v="1"/>
    <x v="1"/>
    <n v="2"/>
    <x v="2"/>
    <n v="3537"/>
    <n v="23737"/>
    <n v="5"/>
    <s v="Y"/>
    <s v="No"/>
    <n v="12"/>
    <x v="0"/>
    <n v="4"/>
    <n v="80"/>
    <n v="1"/>
    <n v="8"/>
    <n v="1"/>
    <n v="3"/>
    <n v="4"/>
    <n v="2"/>
    <n v="1"/>
    <n v="2"/>
  </r>
  <r>
    <n v="34"/>
    <x v="1"/>
    <x v="0"/>
    <n v="1157"/>
    <x v="1"/>
    <n v="5"/>
    <n v="2"/>
    <s v="Medical"/>
    <n v="1"/>
    <n v="1696"/>
    <n v="2"/>
    <x v="1"/>
    <n v="57"/>
    <x v="1"/>
    <n v="2"/>
    <x v="2"/>
    <n v="4"/>
    <x v="1"/>
    <n v="3986"/>
    <n v="11912"/>
    <n v="1"/>
    <s v="Y"/>
    <s v="No"/>
    <n v="14"/>
    <x v="0"/>
    <n v="3"/>
    <n v="80"/>
    <n v="1"/>
    <n v="15"/>
    <n v="3"/>
    <n v="4"/>
    <n v="15"/>
    <n v="10"/>
    <n v="4"/>
    <n v="13"/>
  </r>
  <r>
    <n v="60"/>
    <x v="1"/>
    <x v="0"/>
    <n v="370"/>
    <x v="1"/>
    <n v="1"/>
    <n v="4"/>
    <s v="Medical"/>
    <n v="1"/>
    <n v="1697"/>
    <n v="3"/>
    <x v="1"/>
    <n v="92"/>
    <x v="3"/>
    <n v="3"/>
    <x v="4"/>
    <n v="4"/>
    <x v="2"/>
    <n v="10883"/>
    <n v="20467"/>
    <n v="3"/>
    <s v="Y"/>
    <s v="No"/>
    <n v="20"/>
    <x v="1"/>
    <n v="3"/>
    <n v="80"/>
    <n v="1"/>
    <n v="19"/>
    <n v="2"/>
    <n v="4"/>
    <n v="1"/>
    <n v="0"/>
    <n v="0"/>
    <n v="0"/>
  </r>
  <r>
    <n v="33"/>
    <x v="1"/>
    <x v="0"/>
    <n v="267"/>
    <x v="1"/>
    <n v="21"/>
    <n v="3"/>
    <s v="Medical"/>
    <n v="1"/>
    <n v="1698"/>
    <n v="2"/>
    <x v="1"/>
    <n v="79"/>
    <x v="2"/>
    <n v="1"/>
    <x v="2"/>
    <n v="2"/>
    <x v="1"/>
    <n v="2028"/>
    <n v="13637"/>
    <n v="1"/>
    <s v="Y"/>
    <s v="No"/>
    <n v="18"/>
    <x v="0"/>
    <n v="4"/>
    <n v="80"/>
    <n v="3"/>
    <n v="14"/>
    <n v="6"/>
    <n v="3"/>
    <n v="14"/>
    <n v="11"/>
    <n v="2"/>
    <n v="13"/>
  </r>
  <r>
    <n v="37"/>
    <x v="1"/>
    <x v="1"/>
    <n v="1278"/>
    <x v="0"/>
    <n v="1"/>
    <n v="4"/>
    <s v="Medical"/>
    <n v="1"/>
    <n v="1700"/>
    <n v="3"/>
    <x v="1"/>
    <n v="31"/>
    <x v="3"/>
    <n v="2"/>
    <x v="0"/>
    <n v="4"/>
    <x v="2"/>
    <n v="9525"/>
    <n v="7677"/>
    <n v="1"/>
    <s v="Y"/>
    <s v="No"/>
    <n v="14"/>
    <x v="0"/>
    <n v="3"/>
    <n v="80"/>
    <n v="2"/>
    <n v="6"/>
    <n v="2"/>
    <n v="2"/>
    <n v="6"/>
    <n v="3"/>
    <n v="1"/>
    <n v="3"/>
  </r>
  <r>
    <n v="34"/>
    <x v="1"/>
    <x v="0"/>
    <n v="678"/>
    <x v="1"/>
    <n v="19"/>
    <n v="3"/>
    <s v="Life Sciences"/>
    <n v="1"/>
    <n v="1701"/>
    <n v="2"/>
    <x v="0"/>
    <n v="35"/>
    <x v="1"/>
    <n v="1"/>
    <x v="1"/>
    <n v="4"/>
    <x v="1"/>
    <n v="2929"/>
    <n v="20338"/>
    <n v="1"/>
    <s v="Y"/>
    <s v="No"/>
    <n v="12"/>
    <x v="0"/>
    <n v="2"/>
    <n v="80"/>
    <n v="0"/>
    <n v="10"/>
    <n v="3"/>
    <n v="3"/>
    <n v="10"/>
    <n v="9"/>
    <n v="8"/>
    <n v="7"/>
  </r>
  <r>
    <n v="23"/>
    <x v="0"/>
    <x v="0"/>
    <n v="427"/>
    <x v="0"/>
    <n v="7"/>
    <n v="3"/>
    <s v="Life Sciences"/>
    <n v="1"/>
    <n v="1702"/>
    <n v="3"/>
    <x v="1"/>
    <n v="99"/>
    <x v="0"/>
    <n v="1"/>
    <x v="6"/>
    <n v="4"/>
    <x v="2"/>
    <n v="2275"/>
    <n v="25103"/>
    <n v="1"/>
    <s v="Y"/>
    <s v="Yes"/>
    <n v="21"/>
    <x v="1"/>
    <n v="2"/>
    <n v="80"/>
    <n v="1"/>
    <n v="3"/>
    <n v="2"/>
    <n v="3"/>
    <n v="3"/>
    <n v="2"/>
    <n v="0"/>
    <n v="2"/>
  </r>
  <r>
    <n v="44"/>
    <x v="1"/>
    <x v="0"/>
    <n v="921"/>
    <x v="1"/>
    <n v="2"/>
    <n v="3"/>
    <s v="Life Sciences"/>
    <n v="1"/>
    <n v="1703"/>
    <n v="3"/>
    <x v="0"/>
    <n v="96"/>
    <x v="2"/>
    <n v="3"/>
    <x v="4"/>
    <n v="4"/>
    <x v="1"/>
    <n v="7879"/>
    <n v="14810"/>
    <n v="1"/>
    <s v="Y"/>
    <s v="Yes"/>
    <n v="19"/>
    <x v="0"/>
    <n v="2"/>
    <n v="80"/>
    <n v="1"/>
    <n v="9"/>
    <n v="2"/>
    <n v="3"/>
    <n v="8"/>
    <n v="7"/>
    <n v="6"/>
    <n v="7"/>
  </r>
  <r>
    <n v="35"/>
    <x v="1"/>
    <x v="1"/>
    <n v="146"/>
    <x v="1"/>
    <n v="2"/>
    <n v="4"/>
    <s v="Medical"/>
    <n v="1"/>
    <n v="1704"/>
    <n v="1"/>
    <x v="1"/>
    <n v="79"/>
    <x v="1"/>
    <n v="1"/>
    <x v="1"/>
    <n v="4"/>
    <x v="0"/>
    <n v="4930"/>
    <n v="13970"/>
    <n v="0"/>
    <s v="Y"/>
    <s v="Yes"/>
    <n v="14"/>
    <x v="0"/>
    <n v="3"/>
    <n v="80"/>
    <n v="0"/>
    <n v="6"/>
    <n v="2"/>
    <n v="4"/>
    <n v="5"/>
    <n v="4"/>
    <n v="1"/>
    <n v="4"/>
  </r>
  <r>
    <n v="43"/>
    <x v="1"/>
    <x v="0"/>
    <n v="1179"/>
    <x v="0"/>
    <n v="2"/>
    <n v="3"/>
    <s v="Medical"/>
    <n v="1"/>
    <n v="1706"/>
    <n v="4"/>
    <x v="1"/>
    <n v="73"/>
    <x v="0"/>
    <n v="2"/>
    <x v="0"/>
    <n v="4"/>
    <x v="1"/>
    <n v="7847"/>
    <n v="6069"/>
    <n v="1"/>
    <s v="Y"/>
    <s v="Yes"/>
    <n v="17"/>
    <x v="0"/>
    <n v="1"/>
    <n v="80"/>
    <n v="1"/>
    <n v="10"/>
    <n v="3"/>
    <n v="3"/>
    <n v="10"/>
    <n v="9"/>
    <n v="8"/>
    <n v="8"/>
  </r>
  <r>
    <n v="24"/>
    <x v="1"/>
    <x v="0"/>
    <n v="581"/>
    <x v="1"/>
    <n v="9"/>
    <n v="3"/>
    <s v="Medical"/>
    <n v="1"/>
    <n v="1707"/>
    <n v="3"/>
    <x v="1"/>
    <n v="62"/>
    <x v="2"/>
    <n v="1"/>
    <x v="1"/>
    <n v="3"/>
    <x v="1"/>
    <n v="4401"/>
    <n v="17616"/>
    <n v="1"/>
    <s v="Y"/>
    <s v="No"/>
    <n v="16"/>
    <x v="0"/>
    <n v="4"/>
    <n v="80"/>
    <n v="1"/>
    <n v="5"/>
    <n v="1"/>
    <n v="3"/>
    <n v="5"/>
    <n v="3"/>
    <n v="0"/>
    <n v="4"/>
  </r>
  <r>
    <n v="41"/>
    <x v="1"/>
    <x v="0"/>
    <n v="918"/>
    <x v="0"/>
    <n v="6"/>
    <n v="3"/>
    <s v="Marketing"/>
    <n v="1"/>
    <n v="1708"/>
    <n v="4"/>
    <x v="1"/>
    <n v="35"/>
    <x v="0"/>
    <n v="3"/>
    <x v="0"/>
    <n v="3"/>
    <x v="0"/>
    <n v="9241"/>
    <n v="15869"/>
    <n v="1"/>
    <s v="Y"/>
    <s v="No"/>
    <n v="12"/>
    <x v="0"/>
    <n v="2"/>
    <n v="80"/>
    <n v="0"/>
    <n v="10"/>
    <n v="3"/>
    <n v="3"/>
    <n v="10"/>
    <n v="8"/>
    <n v="8"/>
    <n v="7"/>
  </r>
  <r>
    <n v="29"/>
    <x v="1"/>
    <x v="0"/>
    <n v="1082"/>
    <x v="1"/>
    <n v="9"/>
    <n v="4"/>
    <s v="Medical"/>
    <n v="1"/>
    <n v="1709"/>
    <n v="4"/>
    <x v="0"/>
    <n v="43"/>
    <x v="0"/>
    <n v="1"/>
    <x v="2"/>
    <n v="3"/>
    <x v="1"/>
    <n v="2974"/>
    <n v="25412"/>
    <n v="9"/>
    <s v="Y"/>
    <s v="No"/>
    <n v="17"/>
    <x v="0"/>
    <n v="3"/>
    <n v="80"/>
    <n v="1"/>
    <n v="9"/>
    <n v="2"/>
    <n v="3"/>
    <n v="5"/>
    <n v="3"/>
    <n v="1"/>
    <n v="2"/>
  </r>
  <r>
    <n v="36"/>
    <x v="1"/>
    <x v="0"/>
    <n v="530"/>
    <x v="0"/>
    <n v="2"/>
    <n v="4"/>
    <s v="Life Sciences"/>
    <n v="1"/>
    <n v="1710"/>
    <n v="3"/>
    <x v="0"/>
    <n v="51"/>
    <x v="0"/>
    <n v="2"/>
    <x v="6"/>
    <n v="4"/>
    <x v="0"/>
    <n v="4502"/>
    <n v="7439"/>
    <n v="3"/>
    <s v="Y"/>
    <s v="No"/>
    <n v="15"/>
    <x v="0"/>
    <n v="3"/>
    <n v="80"/>
    <n v="0"/>
    <n v="17"/>
    <n v="2"/>
    <n v="2"/>
    <n v="13"/>
    <n v="7"/>
    <n v="6"/>
    <n v="7"/>
  </r>
  <r>
    <n v="45"/>
    <x v="1"/>
    <x v="2"/>
    <n v="1238"/>
    <x v="1"/>
    <n v="1"/>
    <n v="1"/>
    <s v="Life Sciences"/>
    <n v="1"/>
    <n v="1712"/>
    <n v="3"/>
    <x v="1"/>
    <n v="74"/>
    <x v="1"/>
    <n v="3"/>
    <x v="4"/>
    <n v="3"/>
    <x v="1"/>
    <n v="10748"/>
    <n v="3395"/>
    <n v="3"/>
    <s v="Y"/>
    <s v="No"/>
    <n v="23"/>
    <x v="1"/>
    <n v="4"/>
    <n v="80"/>
    <n v="1"/>
    <n v="25"/>
    <n v="3"/>
    <n v="2"/>
    <n v="23"/>
    <n v="15"/>
    <n v="14"/>
    <n v="4"/>
  </r>
  <r>
    <n v="24"/>
    <x v="0"/>
    <x v="0"/>
    <n v="240"/>
    <x v="2"/>
    <n v="22"/>
    <n v="1"/>
    <s v="Human Resources"/>
    <n v="1"/>
    <n v="1714"/>
    <n v="4"/>
    <x v="1"/>
    <n v="58"/>
    <x v="3"/>
    <n v="1"/>
    <x v="8"/>
    <n v="3"/>
    <x v="1"/>
    <n v="1555"/>
    <n v="11585"/>
    <n v="1"/>
    <s v="Y"/>
    <s v="No"/>
    <n v="11"/>
    <x v="0"/>
    <n v="3"/>
    <n v="80"/>
    <n v="1"/>
    <n v="1"/>
    <n v="2"/>
    <n v="3"/>
    <n v="1"/>
    <n v="0"/>
    <n v="0"/>
    <n v="0"/>
  </r>
  <r>
    <n v="47"/>
    <x v="0"/>
    <x v="1"/>
    <n v="1093"/>
    <x v="0"/>
    <n v="9"/>
    <n v="3"/>
    <s v="Life Sciences"/>
    <n v="1"/>
    <n v="1716"/>
    <n v="3"/>
    <x v="1"/>
    <n v="82"/>
    <x v="3"/>
    <n v="4"/>
    <x v="0"/>
    <n v="3"/>
    <x v="1"/>
    <n v="12936"/>
    <n v="24164"/>
    <n v="7"/>
    <s v="Y"/>
    <s v="No"/>
    <n v="11"/>
    <x v="0"/>
    <n v="3"/>
    <n v="80"/>
    <n v="0"/>
    <n v="25"/>
    <n v="3"/>
    <n v="1"/>
    <n v="23"/>
    <n v="5"/>
    <n v="14"/>
    <n v="10"/>
  </r>
  <r>
    <n v="26"/>
    <x v="1"/>
    <x v="0"/>
    <n v="390"/>
    <x v="1"/>
    <n v="17"/>
    <n v="4"/>
    <s v="Medical"/>
    <n v="1"/>
    <n v="1718"/>
    <n v="4"/>
    <x v="1"/>
    <n v="62"/>
    <x v="3"/>
    <n v="1"/>
    <x v="2"/>
    <n v="3"/>
    <x v="1"/>
    <n v="2305"/>
    <n v="6217"/>
    <n v="1"/>
    <s v="Y"/>
    <s v="No"/>
    <n v="15"/>
    <x v="0"/>
    <n v="3"/>
    <n v="80"/>
    <n v="3"/>
    <n v="3"/>
    <n v="3"/>
    <n v="4"/>
    <n v="3"/>
    <n v="2"/>
    <n v="0"/>
    <n v="2"/>
  </r>
  <r>
    <n v="45"/>
    <x v="1"/>
    <x v="0"/>
    <n v="1005"/>
    <x v="1"/>
    <n v="28"/>
    <n v="2"/>
    <s v="Technical Degree"/>
    <n v="1"/>
    <n v="1719"/>
    <n v="4"/>
    <x v="0"/>
    <n v="48"/>
    <x v="1"/>
    <n v="4"/>
    <x v="7"/>
    <n v="2"/>
    <x v="0"/>
    <n v="16704"/>
    <n v="17119"/>
    <n v="1"/>
    <s v="Y"/>
    <s v="No"/>
    <n v="11"/>
    <x v="0"/>
    <n v="3"/>
    <n v="80"/>
    <n v="0"/>
    <n v="21"/>
    <n v="2"/>
    <n v="3"/>
    <n v="21"/>
    <n v="6"/>
    <n v="8"/>
    <n v="6"/>
  </r>
  <r>
    <n v="32"/>
    <x v="1"/>
    <x v="1"/>
    <n v="585"/>
    <x v="1"/>
    <n v="10"/>
    <n v="3"/>
    <s v="Life Sciences"/>
    <n v="1"/>
    <n v="1720"/>
    <n v="1"/>
    <x v="1"/>
    <n v="56"/>
    <x v="0"/>
    <n v="1"/>
    <x v="1"/>
    <n v="3"/>
    <x v="1"/>
    <n v="3433"/>
    <n v="17360"/>
    <n v="6"/>
    <s v="Y"/>
    <s v="No"/>
    <n v="13"/>
    <x v="0"/>
    <n v="1"/>
    <n v="80"/>
    <n v="1"/>
    <n v="10"/>
    <n v="3"/>
    <n v="2"/>
    <n v="5"/>
    <n v="2"/>
    <n v="1"/>
    <n v="3"/>
  </r>
  <r>
    <n v="31"/>
    <x v="1"/>
    <x v="0"/>
    <n v="741"/>
    <x v="1"/>
    <n v="2"/>
    <n v="4"/>
    <s v="Life Sciences"/>
    <n v="1"/>
    <n v="1721"/>
    <n v="2"/>
    <x v="1"/>
    <n v="69"/>
    <x v="0"/>
    <n v="1"/>
    <x v="2"/>
    <n v="3"/>
    <x v="1"/>
    <n v="3477"/>
    <n v="18103"/>
    <n v="1"/>
    <s v="Y"/>
    <s v="No"/>
    <n v="14"/>
    <x v="0"/>
    <n v="4"/>
    <n v="80"/>
    <n v="1"/>
    <n v="6"/>
    <n v="2"/>
    <n v="4"/>
    <n v="5"/>
    <n v="2"/>
    <n v="0"/>
    <n v="3"/>
  </r>
  <r>
    <n v="41"/>
    <x v="1"/>
    <x v="2"/>
    <n v="552"/>
    <x v="2"/>
    <n v="4"/>
    <n v="3"/>
    <s v="Human Resources"/>
    <n v="1"/>
    <n v="1722"/>
    <n v="3"/>
    <x v="1"/>
    <n v="60"/>
    <x v="3"/>
    <n v="2"/>
    <x v="8"/>
    <n v="2"/>
    <x v="1"/>
    <n v="6430"/>
    <n v="20794"/>
    <n v="6"/>
    <s v="Y"/>
    <s v="No"/>
    <n v="19"/>
    <x v="0"/>
    <n v="2"/>
    <n v="80"/>
    <n v="1"/>
    <n v="10"/>
    <n v="4"/>
    <n v="3"/>
    <n v="3"/>
    <n v="2"/>
    <n v="1"/>
    <n v="2"/>
  </r>
  <r>
    <n v="40"/>
    <x v="1"/>
    <x v="0"/>
    <n v="369"/>
    <x v="1"/>
    <n v="8"/>
    <n v="2"/>
    <s v="Life Sciences"/>
    <n v="1"/>
    <n v="1724"/>
    <n v="2"/>
    <x v="0"/>
    <n v="92"/>
    <x v="0"/>
    <n v="2"/>
    <x v="3"/>
    <n v="1"/>
    <x v="1"/>
    <n v="6516"/>
    <n v="5041"/>
    <n v="2"/>
    <s v="Y"/>
    <s v="Yes"/>
    <n v="16"/>
    <x v="0"/>
    <n v="2"/>
    <n v="80"/>
    <n v="1"/>
    <n v="18"/>
    <n v="3"/>
    <n v="3"/>
    <n v="1"/>
    <n v="0"/>
    <n v="0"/>
    <n v="0"/>
  </r>
  <r>
    <n v="24"/>
    <x v="1"/>
    <x v="0"/>
    <n v="506"/>
    <x v="1"/>
    <n v="29"/>
    <n v="1"/>
    <s v="Medical"/>
    <n v="1"/>
    <n v="1725"/>
    <n v="2"/>
    <x v="1"/>
    <n v="91"/>
    <x v="0"/>
    <n v="1"/>
    <x v="2"/>
    <n v="1"/>
    <x v="2"/>
    <n v="3907"/>
    <n v="3622"/>
    <n v="1"/>
    <s v="Y"/>
    <s v="No"/>
    <n v="13"/>
    <x v="0"/>
    <n v="2"/>
    <n v="80"/>
    <n v="3"/>
    <n v="6"/>
    <n v="2"/>
    <n v="4"/>
    <n v="6"/>
    <n v="2"/>
    <n v="1"/>
    <n v="2"/>
  </r>
  <r>
    <n v="46"/>
    <x v="1"/>
    <x v="0"/>
    <n v="717"/>
    <x v="1"/>
    <n v="13"/>
    <n v="4"/>
    <s v="Life Sciences"/>
    <n v="1"/>
    <n v="1727"/>
    <n v="3"/>
    <x v="1"/>
    <n v="34"/>
    <x v="0"/>
    <n v="2"/>
    <x v="4"/>
    <n v="2"/>
    <x v="0"/>
    <n v="5562"/>
    <n v="9697"/>
    <n v="6"/>
    <s v="Y"/>
    <s v="No"/>
    <n v="14"/>
    <x v="0"/>
    <n v="4"/>
    <n v="80"/>
    <n v="0"/>
    <n v="19"/>
    <n v="3"/>
    <n v="3"/>
    <n v="10"/>
    <n v="7"/>
    <n v="0"/>
    <n v="9"/>
  </r>
  <r>
    <n v="35"/>
    <x v="1"/>
    <x v="0"/>
    <n v="1370"/>
    <x v="1"/>
    <n v="27"/>
    <n v="4"/>
    <s v="Life Sciences"/>
    <n v="1"/>
    <n v="1728"/>
    <n v="4"/>
    <x v="1"/>
    <n v="49"/>
    <x v="0"/>
    <n v="2"/>
    <x v="3"/>
    <n v="3"/>
    <x v="1"/>
    <n v="6883"/>
    <n v="5151"/>
    <n v="2"/>
    <s v="Y"/>
    <s v="No"/>
    <n v="16"/>
    <x v="0"/>
    <n v="2"/>
    <n v="80"/>
    <n v="1"/>
    <n v="17"/>
    <n v="3"/>
    <n v="3"/>
    <n v="7"/>
    <n v="7"/>
    <n v="0"/>
    <n v="7"/>
  </r>
  <r>
    <n v="30"/>
    <x v="1"/>
    <x v="0"/>
    <n v="793"/>
    <x v="1"/>
    <n v="16"/>
    <n v="1"/>
    <s v="Life Sciences"/>
    <n v="1"/>
    <n v="1729"/>
    <n v="2"/>
    <x v="1"/>
    <n v="33"/>
    <x v="0"/>
    <n v="1"/>
    <x v="1"/>
    <n v="4"/>
    <x v="1"/>
    <n v="2862"/>
    <n v="3811"/>
    <n v="1"/>
    <s v="Y"/>
    <s v="No"/>
    <n v="12"/>
    <x v="0"/>
    <n v="2"/>
    <n v="80"/>
    <n v="1"/>
    <n v="10"/>
    <n v="2"/>
    <n v="2"/>
    <n v="10"/>
    <n v="0"/>
    <n v="0"/>
    <n v="8"/>
  </r>
  <r>
    <n v="47"/>
    <x v="1"/>
    <x v="2"/>
    <n v="543"/>
    <x v="0"/>
    <n v="2"/>
    <n v="4"/>
    <s v="Marketing"/>
    <n v="1"/>
    <n v="1731"/>
    <n v="3"/>
    <x v="1"/>
    <n v="87"/>
    <x v="0"/>
    <n v="2"/>
    <x v="0"/>
    <n v="2"/>
    <x v="1"/>
    <n v="4978"/>
    <n v="3536"/>
    <n v="7"/>
    <s v="Y"/>
    <s v="No"/>
    <n v="11"/>
    <x v="0"/>
    <n v="4"/>
    <n v="80"/>
    <n v="1"/>
    <n v="4"/>
    <n v="3"/>
    <n v="1"/>
    <n v="1"/>
    <n v="0"/>
    <n v="0"/>
    <n v="0"/>
  </r>
  <r>
    <n v="46"/>
    <x v="1"/>
    <x v="0"/>
    <n v="1277"/>
    <x v="0"/>
    <n v="2"/>
    <n v="3"/>
    <s v="Life Sciences"/>
    <n v="1"/>
    <n v="1732"/>
    <n v="3"/>
    <x v="1"/>
    <n v="74"/>
    <x v="0"/>
    <n v="3"/>
    <x v="0"/>
    <n v="4"/>
    <x v="2"/>
    <n v="10368"/>
    <n v="5596"/>
    <n v="4"/>
    <s v="Y"/>
    <s v="Yes"/>
    <n v="12"/>
    <x v="0"/>
    <n v="2"/>
    <n v="80"/>
    <n v="1"/>
    <n v="13"/>
    <n v="5"/>
    <n v="2"/>
    <n v="10"/>
    <n v="6"/>
    <n v="0"/>
    <n v="3"/>
  </r>
  <r>
    <n v="36"/>
    <x v="0"/>
    <x v="0"/>
    <n v="1456"/>
    <x v="0"/>
    <n v="13"/>
    <n v="5"/>
    <s v="Marketing"/>
    <n v="1"/>
    <n v="1733"/>
    <n v="2"/>
    <x v="1"/>
    <n v="96"/>
    <x v="1"/>
    <n v="2"/>
    <x v="0"/>
    <n v="1"/>
    <x v="2"/>
    <n v="6134"/>
    <n v="8658"/>
    <n v="5"/>
    <s v="Y"/>
    <s v="Yes"/>
    <n v="13"/>
    <x v="0"/>
    <n v="2"/>
    <n v="80"/>
    <n v="3"/>
    <n v="16"/>
    <n v="3"/>
    <n v="3"/>
    <n v="2"/>
    <n v="2"/>
    <n v="2"/>
    <n v="2"/>
  </r>
  <r>
    <n v="32"/>
    <x v="0"/>
    <x v="0"/>
    <n v="964"/>
    <x v="0"/>
    <n v="1"/>
    <n v="2"/>
    <s v="Life Sciences"/>
    <n v="1"/>
    <n v="1734"/>
    <n v="1"/>
    <x v="1"/>
    <n v="34"/>
    <x v="3"/>
    <n v="2"/>
    <x v="0"/>
    <n v="2"/>
    <x v="0"/>
    <n v="6735"/>
    <n v="12147"/>
    <n v="6"/>
    <s v="Y"/>
    <s v="No"/>
    <n v="15"/>
    <x v="0"/>
    <n v="2"/>
    <n v="80"/>
    <n v="0"/>
    <n v="10"/>
    <n v="2"/>
    <n v="3"/>
    <n v="0"/>
    <n v="0"/>
    <n v="0"/>
    <n v="0"/>
  </r>
  <r>
    <n v="23"/>
    <x v="1"/>
    <x v="0"/>
    <n v="160"/>
    <x v="1"/>
    <n v="4"/>
    <n v="1"/>
    <s v="Medical"/>
    <n v="1"/>
    <n v="1735"/>
    <n v="3"/>
    <x v="0"/>
    <n v="51"/>
    <x v="0"/>
    <n v="1"/>
    <x v="2"/>
    <n v="2"/>
    <x v="0"/>
    <n v="3295"/>
    <n v="12862"/>
    <n v="1"/>
    <s v="Y"/>
    <s v="No"/>
    <n v="13"/>
    <x v="0"/>
    <n v="3"/>
    <n v="80"/>
    <n v="0"/>
    <n v="3"/>
    <n v="3"/>
    <n v="1"/>
    <n v="3"/>
    <n v="2"/>
    <n v="1"/>
    <n v="2"/>
  </r>
  <r>
    <n v="31"/>
    <x v="1"/>
    <x v="1"/>
    <n v="163"/>
    <x v="1"/>
    <n v="24"/>
    <n v="1"/>
    <s v="Technical Degree"/>
    <n v="1"/>
    <n v="1736"/>
    <n v="4"/>
    <x v="0"/>
    <n v="30"/>
    <x v="0"/>
    <n v="2"/>
    <x v="3"/>
    <n v="4"/>
    <x v="0"/>
    <n v="5238"/>
    <n v="6670"/>
    <n v="2"/>
    <s v="Y"/>
    <s v="No"/>
    <n v="20"/>
    <x v="1"/>
    <n v="4"/>
    <n v="80"/>
    <n v="0"/>
    <n v="9"/>
    <n v="3"/>
    <n v="2"/>
    <n v="5"/>
    <n v="4"/>
    <n v="1"/>
    <n v="4"/>
  </r>
  <r>
    <n v="39"/>
    <x v="1"/>
    <x v="2"/>
    <n v="792"/>
    <x v="1"/>
    <n v="1"/>
    <n v="3"/>
    <s v="Life Sciences"/>
    <n v="1"/>
    <n v="1737"/>
    <n v="4"/>
    <x v="1"/>
    <n v="77"/>
    <x v="0"/>
    <n v="2"/>
    <x v="2"/>
    <n v="4"/>
    <x v="1"/>
    <n v="6472"/>
    <n v="8989"/>
    <n v="1"/>
    <s v="Y"/>
    <s v="Yes"/>
    <n v="15"/>
    <x v="0"/>
    <n v="4"/>
    <n v="80"/>
    <n v="1"/>
    <n v="9"/>
    <n v="2"/>
    <n v="3"/>
    <n v="9"/>
    <n v="8"/>
    <n v="5"/>
    <n v="8"/>
  </r>
  <r>
    <n v="32"/>
    <x v="1"/>
    <x v="0"/>
    <n v="371"/>
    <x v="0"/>
    <n v="19"/>
    <n v="3"/>
    <s v="Life Sciences"/>
    <n v="1"/>
    <n v="1739"/>
    <n v="4"/>
    <x v="1"/>
    <n v="80"/>
    <x v="3"/>
    <n v="3"/>
    <x v="0"/>
    <n v="3"/>
    <x v="1"/>
    <n v="9610"/>
    <n v="3840"/>
    <n v="3"/>
    <s v="Y"/>
    <s v="No"/>
    <n v="13"/>
    <x v="0"/>
    <n v="3"/>
    <n v="80"/>
    <n v="1"/>
    <n v="10"/>
    <n v="2"/>
    <n v="1"/>
    <n v="4"/>
    <n v="3"/>
    <n v="0"/>
    <n v="2"/>
  </r>
  <r>
    <n v="40"/>
    <x v="1"/>
    <x v="0"/>
    <n v="611"/>
    <x v="0"/>
    <n v="7"/>
    <n v="4"/>
    <s v="Medical"/>
    <n v="1"/>
    <n v="1740"/>
    <n v="2"/>
    <x v="1"/>
    <n v="88"/>
    <x v="0"/>
    <n v="5"/>
    <x v="5"/>
    <n v="2"/>
    <x v="0"/>
    <n v="19833"/>
    <n v="4349"/>
    <n v="1"/>
    <s v="Y"/>
    <s v="No"/>
    <n v="14"/>
    <x v="0"/>
    <n v="2"/>
    <n v="80"/>
    <n v="0"/>
    <n v="21"/>
    <n v="3"/>
    <n v="2"/>
    <n v="21"/>
    <n v="8"/>
    <n v="12"/>
    <n v="8"/>
  </r>
  <r>
    <n v="45"/>
    <x v="1"/>
    <x v="0"/>
    <n v="176"/>
    <x v="2"/>
    <n v="4"/>
    <n v="3"/>
    <s v="Life Sciences"/>
    <n v="1"/>
    <n v="1744"/>
    <n v="3"/>
    <x v="0"/>
    <n v="56"/>
    <x v="3"/>
    <n v="3"/>
    <x v="8"/>
    <n v="3"/>
    <x v="1"/>
    <n v="9756"/>
    <n v="6595"/>
    <n v="4"/>
    <s v="Y"/>
    <s v="No"/>
    <n v="21"/>
    <x v="1"/>
    <n v="3"/>
    <n v="80"/>
    <n v="2"/>
    <n v="9"/>
    <n v="2"/>
    <n v="4"/>
    <n v="5"/>
    <n v="0"/>
    <n v="0"/>
    <n v="3"/>
  </r>
  <r>
    <n v="30"/>
    <x v="1"/>
    <x v="1"/>
    <n v="1312"/>
    <x v="1"/>
    <n v="2"/>
    <n v="4"/>
    <s v="Technical Degree"/>
    <n v="1"/>
    <n v="1745"/>
    <n v="4"/>
    <x v="0"/>
    <n v="78"/>
    <x v="1"/>
    <n v="1"/>
    <x v="1"/>
    <n v="1"/>
    <x v="0"/>
    <n v="4968"/>
    <n v="26427"/>
    <n v="0"/>
    <s v="Y"/>
    <s v="No"/>
    <n v="16"/>
    <x v="0"/>
    <n v="4"/>
    <n v="80"/>
    <n v="0"/>
    <n v="10"/>
    <n v="2"/>
    <n v="3"/>
    <n v="9"/>
    <n v="7"/>
    <n v="0"/>
    <n v="7"/>
  </r>
  <r>
    <n v="24"/>
    <x v="1"/>
    <x v="1"/>
    <n v="897"/>
    <x v="2"/>
    <n v="10"/>
    <n v="3"/>
    <s v="Medical"/>
    <n v="1"/>
    <n v="1746"/>
    <n v="1"/>
    <x v="1"/>
    <n v="59"/>
    <x v="0"/>
    <n v="1"/>
    <x v="8"/>
    <n v="4"/>
    <x v="1"/>
    <n v="2145"/>
    <n v="2097"/>
    <n v="0"/>
    <s v="Y"/>
    <s v="No"/>
    <n v="14"/>
    <x v="0"/>
    <n v="4"/>
    <n v="80"/>
    <n v="1"/>
    <n v="3"/>
    <n v="2"/>
    <n v="3"/>
    <n v="2"/>
    <n v="2"/>
    <n v="2"/>
    <n v="1"/>
  </r>
  <r>
    <n v="30"/>
    <x v="0"/>
    <x v="1"/>
    <n v="600"/>
    <x v="2"/>
    <n v="8"/>
    <n v="3"/>
    <s v="Human Resources"/>
    <n v="1"/>
    <n v="1747"/>
    <n v="3"/>
    <x v="0"/>
    <n v="66"/>
    <x v="1"/>
    <n v="1"/>
    <x v="8"/>
    <n v="4"/>
    <x v="2"/>
    <n v="2180"/>
    <n v="9732"/>
    <n v="6"/>
    <s v="Y"/>
    <s v="No"/>
    <n v="11"/>
    <x v="0"/>
    <n v="3"/>
    <n v="80"/>
    <n v="1"/>
    <n v="6"/>
    <n v="0"/>
    <n v="2"/>
    <n v="4"/>
    <n v="2"/>
    <n v="1"/>
    <n v="2"/>
  </r>
  <r>
    <n v="31"/>
    <x v="1"/>
    <x v="0"/>
    <n v="1003"/>
    <x v="0"/>
    <n v="5"/>
    <n v="3"/>
    <s v="Technical Degree"/>
    <n v="1"/>
    <n v="1749"/>
    <n v="1"/>
    <x v="1"/>
    <n v="51"/>
    <x v="0"/>
    <n v="2"/>
    <x v="0"/>
    <n v="3"/>
    <x v="1"/>
    <n v="8346"/>
    <n v="20943"/>
    <n v="1"/>
    <s v="Y"/>
    <s v="No"/>
    <n v="19"/>
    <x v="0"/>
    <n v="3"/>
    <n v="80"/>
    <n v="1"/>
    <n v="6"/>
    <n v="3"/>
    <n v="3"/>
    <n v="5"/>
    <n v="2"/>
    <n v="0"/>
    <n v="2"/>
  </r>
  <r>
    <n v="27"/>
    <x v="1"/>
    <x v="0"/>
    <n v="1054"/>
    <x v="1"/>
    <n v="8"/>
    <n v="3"/>
    <s v="Medical"/>
    <n v="1"/>
    <n v="1751"/>
    <n v="3"/>
    <x v="0"/>
    <n v="67"/>
    <x v="0"/>
    <n v="1"/>
    <x v="1"/>
    <n v="4"/>
    <x v="0"/>
    <n v="3445"/>
    <n v="6152"/>
    <n v="1"/>
    <s v="Y"/>
    <s v="No"/>
    <n v="11"/>
    <x v="0"/>
    <n v="3"/>
    <n v="80"/>
    <n v="0"/>
    <n v="6"/>
    <n v="5"/>
    <n v="2"/>
    <n v="6"/>
    <n v="2"/>
    <n v="1"/>
    <n v="4"/>
  </r>
  <r>
    <n v="29"/>
    <x v="0"/>
    <x v="0"/>
    <n v="428"/>
    <x v="0"/>
    <n v="9"/>
    <n v="3"/>
    <s v="Marketing"/>
    <n v="1"/>
    <n v="1752"/>
    <n v="2"/>
    <x v="0"/>
    <n v="52"/>
    <x v="3"/>
    <n v="1"/>
    <x v="6"/>
    <n v="2"/>
    <x v="0"/>
    <n v="2760"/>
    <n v="14630"/>
    <n v="1"/>
    <s v="Y"/>
    <s v="No"/>
    <n v="13"/>
    <x v="0"/>
    <n v="3"/>
    <n v="80"/>
    <n v="0"/>
    <n v="2"/>
    <n v="3"/>
    <n v="3"/>
    <n v="2"/>
    <n v="2"/>
    <n v="2"/>
    <n v="2"/>
  </r>
  <r>
    <n v="29"/>
    <x v="1"/>
    <x v="1"/>
    <n v="461"/>
    <x v="1"/>
    <n v="1"/>
    <n v="3"/>
    <s v="Life Sciences"/>
    <n v="1"/>
    <n v="1753"/>
    <n v="4"/>
    <x v="1"/>
    <n v="70"/>
    <x v="2"/>
    <n v="2"/>
    <x v="4"/>
    <n v="3"/>
    <x v="0"/>
    <n v="6294"/>
    <n v="23060"/>
    <n v="8"/>
    <s v="Y"/>
    <s v="Yes"/>
    <n v="12"/>
    <x v="0"/>
    <n v="4"/>
    <n v="80"/>
    <n v="0"/>
    <n v="10"/>
    <n v="5"/>
    <n v="4"/>
    <n v="3"/>
    <n v="2"/>
    <n v="0"/>
    <n v="2"/>
  </r>
  <r>
    <n v="30"/>
    <x v="1"/>
    <x v="0"/>
    <n v="979"/>
    <x v="0"/>
    <n v="15"/>
    <n v="2"/>
    <s v="Marketing"/>
    <n v="1"/>
    <n v="1754"/>
    <n v="3"/>
    <x v="1"/>
    <n v="94"/>
    <x v="1"/>
    <n v="3"/>
    <x v="0"/>
    <n v="1"/>
    <x v="2"/>
    <n v="7140"/>
    <n v="3088"/>
    <n v="2"/>
    <s v="Y"/>
    <s v="No"/>
    <n v="11"/>
    <x v="0"/>
    <n v="1"/>
    <n v="80"/>
    <n v="1"/>
    <n v="12"/>
    <n v="2"/>
    <n v="3"/>
    <n v="7"/>
    <n v="7"/>
    <n v="1"/>
    <n v="7"/>
  </r>
  <r>
    <n v="34"/>
    <x v="1"/>
    <x v="0"/>
    <n v="181"/>
    <x v="1"/>
    <n v="2"/>
    <n v="4"/>
    <s v="Medical"/>
    <n v="1"/>
    <n v="1755"/>
    <n v="4"/>
    <x v="1"/>
    <n v="97"/>
    <x v="2"/>
    <n v="1"/>
    <x v="1"/>
    <n v="4"/>
    <x v="1"/>
    <n v="2932"/>
    <n v="5586"/>
    <n v="0"/>
    <s v="Y"/>
    <s v="Yes"/>
    <n v="14"/>
    <x v="0"/>
    <n v="1"/>
    <n v="80"/>
    <n v="3"/>
    <n v="6"/>
    <n v="3"/>
    <n v="3"/>
    <n v="5"/>
    <n v="0"/>
    <n v="1"/>
    <n v="2"/>
  </r>
  <r>
    <n v="33"/>
    <x v="1"/>
    <x v="2"/>
    <n v="1283"/>
    <x v="0"/>
    <n v="2"/>
    <n v="3"/>
    <s v="Marketing"/>
    <n v="1"/>
    <n v="1756"/>
    <n v="4"/>
    <x v="0"/>
    <n v="62"/>
    <x v="0"/>
    <n v="2"/>
    <x v="0"/>
    <n v="2"/>
    <x v="0"/>
    <n v="5147"/>
    <n v="10697"/>
    <n v="8"/>
    <s v="Y"/>
    <s v="No"/>
    <n v="15"/>
    <x v="0"/>
    <n v="4"/>
    <n v="80"/>
    <n v="0"/>
    <n v="13"/>
    <n v="2"/>
    <n v="2"/>
    <n v="11"/>
    <n v="7"/>
    <n v="1"/>
    <n v="7"/>
  </r>
  <r>
    <n v="49"/>
    <x v="1"/>
    <x v="0"/>
    <n v="1313"/>
    <x v="0"/>
    <n v="11"/>
    <n v="4"/>
    <s v="Marketing"/>
    <n v="1"/>
    <n v="1757"/>
    <n v="4"/>
    <x v="0"/>
    <n v="80"/>
    <x v="0"/>
    <n v="2"/>
    <x v="0"/>
    <n v="4"/>
    <x v="0"/>
    <n v="4507"/>
    <n v="8191"/>
    <n v="3"/>
    <s v="Y"/>
    <s v="No"/>
    <n v="12"/>
    <x v="0"/>
    <n v="3"/>
    <n v="80"/>
    <n v="0"/>
    <n v="8"/>
    <n v="1"/>
    <n v="4"/>
    <n v="5"/>
    <n v="1"/>
    <n v="0"/>
    <n v="4"/>
  </r>
  <r>
    <n v="33"/>
    <x v="0"/>
    <x v="0"/>
    <n v="211"/>
    <x v="0"/>
    <n v="16"/>
    <n v="3"/>
    <s v="Life Sciences"/>
    <n v="1"/>
    <n v="1758"/>
    <n v="1"/>
    <x v="0"/>
    <n v="74"/>
    <x v="0"/>
    <n v="3"/>
    <x v="0"/>
    <n v="1"/>
    <x v="0"/>
    <n v="8564"/>
    <n v="10092"/>
    <n v="2"/>
    <s v="Y"/>
    <s v="Yes"/>
    <n v="20"/>
    <x v="1"/>
    <n v="3"/>
    <n v="80"/>
    <n v="0"/>
    <n v="11"/>
    <n v="2"/>
    <n v="2"/>
    <n v="0"/>
    <n v="0"/>
    <n v="0"/>
    <n v="0"/>
  </r>
  <r>
    <n v="38"/>
    <x v="1"/>
    <x v="1"/>
    <n v="594"/>
    <x v="1"/>
    <n v="2"/>
    <n v="2"/>
    <s v="Medical"/>
    <n v="1"/>
    <n v="1760"/>
    <n v="3"/>
    <x v="0"/>
    <n v="75"/>
    <x v="1"/>
    <n v="1"/>
    <x v="2"/>
    <n v="2"/>
    <x v="1"/>
    <n v="2468"/>
    <n v="15963"/>
    <n v="4"/>
    <s v="Y"/>
    <s v="No"/>
    <n v="14"/>
    <x v="0"/>
    <n v="2"/>
    <n v="80"/>
    <n v="1"/>
    <n v="9"/>
    <n v="4"/>
    <n v="2"/>
    <n v="6"/>
    <n v="1"/>
    <n v="0"/>
    <n v="5"/>
  </r>
  <r>
    <n v="31"/>
    <x v="0"/>
    <x v="0"/>
    <n v="1079"/>
    <x v="0"/>
    <n v="16"/>
    <n v="4"/>
    <s v="Marketing"/>
    <n v="1"/>
    <n v="1761"/>
    <n v="1"/>
    <x v="1"/>
    <n v="70"/>
    <x v="0"/>
    <n v="3"/>
    <x v="0"/>
    <n v="3"/>
    <x v="1"/>
    <n v="8161"/>
    <n v="19002"/>
    <n v="2"/>
    <s v="Y"/>
    <s v="No"/>
    <n v="13"/>
    <x v="0"/>
    <n v="1"/>
    <n v="80"/>
    <n v="3"/>
    <n v="10"/>
    <n v="2"/>
    <n v="3"/>
    <n v="1"/>
    <n v="0"/>
    <n v="0"/>
    <n v="0"/>
  </r>
  <r>
    <n v="29"/>
    <x v="1"/>
    <x v="0"/>
    <n v="590"/>
    <x v="1"/>
    <n v="4"/>
    <n v="3"/>
    <s v="Technical Degree"/>
    <n v="1"/>
    <n v="1762"/>
    <n v="4"/>
    <x v="0"/>
    <n v="91"/>
    <x v="1"/>
    <n v="1"/>
    <x v="1"/>
    <n v="1"/>
    <x v="2"/>
    <n v="2109"/>
    <n v="10007"/>
    <n v="1"/>
    <s v="Y"/>
    <s v="No"/>
    <n v="13"/>
    <x v="0"/>
    <n v="3"/>
    <n v="80"/>
    <n v="1"/>
    <n v="1"/>
    <n v="2"/>
    <n v="3"/>
    <n v="1"/>
    <n v="0"/>
    <n v="0"/>
    <n v="0"/>
  </r>
  <r>
    <n v="30"/>
    <x v="1"/>
    <x v="0"/>
    <n v="305"/>
    <x v="1"/>
    <n v="16"/>
    <n v="3"/>
    <s v="Life Sciences"/>
    <n v="1"/>
    <n v="1763"/>
    <n v="3"/>
    <x v="1"/>
    <n v="58"/>
    <x v="2"/>
    <n v="2"/>
    <x v="4"/>
    <n v="3"/>
    <x v="1"/>
    <n v="5294"/>
    <n v="9128"/>
    <n v="3"/>
    <s v="Y"/>
    <s v="No"/>
    <n v="16"/>
    <x v="0"/>
    <n v="3"/>
    <n v="80"/>
    <n v="1"/>
    <n v="10"/>
    <n v="3"/>
    <n v="3"/>
    <n v="7"/>
    <n v="0"/>
    <n v="1"/>
    <n v="7"/>
  </r>
  <r>
    <n v="32"/>
    <x v="1"/>
    <x v="2"/>
    <n v="953"/>
    <x v="1"/>
    <n v="5"/>
    <n v="4"/>
    <s v="Technical Degree"/>
    <n v="1"/>
    <n v="1764"/>
    <n v="2"/>
    <x v="1"/>
    <n v="65"/>
    <x v="0"/>
    <n v="1"/>
    <x v="1"/>
    <n v="2"/>
    <x v="0"/>
    <n v="2718"/>
    <n v="17674"/>
    <n v="2"/>
    <s v="Y"/>
    <s v="No"/>
    <n v="14"/>
    <x v="0"/>
    <n v="2"/>
    <n v="80"/>
    <n v="0"/>
    <n v="12"/>
    <n v="3"/>
    <n v="3"/>
    <n v="7"/>
    <n v="7"/>
    <n v="0"/>
    <n v="7"/>
  </r>
  <r>
    <n v="38"/>
    <x v="1"/>
    <x v="0"/>
    <n v="833"/>
    <x v="1"/>
    <n v="18"/>
    <n v="3"/>
    <s v="Medical"/>
    <n v="1"/>
    <n v="1766"/>
    <n v="2"/>
    <x v="1"/>
    <n v="60"/>
    <x v="3"/>
    <n v="2"/>
    <x v="4"/>
    <n v="4"/>
    <x v="1"/>
    <n v="5811"/>
    <n v="24539"/>
    <n v="3"/>
    <s v="Y"/>
    <s v="Yes"/>
    <n v="16"/>
    <x v="0"/>
    <n v="3"/>
    <n v="80"/>
    <n v="1"/>
    <n v="15"/>
    <n v="2"/>
    <n v="3"/>
    <n v="1"/>
    <n v="0"/>
    <n v="1"/>
    <n v="0"/>
  </r>
  <r>
    <n v="43"/>
    <x v="0"/>
    <x v="1"/>
    <n v="807"/>
    <x v="1"/>
    <n v="17"/>
    <n v="3"/>
    <s v="Technical Degree"/>
    <n v="1"/>
    <n v="1767"/>
    <n v="3"/>
    <x v="1"/>
    <n v="38"/>
    <x v="1"/>
    <n v="1"/>
    <x v="1"/>
    <n v="3"/>
    <x v="1"/>
    <n v="2437"/>
    <n v="15587"/>
    <n v="9"/>
    <s v="Y"/>
    <s v="Yes"/>
    <n v="16"/>
    <x v="0"/>
    <n v="4"/>
    <n v="80"/>
    <n v="1"/>
    <n v="6"/>
    <n v="4"/>
    <n v="3"/>
    <n v="1"/>
    <n v="0"/>
    <n v="0"/>
    <n v="0"/>
  </r>
  <r>
    <n v="42"/>
    <x v="1"/>
    <x v="0"/>
    <n v="855"/>
    <x v="1"/>
    <n v="12"/>
    <n v="3"/>
    <s v="Medical"/>
    <n v="1"/>
    <n v="1768"/>
    <n v="2"/>
    <x v="1"/>
    <n v="57"/>
    <x v="0"/>
    <n v="1"/>
    <x v="2"/>
    <n v="2"/>
    <x v="2"/>
    <n v="2766"/>
    <n v="8952"/>
    <n v="8"/>
    <s v="Y"/>
    <s v="No"/>
    <n v="22"/>
    <x v="1"/>
    <n v="2"/>
    <n v="80"/>
    <n v="3"/>
    <n v="7"/>
    <n v="6"/>
    <n v="2"/>
    <n v="5"/>
    <n v="3"/>
    <n v="0"/>
    <n v="4"/>
  </r>
  <r>
    <n v="55"/>
    <x v="1"/>
    <x v="0"/>
    <n v="478"/>
    <x v="1"/>
    <n v="2"/>
    <n v="3"/>
    <s v="Medical"/>
    <n v="1"/>
    <n v="1770"/>
    <n v="3"/>
    <x v="1"/>
    <n v="60"/>
    <x v="1"/>
    <n v="5"/>
    <x v="7"/>
    <n v="1"/>
    <x v="1"/>
    <n v="19038"/>
    <n v="19805"/>
    <n v="8"/>
    <s v="Y"/>
    <s v="No"/>
    <n v="12"/>
    <x v="0"/>
    <n v="2"/>
    <n v="80"/>
    <n v="3"/>
    <n v="34"/>
    <n v="2"/>
    <n v="3"/>
    <n v="1"/>
    <n v="0"/>
    <n v="0"/>
    <n v="0"/>
  </r>
  <r>
    <n v="33"/>
    <x v="1"/>
    <x v="2"/>
    <n v="775"/>
    <x v="1"/>
    <n v="4"/>
    <n v="3"/>
    <s v="Technical Degree"/>
    <n v="1"/>
    <n v="1771"/>
    <n v="4"/>
    <x v="1"/>
    <n v="90"/>
    <x v="0"/>
    <n v="2"/>
    <x v="1"/>
    <n v="2"/>
    <x v="2"/>
    <n v="3055"/>
    <n v="6194"/>
    <n v="5"/>
    <s v="Y"/>
    <s v="No"/>
    <n v="15"/>
    <x v="0"/>
    <n v="4"/>
    <n v="80"/>
    <n v="2"/>
    <n v="11"/>
    <n v="2"/>
    <n v="2"/>
    <n v="9"/>
    <n v="8"/>
    <n v="1"/>
    <n v="7"/>
  </r>
  <r>
    <n v="41"/>
    <x v="1"/>
    <x v="0"/>
    <n v="548"/>
    <x v="1"/>
    <n v="9"/>
    <n v="4"/>
    <s v="Life Sciences"/>
    <n v="1"/>
    <n v="1772"/>
    <n v="3"/>
    <x v="1"/>
    <n v="94"/>
    <x v="0"/>
    <n v="1"/>
    <x v="2"/>
    <n v="1"/>
    <x v="2"/>
    <n v="2289"/>
    <n v="20520"/>
    <n v="1"/>
    <s v="Y"/>
    <s v="No"/>
    <n v="20"/>
    <x v="1"/>
    <n v="2"/>
    <n v="80"/>
    <n v="2"/>
    <n v="5"/>
    <n v="2"/>
    <n v="3"/>
    <n v="5"/>
    <n v="3"/>
    <n v="0"/>
    <n v="4"/>
  </r>
  <r>
    <n v="34"/>
    <x v="1"/>
    <x v="2"/>
    <n v="1375"/>
    <x v="0"/>
    <n v="10"/>
    <n v="3"/>
    <s v="Life Sciences"/>
    <n v="1"/>
    <n v="1774"/>
    <n v="4"/>
    <x v="1"/>
    <n v="87"/>
    <x v="0"/>
    <n v="2"/>
    <x v="0"/>
    <n v="3"/>
    <x v="2"/>
    <n v="4001"/>
    <n v="12313"/>
    <n v="1"/>
    <s v="Y"/>
    <s v="Yes"/>
    <n v="14"/>
    <x v="0"/>
    <n v="3"/>
    <n v="80"/>
    <n v="1"/>
    <n v="15"/>
    <n v="3"/>
    <n v="3"/>
    <n v="15"/>
    <n v="14"/>
    <n v="0"/>
    <n v="7"/>
  </r>
  <r>
    <n v="53"/>
    <x v="1"/>
    <x v="2"/>
    <n v="661"/>
    <x v="1"/>
    <n v="1"/>
    <n v="4"/>
    <s v="Medical"/>
    <n v="1"/>
    <n v="1775"/>
    <n v="1"/>
    <x v="0"/>
    <n v="60"/>
    <x v="1"/>
    <n v="4"/>
    <x v="3"/>
    <n v="3"/>
    <x v="1"/>
    <n v="12965"/>
    <n v="22308"/>
    <n v="4"/>
    <s v="Y"/>
    <s v="Yes"/>
    <n v="20"/>
    <x v="1"/>
    <n v="4"/>
    <n v="80"/>
    <n v="3"/>
    <n v="27"/>
    <n v="2"/>
    <n v="2"/>
    <n v="3"/>
    <n v="2"/>
    <n v="0"/>
    <n v="2"/>
  </r>
  <r>
    <n v="43"/>
    <x v="1"/>
    <x v="0"/>
    <n v="244"/>
    <x v="2"/>
    <n v="2"/>
    <n v="3"/>
    <s v="Life Sciences"/>
    <n v="1"/>
    <n v="1778"/>
    <n v="2"/>
    <x v="1"/>
    <n v="97"/>
    <x v="0"/>
    <n v="1"/>
    <x v="8"/>
    <n v="4"/>
    <x v="0"/>
    <n v="3539"/>
    <n v="5033"/>
    <n v="0"/>
    <s v="Y"/>
    <s v="No"/>
    <n v="13"/>
    <x v="0"/>
    <n v="2"/>
    <n v="80"/>
    <n v="0"/>
    <n v="10"/>
    <n v="5"/>
    <n v="3"/>
    <n v="9"/>
    <n v="7"/>
    <n v="1"/>
    <n v="8"/>
  </r>
  <r>
    <n v="34"/>
    <x v="1"/>
    <x v="0"/>
    <n v="511"/>
    <x v="0"/>
    <n v="3"/>
    <n v="2"/>
    <s v="Life Sciences"/>
    <n v="1"/>
    <n v="1779"/>
    <n v="4"/>
    <x v="0"/>
    <n v="32"/>
    <x v="3"/>
    <n v="2"/>
    <x v="0"/>
    <n v="4"/>
    <x v="0"/>
    <n v="6029"/>
    <n v="25353"/>
    <n v="5"/>
    <s v="Y"/>
    <s v="No"/>
    <n v="12"/>
    <x v="0"/>
    <n v="1"/>
    <n v="80"/>
    <n v="0"/>
    <n v="6"/>
    <n v="3"/>
    <n v="3"/>
    <n v="2"/>
    <n v="2"/>
    <n v="2"/>
    <n v="2"/>
  </r>
  <r>
    <n v="21"/>
    <x v="0"/>
    <x v="0"/>
    <n v="337"/>
    <x v="0"/>
    <n v="7"/>
    <n v="1"/>
    <s v="Marketing"/>
    <n v="1"/>
    <n v="1780"/>
    <n v="2"/>
    <x v="1"/>
    <n v="31"/>
    <x v="0"/>
    <n v="1"/>
    <x v="6"/>
    <n v="2"/>
    <x v="0"/>
    <n v="2679"/>
    <n v="4567"/>
    <n v="1"/>
    <s v="Y"/>
    <s v="No"/>
    <n v="13"/>
    <x v="0"/>
    <n v="2"/>
    <n v="80"/>
    <n v="0"/>
    <n v="1"/>
    <n v="3"/>
    <n v="3"/>
    <n v="1"/>
    <n v="0"/>
    <n v="1"/>
    <n v="0"/>
  </r>
  <r>
    <n v="38"/>
    <x v="1"/>
    <x v="0"/>
    <n v="1153"/>
    <x v="1"/>
    <n v="6"/>
    <n v="2"/>
    <s v="Other"/>
    <n v="1"/>
    <n v="1782"/>
    <n v="4"/>
    <x v="0"/>
    <n v="40"/>
    <x v="1"/>
    <n v="1"/>
    <x v="2"/>
    <n v="3"/>
    <x v="1"/>
    <n v="3702"/>
    <n v="16376"/>
    <n v="1"/>
    <s v="Y"/>
    <s v="No"/>
    <n v="11"/>
    <x v="0"/>
    <n v="2"/>
    <n v="80"/>
    <n v="1"/>
    <n v="5"/>
    <n v="3"/>
    <n v="3"/>
    <n v="5"/>
    <n v="4"/>
    <n v="0"/>
    <n v="4"/>
  </r>
  <r>
    <n v="22"/>
    <x v="0"/>
    <x v="0"/>
    <n v="1294"/>
    <x v="1"/>
    <n v="8"/>
    <n v="1"/>
    <s v="Medical"/>
    <n v="1"/>
    <n v="1783"/>
    <n v="3"/>
    <x v="0"/>
    <n v="79"/>
    <x v="0"/>
    <n v="1"/>
    <x v="2"/>
    <n v="1"/>
    <x v="1"/>
    <n v="2398"/>
    <n v="15999"/>
    <n v="1"/>
    <s v="Y"/>
    <s v="Yes"/>
    <n v="17"/>
    <x v="0"/>
    <n v="3"/>
    <n v="80"/>
    <n v="0"/>
    <n v="1"/>
    <n v="6"/>
    <n v="3"/>
    <n v="1"/>
    <n v="0"/>
    <n v="0"/>
    <n v="0"/>
  </r>
  <r>
    <n v="31"/>
    <x v="1"/>
    <x v="0"/>
    <n v="196"/>
    <x v="0"/>
    <n v="29"/>
    <n v="4"/>
    <s v="Marketing"/>
    <n v="1"/>
    <n v="1784"/>
    <n v="1"/>
    <x v="0"/>
    <n v="91"/>
    <x v="1"/>
    <n v="2"/>
    <x v="0"/>
    <n v="4"/>
    <x v="1"/>
    <n v="5468"/>
    <n v="13402"/>
    <n v="1"/>
    <s v="Y"/>
    <s v="No"/>
    <n v="14"/>
    <x v="0"/>
    <n v="1"/>
    <n v="80"/>
    <n v="2"/>
    <n v="13"/>
    <n v="3"/>
    <n v="3"/>
    <n v="12"/>
    <n v="7"/>
    <n v="5"/>
    <n v="7"/>
  </r>
  <r>
    <n v="51"/>
    <x v="1"/>
    <x v="0"/>
    <n v="942"/>
    <x v="1"/>
    <n v="3"/>
    <n v="3"/>
    <s v="Technical Degree"/>
    <n v="1"/>
    <n v="1786"/>
    <n v="1"/>
    <x v="0"/>
    <n v="53"/>
    <x v="0"/>
    <n v="3"/>
    <x v="5"/>
    <n v="3"/>
    <x v="1"/>
    <n v="13116"/>
    <n v="22984"/>
    <n v="2"/>
    <s v="Y"/>
    <s v="No"/>
    <n v="11"/>
    <x v="0"/>
    <n v="4"/>
    <n v="80"/>
    <n v="0"/>
    <n v="15"/>
    <n v="2"/>
    <n v="3"/>
    <n v="2"/>
    <n v="2"/>
    <n v="2"/>
    <n v="2"/>
  </r>
  <r>
    <n v="37"/>
    <x v="1"/>
    <x v="0"/>
    <n v="589"/>
    <x v="0"/>
    <n v="9"/>
    <n v="2"/>
    <s v="Marketing"/>
    <n v="1"/>
    <n v="1787"/>
    <n v="2"/>
    <x v="1"/>
    <n v="46"/>
    <x v="1"/>
    <n v="2"/>
    <x v="0"/>
    <n v="2"/>
    <x v="1"/>
    <n v="4189"/>
    <n v="8800"/>
    <n v="1"/>
    <s v="Y"/>
    <s v="No"/>
    <n v="14"/>
    <x v="0"/>
    <n v="1"/>
    <n v="80"/>
    <n v="2"/>
    <n v="5"/>
    <n v="2"/>
    <n v="3"/>
    <n v="5"/>
    <n v="2"/>
    <n v="0"/>
    <n v="3"/>
  </r>
  <r>
    <n v="46"/>
    <x v="1"/>
    <x v="0"/>
    <n v="734"/>
    <x v="1"/>
    <n v="2"/>
    <n v="4"/>
    <s v="Medical"/>
    <n v="1"/>
    <n v="1789"/>
    <n v="3"/>
    <x v="1"/>
    <n v="46"/>
    <x v="0"/>
    <n v="5"/>
    <x v="7"/>
    <n v="4"/>
    <x v="2"/>
    <n v="19328"/>
    <n v="14218"/>
    <n v="7"/>
    <s v="Y"/>
    <s v="Yes"/>
    <n v="17"/>
    <x v="0"/>
    <n v="3"/>
    <n v="80"/>
    <n v="1"/>
    <n v="24"/>
    <n v="3"/>
    <n v="3"/>
    <n v="2"/>
    <n v="1"/>
    <n v="2"/>
    <n v="2"/>
  </r>
  <r>
    <n v="36"/>
    <x v="1"/>
    <x v="0"/>
    <n v="1383"/>
    <x v="1"/>
    <n v="10"/>
    <n v="3"/>
    <s v="Life Sciences"/>
    <n v="1"/>
    <n v="1790"/>
    <n v="4"/>
    <x v="1"/>
    <n v="90"/>
    <x v="0"/>
    <n v="3"/>
    <x v="4"/>
    <n v="1"/>
    <x v="1"/>
    <n v="8321"/>
    <n v="25949"/>
    <n v="7"/>
    <s v="Y"/>
    <s v="Yes"/>
    <n v="13"/>
    <x v="0"/>
    <n v="4"/>
    <n v="80"/>
    <n v="1"/>
    <n v="15"/>
    <n v="1"/>
    <n v="3"/>
    <n v="12"/>
    <n v="8"/>
    <n v="5"/>
    <n v="7"/>
  </r>
  <r>
    <n v="44"/>
    <x v="0"/>
    <x v="1"/>
    <n v="429"/>
    <x v="1"/>
    <n v="1"/>
    <n v="2"/>
    <s v="Medical"/>
    <n v="1"/>
    <n v="1792"/>
    <n v="3"/>
    <x v="1"/>
    <n v="99"/>
    <x v="0"/>
    <n v="1"/>
    <x v="1"/>
    <n v="2"/>
    <x v="2"/>
    <n v="2342"/>
    <n v="11092"/>
    <n v="1"/>
    <s v="Y"/>
    <s v="Yes"/>
    <n v="12"/>
    <x v="0"/>
    <n v="3"/>
    <n v="80"/>
    <n v="3"/>
    <n v="6"/>
    <n v="2"/>
    <n v="2"/>
    <n v="5"/>
    <n v="3"/>
    <n v="2"/>
    <n v="3"/>
  </r>
  <r>
    <n v="37"/>
    <x v="1"/>
    <x v="0"/>
    <n v="1239"/>
    <x v="2"/>
    <n v="8"/>
    <n v="2"/>
    <s v="Other"/>
    <n v="1"/>
    <n v="1794"/>
    <n v="3"/>
    <x v="1"/>
    <n v="89"/>
    <x v="0"/>
    <n v="2"/>
    <x v="8"/>
    <n v="2"/>
    <x v="2"/>
    <n v="4071"/>
    <n v="12832"/>
    <n v="2"/>
    <s v="Y"/>
    <s v="No"/>
    <n v="13"/>
    <x v="0"/>
    <n v="3"/>
    <n v="80"/>
    <n v="0"/>
    <n v="19"/>
    <n v="4"/>
    <n v="2"/>
    <n v="10"/>
    <n v="0"/>
    <n v="4"/>
    <n v="7"/>
  </r>
  <r>
    <n v="35"/>
    <x v="0"/>
    <x v="0"/>
    <n v="303"/>
    <x v="0"/>
    <n v="27"/>
    <n v="3"/>
    <s v="Life Sciences"/>
    <n v="1"/>
    <n v="1797"/>
    <n v="3"/>
    <x v="1"/>
    <n v="84"/>
    <x v="0"/>
    <n v="2"/>
    <x v="0"/>
    <n v="4"/>
    <x v="0"/>
    <n v="5813"/>
    <n v="13492"/>
    <n v="1"/>
    <s v="Y"/>
    <s v="Yes"/>
    <n v="18"/>
    <x v="0"/>
    <n v="4"/>
    <n v="80"/>
    <n v="0"/>
    <n v="10"/>
    <n v="2"/>
    <n v="3"/>
    <n v="10"/>
    <n v="7"/>
    <n v="7"/>
    <n v="7"/>
  </r>
  <r>
    <n v="33"/>
    <x v="1"/>
    <x v="0"/>
    <n v="867"/>
    <x v="1"/>
    <n v="8"/>
    <n v="4"/>
    <s v="Life Sciences"/>
    <n v="1"/>
    <n v="1798"/>
    <n v="4"/>
    <x v="1"/>
    <n v="90"/>
    <x v="2"/>
    <n v="1"/>
    <x v="1"/>
    <n v="1"/>
    <x v="1"/>
    <n v="3143"/>
    <n v="6076"/>
    <n v="6"/>
    <s v="Y"/>
    <s v="No"/>
    <n v="19"/>
    <x v="0"/>
    <n v="2"/>
    <n v="80"/>
    <n v="1"/>
    <n v="14"/>
    <n v="1"/>
    <n v="3"/>
    <n v="10"/>
    <n v="8"/>
    <n v="7"/>
    <n v="6"/>
  </r>
  <r>
    <n v="28"/>
    <x v="1"/>
    <x v="0"/>
    <n v="1181"/>
    <x v="1"/>
    <n v="1"/>
    <n v="3"/>
    <s v="Life Sciences"/>
    <n v="1"/>
    <n v="1799"/>
    <n v="3"/>
    <x v="1"/>
    <n v="82"/>
    <x v="0"/>
    <n v="1"/>
    <x v="1"/>
    <n v="4"/>
    <x v="1"/>
    <n v="2044"/>
    <n v="5531"/>
    <n v="1"/>
    <s v="Y"/>
    <s v="No"/>
    <n v="11"/>
    <x v="0"/>
    <n v="3"/>
    <n v="80"/>
    <n v="1"/>
    <n v="5"/>
    <n v="6"/>
    <n v="4"/>
    <n v="5"/>
    <n v="3"/>
    <n v="0"/>
    <n v="3"/>
  </r>
  <r>
    <n v="39"/>
    <x v="1"/>
    <x v="0"/>
    <n v="1253"/>
    <x v="1"/>
    <n v="10"/>
    <n v="1"/>
    <s v="Medical"/>
    <n v="1"/>
    <n v="1800"/>
    <n v="3"/>
    <x v="1"/>
    <n v="65"/>
    <x v="0"/>
    <n v="3"/>
    <x v="7"/>
    <n v="3"/>
    <x v="0"/>
    <n v="13464"/>
    <n v="7914"/>
    <n v="7"/>
    <s v="Y"/>
    <s v="No"/>
    <n v="21"/>
    <x v="1"/>
    <n v="3"/>
    <n v="80"/>
    <n v="0"/>
    <n v="9"/>
    <n v="3"/>
    <n v="3"/>
    <n v="4"/>
    <n v="3"/>
    <n v="2"/>
    <n v="2"/>
  </r>
  <r>
    <n v="46"/>
    <x v="1"/>
    <x v="2"/>
    <n v="849"/>
    <x v="0"/>
    <n v="26"/>
    <n v="2"/>
    <s v="Life Sciences"/>
    <n v="1"/>
    <n v="1801"/>
    <n v="2"/>
    <x v="1"/>
    <n v="98"/>
    <x v="1"/>
    <n v="2"/>
    <x v="0"/>
    <n v="2"/>
    <x v="0"/>
    <n v="7991"/>
    <n v="25166"/>
    <n v="8"/>
    <s v="Y"/>
    <s v="No"/>
    <n v="15"/>
    <x v="0"/>
    <n v="3"/>
    <n v="80"/>
    <n v="0"/>
    <n v="6"/>
    <n v="3"/>
    <n v="3"/>
    <n v="2"/>
    <n v="2"/>
    <n v="2"/>
    <n v="2"/>
  </r>
  <r>
    <n v="40"/>
    <x v="1"/>
    <x v="0"/>
    <n v="616"/>
    <x v="1"/>
    <n v="2"/>
    <n v="2"/>
    <s v="Life Sciences"/>
    <n v="1"/>
    <n v="1802"/>
    <n v="3"/>
    <x v="0"/>
    <n v="99"/>
    <x v="0"/>
    <n v="1"/>
    <x v="2"/>
    <n v="1"/>
    <x v="1"/>
    <n v="3377"/>
    <n v="25605"/>
    <n v="4"/>
    <s v="Y"/>
    <s v="No"/>
    <n v="17"/>
    <x v="0"/>
    <n v="4"/>
    <n v="80"/>
    <n v="1"/>
    <n v="7"/>
    <n v="5"/>
    <n v="2"/>
    <n v="4"/>
    <n v="3"/>
    <n v="0"/>
    <n v="2"/>
  </r>
  <r>
    <n v="42"/>
    <x v="1"/>
    <x v="0"/>
    <n v="1128"/>
    <x v="1"/>
    <n v="13"/>
    <n v="3"/>
    <s v="Medical"/>
    <n v="1"/>
    <n v="1803"/>
    <n v="2"/>
    <x v="1"/>
    <n v="95"/>
    <x v="2"/>
    <n v="2"/>
    <x v="4"/>
    <n v="1"/>
    <x v="1"/>
    <n v="5538"/>
    <n v="5696"/>
    <n v="5"/>
    <s v="Y"/>
    <s v="No"/>
    <n v="18"/>
    <x v="0"/>
    <n v="3"/>
    <n v="80"/>
    <n v="2"/>
    <n v="10"/>
    <n v="2"/>
    <n v="2"/>
    <n v="0"/>
    <n v="0"/>
    <n v="0"/>
    <n v="0"/>
  </r>
  <r>
    <n v="35"/>
    <x v="1"/>
    <x v="2"/>
    <n v="1180"/>
    <x v="1"/>
    <n v="2"/>
    <n v="2"/>
    <s v="Medical"/>
    <n v="1"/>
    <n v="1804"/>
    <n v="2"/>
    <x v="1"/>
    <n v="90"/>
    <x v="0"/>
    <n v="2"/>
    <x v="3"/>
    <n v="4"/>
    <x v="2"/>
    <n v="5762"/>
    <n v="24442"/>
    <n v="2"/>
    <s v="Y"/>
    <s v="No"/>
    <n v="14"/>
    <x v="0"/>
    <n v="3"/>
    <n v="80"/>
    <n v="1"/>
    <n v="15"/>
    <n v="6"/>
    <n v="3"/>
    <n v="7"/>
    <n v="7"/>
    <n v="1"/>
    <n v="7"/>
  </r>
  <r>
    <n v="38"/>
    <x v="1"/>
    <x v="2"/>
    <n v="1336"/>
    <x v="2"/>
    <n v="2"/>
    <n v="3"/>
    <s v="Human Resources"/>
    <n v="1"/>
    <n v="1805"/>
    <n v="1"/>
    <x v="1"/>
    <n v="100"/>
    <x v="0"/>
    <n v="1"/>
    <x v="8"/>
    <n v="2"/>
    <x v="2"/>
    <n v="2592"/>
    <n v="7129"/>
    <n v="5"/>
    <s v="Y"/>
    <s v="No"/>
    <n v="13"/>
    <x v="0"/>
    <n v="4"/>
    <n v="80"/>
    <n v="3"/>
    <n v="13"/>
    <n v="3"/>
    <n v="3"/>
    <n v="11"/>
    <n v="10"/>
    <n v="3"/>
    <n v="8"/>
  </r>
  <r>
    <n v="34"/>
    <x v="0"/>
    <x v="1"/>
    <n v="234"/>
    <x v="1"/>
    <n v="9"/>
    <n v="4"/>
    <s v="Life Sciences"/>
    <n v="1"/>
    <n v="1807"/>
    <n v="4"/>
    <x v="1"/>
    <n v="93"/>
    <x v="0"/>
    <n v="2"/>
    <x v="2"/>
    <n v="1"/>
    <x v="1"/>
    <n v="5346"/>
    <n v="6208"/>
    <n v="4"/>
    <s v="Y"/>
    <s v="No"/>
    <n v="17"/>
    <x v="0"/>
    <n v="3"/>
    <n v="80"/>
    <n v="1"/>
    <n v="11"/>
    <n v="3"/>
    <n v="2"/>
    <n v="7"/>
    <n v="1"/>
    <n v="0"/>
    <n v="7"/>
  </r>
  <r>
    <n v="37"/>
    <x v="0"/>
    <x v="0"/>
    <n v="370"/>
    <x v="1"/>
    <n v="10"/>
    <n v="4"/>
    <s v="Medical"/>
    <n v="1"/>
    <n v="1809"/>
    <n v="4"/>
    <x v="1"/>
    <n v="58"/>
    <x v="0"/>
    <n v="2"/>
    <x v="3"/>
    <n v="1"/>
    <x v="0"/>
    <n v="4213"/>
    <n v="4992"/>
    <n v="1"/>
    <s v="Y"/>
    <s v="No"/>
    <n v="15"/>
    <x v="0"/>
    <n v="2"/>
    <n v="80"/>
    <n v="0"/>
    <n v="10"/>
    <n v="4"/>
    <n v="1"/>
    <n v="10"/>
    <n v="3"/>
    <n v="0"/>
    <n v="8"/>
  </r>
  <r>
    <n v="39"/>
    <x v="1"/>
    <x v="1"/>
    <n v="766"/>
    <x v="0"/>
    <n v="20"/>
    <n v="3"/>
    <s v="Life Sciences"/>
    <n v="1"/>
    <n v="1812"/>
    <n v="3"/>
    <x v="1"/>
    <n v="83"/>
    <x v="0"/>
    <n v="2"/>
    <x v="0"/>
    <n v="4"/>
    <x v="2"/>
    <n v="4127"/>
    <n v="19188"/>
    <n v="2"/>
    <s v="Y"/>
    <s v="No"/>
    <n v="18"/>
    <x v="0"/>
    <n v="4"/>
    <n v="80"/>
    <n v="1"/>
    <n v="7"/>
    <n v="6"/>
    <n v="3"/>
    <n v="2"/>
    <n v="1"/>
    <n v="2"/>
    <n v="2"/>
  </r>
  <r>
    <n v="43"/>
    <x v="1"/>
    <x v="2"/>
    <n v="343"/>
    <x v="1"/>
    <n v="9"/>
    <n v="3"/>
    <s v="Life Sciences"/>
    <n v="1"/>
    <n v="1813"/>
    <n v="1"/>
    <x v="1"/>
    <n v="52"/>
    <x v="0"/>
    <n v="1"/>
    <x v="1"/>
    <n v="3"/>
    <x v="0"/>
    <n v="2438"/>
    <n v="24978"/>
    <n v="4"/>
    <s v="Y"/>
    <s v="No"/>
    <n v="13"/>
    <x v="0"/>
    <n v="3"/>
    <n v="80"/>
    <n v="0"/>
    <n v="7"/>
    <n v="2"/>
    <n v="2"/>
    <n v="3"/>
    <n v="2"/>
    <n v="1"/>
    <n v="2"/>
  </r>
  <r>
    <n v="41"/>
    <x v="1"/>
    <x v="0"/>
    <n v="447"/>
    <x v="1"/>
    <n v="5"/>
    <n v="3"/>
    <s v="Life Sciences"/>
    <n v="1"/>
    <n v="1814"/>
    <n v="2"/>
    <x v="1"/>
    <n v="85"/>
    <x v="2"/>
    <n v="2"/>
    <x v="4"/>
    <n v="2"/>
    <x v="0"/>
    <n v="6870"/>
    <n v="15530"/>
    <n v="3"/>
    <s v="Y"/>
    <s v="No"/>
    <n v="12"/>
    <x v="0"/>
    <n v="1"/>
    <n v="80"/>
    <n v="0"/>
    <n v="11"/>
    <n v="3"/>
    <n v="1"/>
    <n v="3"/>
    <n v="2"/>
    <n v="1"/>
    <n v="2"/>
  </r>
  <r>
    <n v="41"/>
    <x v="1"/>
    <x v="0"/>
    <n v="796"/>
    <x v="0"/>
    <n v="4"/>
    <n v="1"/>
    <s v="Marketing"/>
    <n v="1"/>
    <n v="1815"/>
    <n v="3"/>
    <x v="0"/>
    <n v="81"/>
    <x v="0"/>
    <n v="3"/>
    <x v="0"/>
    <n v="3"/>
    <x v="2"/>
    <n v="10447"/>
    <n v="26458"/>
    <n v="0"/>
    <s v="Y"/>
    <s v="Yes"/>
    <n v="13"/>
    <x v="0"/>
    <n v="4"/>
    <n v="80"/>
    <n v="1"/>
    <n v="23"/>
    <n v="3"/>
    <n v="4"/>
    <n v="22"/>
    <n v="14"/>
    <n v="13"/>
    <n v="5"/>
  </r>
  <r>
    <n v="30"/>
    <x v="1"/>
    <x v="0"/>
    <n v="1092"/>
    <x v="1"/>
    <n v="10"/>
    <n v="3"/>
    <s v="Medical"/>
    <n v="1"/>
    <n v="1816"/>
    <n v="1"/>
    <x v="0"/>
    <n v="64"/>
    <x v="0"/>
    <n v="3"/>
    <x v="3"/>
    <n v="3"/>
    <x v="0"/>
    <n v="9667"/>
    <n v="2739"/>
    <n v="9"/>
    <s v="Y"/>
    <s v="No"/>
    <n v="14"/>
    <x v="0"/>
    <n v="2"/>
    <n v="80"/>
    <n v="0"/>
    <n v="9"/>
    <n v="3"/>
    <n v="3"/>
    <n v="7"/>
    <n v="7"/>
    <n v="0"/>
    <n v="2"/>
  </r>
  <r>
    <n v="26"/>
    <x v="0"/>
    <x v="0"/>
    <n v="920"/>
    <x v="2"/>
    <n v="20"/>
    <n v="2"/>
    <s v="Medical"/>
    <n v="1"/>
    <n v="1818"/>
    <n v="4"/>
    <x v="0"/>
    <n v="69"/>
    <x v="0"/>
    <n v="1"/>
    <x v="8"/>
    <n v="2"/>
    <x v="1"/>
    <n v="2148"/>
    <n v="6889"/>
    <n v="0"/>
    <s v="Y"/>
    <s v="Yes"/>
    <n v="11"/>
    <x v="0"/>
    <n v="3"/>
    <n v="80"/>
    <n v="0"/>
    <n v="6"/>
    <n v="3"/>
    <n v="3"/>
    <n v="5"/>
    <n v="1"/>
    <n v="1"/>
    <n v="4"/>
  </r>
  <r>
    <n v="46"/>
    <x v="0"/>
    <x v="0"/>
    <n v="261"/>
    <x v="1"/>
    <n v="21"/>
    <n v="2"/>
    <s v="Medical"/>
    <n v="1"/>
    <n v="1821"/>
    <n v="4"/>
    <x v="0"/>
    <n v="66"/>
    <x v="0"/>
    <n v="2"/>
    <x v="4"/>
    <n v="2"/>
    <x v="1"/>
    <n v="8926"/>
    <n v="10842"/>
    <n v="4"/>
    <s v="Y"/>
    <s v="No"/>
    <n v="22"/>
    <x v="1"/>
    <n v="4"/>
    <n v="80"/>
    <n v="1"/>
    <n v="13"/>
    <n v="2"/>
    <n v="4"/>
    <n v="9"/>
    <n v="7"/>
    <n v="3"/>
    <n v="7"/>
  </r>
  <r>
    <n v="40"/>
    <x v="1"/>
    <x v="0"/>
    <n v="1194"/>
    <x v="1"/>
    <n v="1"/>
    <n v="3"/>
    <s v="Life Sciences"/>
    <n v="1"/>
    <n v="1822"/>
    <n v="3"/>
    <x v="0"/>
    <n v="52"/>
    <x v="0"/>
    <n v="2"/>
    <x v="4"/>
    <n v="4"/>
    <x v="2"/>
    <n v="6513"/>
    <n v="9060"/>
    <n v="4"/>
    <s v="Y"/>
    <s v="No"/>
    <n v="17"/>
    <x v="0"/>
    <n v="4"/>
    <n v="80"/>
    <n v="1"/>
    <n v="12"/>
    <n v="3"/>
    <n v="3"/>
    <n v="5"/>
    <n v="3"/>
    <n v="0"/>
    <n v="3"/>
  </r>
  <r>
    <n v="34"/>
    <x v="1"/>
    <x v="0"/>
    <n v="810"/>
    <x v="0"/>
    <n v="8"/>
    <n v="2"/>
    <s v="Technical Degree"/>
    <n v="1"/>
    <n v="1823"/>
    <n v="2"/>
    <x v="1"/>
    <n v="92"/>
    <x v="2"/>
    <n v="2"/>
    <x v="0"/>
    <n v="3"/>
    <x v="1"/>
    <n v="6799"/>
    <n v="22128"/>
    <n v="1"/>
    <s v="Y"/>
    <s v="No"/>
    <n v="21"/>
    <x v="1"/>
    <n v="3"/>
    <n v="80"/>
    <n v="2"/>
    <n v="10"/>
    <n v="5"/>
    <n v="3"/>
    <n v="10"/>
    <n v="8"/>
    <n v="4"/>
    <n v="8"/>
  </r>
  <r>
    <n v="58"/>
    <x v="1"/>
    <x v="2"/>
    <n v="350"/>
    <x v="0"/>
    <n v="2"/>
    <n v="3"/>
    <s v="Medical"/>
    <n v="1"/>
    <n v="1824"/>
    <n v="2"/>
    <x v="1"/>
    <n v="52"/>
    <x v="0"/>
    <n v="4"/>
    <x v="5"/>
    <n v="2"/>
    <x v="2"/>
    <n v="16291"/>
    <n v="22577"/>
    <n v="4"/>
    <s v="Y"/>
    <s v="No"/>
    <n v="22"/>
    <x v="1"/>
    <n v="4"/>
    <n v="80"/>
    <n v="1"/>
    <n v="37"/>
    <n v="0"/>
    <n v="2"/>
    <n v="16"/>
    <n v="9"/>
    <n v="14"/>
    <n v="14"/>
  </r>
  <r>
    <n v="35"/>
    <x v="1"/>
    <x v="0"/>
    <n v="185"/>
    <x v="1"/>
    <n v="23"/>
    <n v="4"/>
    <s v="Medical"/>
    <n v="1"/>
    <n v="1826"/>
    <n v="2"/>
    <x v="1"/>
    <n v="91"/>
    <x v="3"/>
    <n v="1"/>
    <x v="2"/>
    <n v="3"/>
    <x v="1"/>
    <n v="2705"/>
    <n v="9696"/>
    <n v="0"/>
    <s v="Y"/>
    <s v="No"/>
    <n v="16"/>
    <x v="0"/>
    <n v="2"/>
    <n v="80"/>
    <n v="1"/>
    <n v="6"/>
    <n v="2"/>
    <n v="4"/>
    <n v="5"/>
    <n v="4"/>
    <n v="0"/>
    <n v="3"/>
  </r>
  <r>
    <n v="47"/>
    <x v="1"/>
    <x v="0"/>
    <n v="1001"/>
    <x v="1"/>
    <n v="4"/>
    <n v="3"/>
    <s v="Life Sciences"/>
    <n v="1"/>
    <n v="1827"/>
    <n v="3"/>
    <x v="0"/>
    <n v="92"/>
    <x v="1"/>
    <n v="3"/>
    <x v="3"/>
    <n v="2"/>
    <x v="2"/>
    <n v="10333"/>
    <n v="19271"/>
    <n v="8"/>
    <s v="Y"/>
    <s v="Yes"/>
    <n v="12"/>
    <x v="0"/>
    <n v="3"/>
    <n v="80"/>
    <n v="1"/>
    <n v="28"/>
    <n v="4"/>
    <n v="3"/>
    <n v="22"/>
    <n v="11"/>
    <n v="14"/>
    <n v="10"/>
  </r>
  <r>
    <n v="40"/>
    <x v="1"/>
    <x v="0"/>
    <n v="750"/>
    <x v="1"/>
    <n v="12"/>
    <n v="3"/>
    <s v="Life Sciences"/>
    <n v="1"/>
    <n v="1829"/>
    <n v="2"/>
    <x v="0"/>
    <n v="47"/>
    <x v="0"/>
    <n v="2"/>
    <x v="4"/>
    <n v="1"/>
    <x v="2"/>
    <n v="4448"/>
    <n v="10748"/>
    <n v="2"/>
    <s v="Y"/>
    <s v="No"/>
    <n v="12"/>
    <x v="0"/>
    <n v="2"/>
    <n v="80"/>
    <n v="1"/>
    <n v="15"/>
    <n v="3"/>
    <n v="3"/>
    <n v="7"/>
    <n v="4"/>
    <n v="7"/>
    <n v="7"/>
  </r>
  <r>
    <n v="54"/>
    <x v="1"/>
    <x v="0"/>
    <n v="431"/>
    <x v="1"/>
    <n v="7"/>
    <n v="4"/>
    <s v="Medical"/>
    <n v="1"/>
    <n v="1830"/>
    <n v="4"/>
    <x v="0"/>
    <n v="68"/>
    <x v="0"/>
    <n v="2"/>
    <x v="1"/>
    <n v="4"/>
    <x v="1"/>
    <n v="6854"/>
    <n v="15696"/>
    <n v="4"/>
    <s v="Y"/>
    <s v="No"/>
    <n v="15"/>
    <x v="0"/>
    <n v="2"/>
    <n v="80"/>
    <n v="1"/>
    <n v="14"/>
    <n v="2"/>
    <n v="2"/>
    <n v="7"/>
    <n v="1"/>
    <n v="1"/>
    <n v="7"/>
  </r>
  <r>
    <n v="31"/>
    <x v="1"/>
    <x v="1"/>
    <n v="1125"/>
    <x v="0"/>
    <n v="7"/>
    <n v="4"/>
    <s v="Marketing"/>
    <n v="1"/>
    <n v="1833"/>
    <n v="1"/>
    <x v="0"/>
    <n v="68"/>
    <x v="0"/>
    <n v="3"/>
    <x v="0"/>
    <n v="1"/>
    <x v="1"/>
    <n v="9637"/>
    <n v="8277"/>
    <n v="2"/>
    <s v="Y"/>
    <s v="No"/>
    <n v="14"/>
    <x v="0"/>
    <n v="4"/>
    <n v="80"/>
    <n v="2"/>
    <n v="9"/>
    <n v="3"/>
    <n v="3"/>
    <n v="3"/>
    <n v="2"/>
    <n v="2"/>
    <n v="2"/>
  </r>
  <r>
    <n v="28"/>
    <x v="1"/>
    <x v="0"/>
    <n v="1217"/>
    <x v="1"/>
    <n v="1"/>
    <n v="3"/>
    <s v="Medical"/>
    <n v="1"/>
    <n v="1834"/>
    <n v="3"/>
    <x v="0"/>
    <n v="67"/>
    <x v="0"/>
    <n v="1"/>
    <x v="1"/>
    <n v="1"/>
    <x v="1"/>
    <n v="3591"/>
    <n v="12719"/>
    <n v="1"/>
    <s v="Y"/>
    <s v="No"/>
    <n v="25"/>
    <x v="1"/>
    <n v="3"/>
    <n v="80"/>
    <n v="1"/>
    <n v="3"/>
    <n v="3"/>
    <n v="3"/>
    <n v="3"/>
    <n v="2"/>
    <n v="1"/>
    <n v="2"/>
  </r>
  <r>
    <n v="38"/>
    <x v="1"/>
    <x v="0"/>
    <n v="723"/>
    <x v="0"/>
    <n v="2"/>
    <n v="4"/>
    <s v="Marketing"/>
    <n v="1"/>
    <n v="1835"/>
    <n v="2"/>
    <x v="0"/>
    <n v="77"/>
    <x v="3"/>
    <n v="2"/>
    <x v="6"/>
    <n v="4"/>
    <x v="1"/>
    <n v="5405"/>
    <n v="4244"/>
    <n v="2"/>
    <s v="Y"/>
    <s v="Yes"/>
    <n v="20"/>
    <x v="1"/>
    <n v="1"/>
    <n v="80"/>
    <n v="2"/>
    <n v="20"/>
    <n v="4"/>
    <n v="2"/>
    <n v="4"/>
    <n v="2"/>
    <n v="0"/>
    <n v="3"/>
  </r>
  <r>
    <n v="26"/>
    <x v="1"/>
    <x v="0"/>
    <n v="572"/>
    <x v="0"/>
    <n v="10"/>
    <n v="3"/>
    <s v="Medical"/>
    <n v="1"/>
    <n v="1836"/>
    <n v="3"/>
    <x v="1"/>
    <n v="46"/>
    <x v="0"/>
    <n v="2"/>
    <x v="0"/>
    <n v="4"/>
    <x v="0"/>
    <n v="4684"/>
    <n v="9125"/>
    <n v="1"/>
    <s v="Y"/>
    <s v="No"/>
    <n v="13"/>
    <x v="0"/>
    <n v="1"/>
    <n v="80"/>
    <n v="0"/>
    <n v="5"/>
    <n v="4"/>
    <n v="3"/>
    <n v="5"/>
    <n v="3"/>
    <n v="1"/>
    <n v="2"/>
  </r>
  <r>
    <n v="58"/>
    <x v="1"/>
    <x v="1"/>
    <n v="1216"/>
    <x v="1"/>
    <n v="15"/>
    <n v="4"/>
    <s v="Life Sciences"/>
    <n v="1"/>
    <n v="1837"/>
    <n v="1"/>
    <x v="1"/>
    <n v="87"/>
    <x v="0"/>
    <n v="4"/>
    <x v="7"/>
    <n v="3"/>
    <x v="1"/>
    <n v="15787"/>
    <n v="21624"/>
    <n v="2"/>
    <s v="Y"/>
    <s v="Yes"/>
    <n v="14"/>
    <x v="0"/>
    <n v="2"/>
    <n v="80"/>
    <n v="0"/>
    <n v="23"/>
    <n v="3"/>
    <n v="3"/>
    <n v="2"/>
    <n v="2"/>
    <n v="2"/>
    <n v="2"/>
  </r>
  <r>
    <n v="18"/>
    <x v="1"/>
    <x v="2"/>
    <n v="1431"/>
    <x v="1"/>
    <n v="14"/>
    <n v="3"/>
    <s v="Medical"/>
    <n v="1"/>
    <n v="1839"/>
    <n v="2"/>
    <x v="0"/>
    <n v="33"/>
    <x v="0"/>
    <n v="1"/>
    <x v="1"/>
    <n v="3"/>
    <x v="0"/>
    <n v="1514"/>
    <n v="8018"/>
    <n v="1"/>
    <s v="Y"/>
    <s v="No"/>
    <n v="16"/>
    <x v="0"/>
    <n v="3"/>
    <n v="80"/>
    <n v="0"/>
    <n v="0"/>
    <n v="4"/>
    <n v="1"/>
    <n v="0"/>
    <n v="0"/>
    <n v="0"/>
    <n v="0"/>
  </r>
  <r>
    <n v="31"/>
    <x v="0"/>
    <x v="0"/>
    <n v="359"/>
    <x v="2"/>
    <n v="18"/>
    <n v="5"/>
    <s v="Human Resources"/>
    <n v="1"/>
    <n v="1842"/>
    <n v="4"/>
    <x v="1"/>
    <n v="89"/>
    <x v="2"/>
    <n v="1"/>
    <x v="8"/>
    <n v="1"/>
    <x v="1"/>
    <n v="2956"/>
    <n v="21495"/>
    <n v="0"/>
    <s v="Y"/>
    <s v="No"/>
    <n v="17"/>
    <x v="0"/>
    <n v="3"/>
    <n v="80"/>
    <n v="0"/>
    <n v="2"/>
    <n v="4"/>
    <n v="3"/>
    <n v="1"/>
    <n v="0"/>
    <n v="0"/>
    <n v="0"/>
  </r>
  <r>
    <n v="29"/>
    <x v="0"/>
    <x v="0"/>
    <n v="350"/>
    <x v="2"/>
    <n v="13"/>
    <n v="3"/>
    <s v="Human Resources"/>
    <n v="1"/>
    <n v="1844"/>
    <n v="1"/>
    <x v="1"/>
    <n v="56"/>
    <x v="1"/>
    <n v="1"/>
    <x v="8"/>
    <n v="1"/>
    <x v="2"/>
    <n v="2335"/>
    <n v="3157"/>
    <n v="4"/>
    <s v="Y"/>
    <s v="Yes"/>
    <n v="15"/>
    <x v="0"/>
    <n v="4"/>
    <n v="80"/>
    <n v="3"/>
    <n v="4"/>
    <n v="3"/>
    <n v="3"/>
    <n v="2"/>
    <n v="2"/>
    <n v="2"/>
    <n v="0"/>
  </r>
  <r>
    <n v="45"/>
    <x v="1"/>
    <x v="2"/>
    <n v="589"/>
    <x v="0"/>
    <n v="2"/>
    <n v="4"/>
    <s v="Life Sciences"/>
    <n v="1"/>
    <n v="1845"/>
    <n v="3"/>
    <x v="0"/>
    <n v="67"/>
    <x v="0"/>
    <n v="2"/>
    <x v="0"/>
    <n v="3"/>
    <x v="1"/>
    <n v="5154"/>
    <n v="19665"/>
    <n v="4"/>
    <s v="Y"/>
    <s v="No"/>
    <n v="22"/>
    <x v="1"/>
    <n v="2"/>
    <n v="80"/>
    <n v="2"/>
    <n v="10"/>
    <n v="3"/>
    <n v="4"/>
    <n v="8"/>
    <n v="7"/>
    <n v="5"/>
    <n v="7"/>
  </r>
  <r>
    <n v="36"/>
    <x v="1"/>
    <x v="0"/>
    <n v="430"/>
    <x v="1"/>
    <n v="2"/>
    <n v="4"/>
    <s v="Other"/>
    <n v="1"/>
    <n v="1847"/>
    <n v="4"/>
    <x v="0"/>
    <n v="73"/>
    <x v="0"/>
    <n v="2"/>
    <x v="1"/>
    <n v="2"/>
    <x v="1"/>
    <n v="6962"/>
    <n v="19573"/>
    <n v="4"/>
    <s v="Y"/>
    <s v="Yes"/>
    <n v="22"/>
    <x v="1"/>
    <n v="4"/>
    <n v="80"/>
    <n v="1"/>
    <n v="15"/>
    <n v="2"/>
    <n v="3"/>
    <n v="1"/>
    <n v="0"/>
    <n v="0"/>
    <n v="0"/>
  </r>
  <r>
    <n v="43"/>
    <x v="1"/>
    <x v="1"/>
    <n v="1422"/>
    <x v="0"/>
    <n v="2"/>
    <n v="4"/>
    <s v="Life Sciences"/>
    <n v="1"/>
    <n v="1849"/>
    <n v="1"/>
    <x v="1"/>
    <n v="92"/>
    <x v="0"/>
    <n v="2"/>
    <x v="0"/>
    <n v="4"/>
    <x v="1"/>
    <n v="5675"/>
    <n v="19246"/>
    <n v="1"/>
    <s v="Y"/>
    <s v="No"/>
    <n v="20"/>
    <x v="1"/>
    <n v="3"/>
    <n v="80"/>
    <n v="1"/>
    <n v="7"/>
    <n v="5"/>
    <n v="3"/>
    <n v="7"/>
    <n v="7"/>
    <n v="7"/>
    <n v="7"/>
  </r>
  <r>
    <n v="27"/>
    <x v="1"/>
    <x v="1"/>
    <n v="1297"/>
    <x v="1"/>
    <n v="5"/>
    <n v="2"/>
    <s v="Life Sciences"/>
    <n v="1"/>
    <n v="1850"/>
    <n v="4"/>
    <x v="0"/>
    <n v="53"/>
    <x v="0"/>
    <n v="1"/>
    <x v="2"/>
    <n v="4"/>
    <x v="0"/>
    <n v="2379"/>
    <n v="19826"/>
    <n v="0"/>
    <s v="Y"/>
    <s v="Yes"/>
    <n v="14"/>
    <x v="0"/>
    <n v="3"/>
    <n v="80"/>
    <n v="0"/>
    <n v="6"/>
    <n v="3"/>
    <n v="2"/>
    <n v="5"/>
    <n v="4"/>
    <n v="0"/>
    <n v="2"/>
  </r>
  <r>
    <n v="29"/>
    <x v="1"/>
    <x v="1"/>
    <n v="574"/>
    <x v="1"/>
    <n v="20"/>
    <n v="1"/>
    <s v="Medical"/>
    <n v="1"/>
    <n v="1852"/>
    <n v="4"/>
    <x v="1"/>
    <n v="40"/>
    <x v="0"/>
    <n v="1"/>
    <x v="2"/>
    <n v="4"/>
    <x v="1"/>
    <n v="3812"/>
    <n v="7003"/>
    <n v="1"/>
    <s v="Y"/>
    <s v="No"/>
    <n v="13"/>
    <x v="0"/>
    <n v="2"/>
    <n v="80"/>
    <n v="0"/>
    <n v="11"/>
    <n v="3"/>
    <n v="4"/>
    <n v="11"/>
    <n v="8"/>
    <n v="3"/>
    <n v="10"/>
  </r>
  <r>
    <n v="32"/>
    <x v="1"/>
    <x v="1"/>
    <n v="1318"/>
    <x v="0"/>
    <n v="10"/>
    <n v="4"/>
    <s v="Marketing"/>
    <n v="1"/>
    <n v="1853"/>
    <n v="4"/>
    <x v="1"/>
    <n v="79"/>
    <x v="0"/>
    <n v="2"/>
    <x v="0"/>
    <n v="4"/>
    <x v="0"/>
    <n v="4648"/>
    <n v="26075"/>
    <n v="8"/>
    <s v="Y"/>
    <s v="No"/>
    <n v="13"/>
    <x v="0"/>
    <n v="3"/>
    <n v="80"/>
    <n v="0"/>
    <n v="4"/>
    <n v="2"/>
    <n v="4"/>
    <n v="0"/>
    <n v="0"/>
    <n v="0"/>
    <n v="0"/>
  </r>
  <r>
    <n v="42"/>
    <x v="1"/>
    <x v="2"/>
    <n v="355"/>
    <x v="1"/>
    <n v="10"/>
    <n v="4"/>
    <s v="Technical Degree"/>
    <n v="1"/>
    <n v="1854"/>
    <n v="3"/>
    <x v="1"/>
    <n v="38"/>
    <x v="0"/>
    <n v="1"/>
    <x v="1"/>
    <n v="3"/>
    <x v="1"/>
    <n v="2936"/>
    <n v="6161"/>
    <n v="3"/>
    <s v="Y"/>
    <s v="No"/>
    <n v="22"/>
    <x v="1"/>
    <n v="2"/>
    <n v="80"/>
    <n v="2"/>
    <n v="10"/>
    <n v="1"/>
    <n v="2"/>
    <n v="6"/>
    <n v="3"/>
    <n v="3"/>
    <n v="3"/>
  </r>
  <r>
    <n v="47"/>
    <x v="1"/>
    <x v="0"/>
    <n v="207"/>
    <x v="1"/>
    <n v="9"/>
    <n v="4"/>
    <s v="Life Sciences"/>
    <n v="1"/>
    <n v="1856"/>
    <n v="2"/>
    <x v="0"/>
    <n v="64"/>
    <x v="0"/>
    <n v="1"/>
    <x v="2"/>
    <n v="3"/>
    <x v="0"/>
    <n v="2105"/>
    <n v="5411"/>
    <n v="4"/>
    <s v="Y"/>
    <s v="No"/>
    <n v="12"/>
    <x v="0"/>
    <n v="3"/>
    <n v="80"/>
    <n v="0"/>
    <n v="7"/>
    <n v="2"/>
    <n v="3"/>
    <n v="2"/>
    <n v="2"/>
    <n v="2"/>
    <n v="0"/>
  </r>
  <r>
    <n v="46"/>
    <x v="1"/>
    <x v="0"/>
    <n v="706"/>
    <x v="1"/>
    <n v="2"/>
    <n v="2"/>
    <s v="Life Sciences"/>
    <n v="1"/>
    <n v="1857"/>
    <n v="4"/>
    <x v="1"/>
    <n v="82"/>
    <x v="0"/>
    <n v="3"/>
    <x v="3"/>
    <n v="4"/>
    <x v="2"/>
    <n v="8578"/>
    <n v="19989"/>
    <n v="3"/>
    <s v="Y"/>
    <s v="No"/>
    <n v="14"/>
    <x v="0"/>
    <n v="3"/>
    <n v="80"/>
    <n v="1"/>
    <n v="12"/>
    <n v="4"/>
    <n v="2"/>
    <n v="9"/>
    <n v="8"/>
    <n v="4"/>
    <n v="7"/>
  </r>
  <r>
    <n v="28"/>
    <x v="1"/>
    <x v="2"/>
    <n v="280"/>
    <x v="2"/>
    <n v="1"/>
    <n v="2"/>
    <s v="Life Sciences"/>
    <n v="1"/>
    <n v="1858"/>
    <n v="3"/>
    <x v="1"/>
    <n v="43"/>
    <x v="0"/>
    <n v="1"/>
    <x v="8"/>
    <n v="4"/>
    <x v="2"/>
    <n v="2706"/>
    <n v="10494"/>
    <n v="1"/>
    <s v="Y"/>
    <s v="No"/>
    <n v="15"/>
    <x v="0"/>
    <n v="2"/>
    <n v="80"/>
    <n v="1"/>
    <n v="3"/>
    <n v="2"/>
    <n v="3"/>
    <n v="3"/>
    <n v="2"/>
    <n v="2"/>
    <n v="2"/>
  </r>
  <r>
    <n v="29"/>
    <x v="1"/>
    <x v="0"/>
    <n v="726"/>
    <x v="1"/>
    <n v="29"/>
    <n v="1"/>
    <s v="Life Sciences"/>
    <n v="1"/>
    <n v="1859"/>
    <n v="4"/>
    <x v="1"/>
    <n v="93"/>
    <x v="3"/>
    <n v="2"/>
    <x v="4"/>
    <n v="3"/>
    <x v="2"/>
    <n v="6384"/>
    <n v="21143"/>
    <n v="8"/>
    <s v="Y"/>
    <s v="No"/>
    <n v="17"/>
    <x v="0"/>
    <n v="4"/>
    <n v="80"/>
    <n v="2"/>
    <n v="11"/>
    <n v="3"/>
    <n v="3"/>
    <n v="7"/>
    <n v="0"/>
    <n v="1"/>
    <n v="6"/>
  </r>
  <r>
    <n v="42"/>
    <x v="1"/>
    <x v="0"/>
    <n v="1142"/>
    <x v="1"/>
    <n v="8"/>
    <n v="3"/>
    <s v="Life Sciences"/>
    <n v="1"/>
    <n v="1860"/>
    <n v="4"/>
    <x v="1"/>
    <n v="81"/>
    <x v="0"/>
    <n v="1"/>
    <x v="2"/>
    <n v="3"/>
    <x v="0"/>
    <n v="3968"/>
    <n v="13624"/>
    <n v="4"/>
    <s v="Y"/>
    <s v="No"/>
    <n v="13"/>
    <x v="0"/>
    <n v="4"/>
    <n v="80"/>
    <n v="0"/>
    <n v="8"/>
    <n v="3"/>
    <n v="3"/>
    <n v="0"/>
    <n v="0"/>
    <n v="0"/>
    <n v="0"/>
  </r>
  <r>
    <n v="32"/>
    <x v="0"/>
    <x v="0"/>
    <n v="414"/>
    <x v="0"/>
    <n v="2"/>
    <n v="4"/>
    <s v="Marketing"/>
    <n v="1"/>
    <n v="1862"/>
    <n v="3"/>
    <x v="1"/>
    <n v="82"/>
    <x v="1"/>
    <n v="2"/>
    <x v="0"/>
    <n v="2"/>
    <x v="0"/>
    <n v="9907"/>
    <n v="26186"/>
    <n v="7"/>
    <s v="Y"/>
    <s v="Yes"/>
    <n v="12"/>
    <x v="0"/>
    <n v="3"/>
    <n v="80"/>
    <n v="0"/>
    <n v="7"/>
    <n v="3"/>
    <n v="2"/>
    <n v="2"/>
    <n v="2"/>
    <n v="2"/>
    <n v="2"/>
  </r>
  <r>
    <n v="46"/>
    <x v="1"/>
    <x v="0"/>
    <n v="1319"/>
    <x v="0"/>
    <n v="3"/>
    <n v="3"/>
    <s v="Technical Degree"/>
    <n v="1"/>
    <n v="1863"/>
    <n v="1"/>
    <x v="0"/>
    <n v="45"/>
    <x v="2"/>
    <n v="4"/>
    <x v="0"/>
    <n v="1"/>
    <x v="2"/>
    <n v="13225"/>
    <n v="7739"/>
    <n v="2"/>
    <s v="Y"/>
    <s v="No"/>
    <n v="12"/>
    <x v="0"/>
    <n v="4"/>
    <n v="80"/>
    <n v="1"/>
    <n v="25"/>
    <n v="5"/>
    <n v="3"/>
    <n v="19"/>
    <n v="17"/>
    <n v="2"/>
    <n v="8"/>
  </r>
  <r>
    <n v="27"/>
    <x v="1"/>
    <x v="0"/>
    <n v="728"/>
    <x v="0"/>
    <n v="23"/>
    <n v="1"/>
    <s v="Medical"/>
    <n v="1"/>
    <n v="1864"/>
    <n v="2"/>
    <x v="0"/>
    <n v="36"/>
    <x v="1"/>
    <n v="2"/>
    <x v="6"/>
    <n v="3"/>
    <x v="1"/>
    <n v="3540"/>
    <n v="7018"/>
    <n v="1"/>
    <s v="Y"/>
    <s v="No"/>
    <n v="21"/>
    <x v="1"/>
    <n v="4"/>
    <n v="80"/>
    <n v="1"/>
    <n v="9"/>
    <n v="5"/>
    <n v="3"/>
    <n v="9"/>
    <n v="8"/>
    <n v="5"/>
    <n v="8"/>
  </r>
  <r>
    <n v="29"/>
    <x v="1"/>
    <x v="0"/>
    <n v="352"/>
    <x v="2"/>
    <n v="6"/>
    <n v="1"/>
    <s v="Medical"/>
    <n v="1"/>
    <n v="1865"/>
    <n v="4"/>
    <x v="1"/>
    <n v="87"/>
    <x v="1"/>
    <n v="1"/>
    <x v="8"/>
    <n v="2"/>
    <x v="1"/>
    <n v="2804"/>
    <n v="15434"/>
    <n v="1"/>
    <s v="Y"/>
    <s v="No"/>
    <n v="11"/>
    <x v="0"/>
    <n v="4"/>
    <n v="80"/>
    <n v="0"/>
    <n v="1"/>
    <n v="3"/>
    <n v="3"/>
    <n v="1"/>
    <n v="0"/>
    <n v="0"/>
    <n v="0"/>
  </r>
  <r>
    <n v="43"/>
    <x v="1"/>
    <x v="0"/>
    <n v="823"/>
    <x v="1"/>
    <n v="6"/>
    <n v="3"/>
    <s v="Medical"/>
    <n v="1"/>
    <n v="1866"/>
    <n v="1"/>
    <x v="0"/>
    <n v="81"/>
    <x v="1"/>
    <n v="5"/>
    <x v="5"/>
    <n v="3"/>
    <x v="1"/>
    <n v="19392"/>
    <n v="22539"/>
    <n v="7"/>
    <s v="Y"/>
    <s v="No"/>
    <n v="13"/>
    <x v="0"/>
    <n v="4"/>
    <n v="80"/>
    <n v="0"/>
    <n v="21"/>
    <n v="2"/>
    <n v="3"/>
    <n v="16"/>
    <n v="12"/>
    <n v="6"/>
    <n v="14"/>
  </r>
  <r>
    <n v="48"/>
    <x v="1"/>
    <x v="0"/>
    <n v="1224"/>
    <x v="1"/>
    <n v="10"/>
    <n v="3"/>
    <s v="Life Sciences"/>
    <n v="1"/>
    <n v="1867"/>
    <n v="4"/>
    <x v="1"/>
    <n v="91"/>
    <x v="1"/>
    <n v="5"/>
    <x v="7"/>
    <n v="2"/>
    <x v="1"/>
    <n v="19665"/>
    <n v="13583"/>
    <n v="4"/>
    <s v="Y"/>
    <s v="No"/>
    <n v="12"/>
    <x v="0"/>
    <n v="4"/>
    <n v="80"/>
    <n v="0"/>
    <n v="29"/>
    <n v="3"/>
    <n v="3"/>
    <n v="22"/>
    <n v="10"/>
    <n v="12"/>
    <n v="9"/>
  </r>
  <r>
    <n v="29"/>
    <x v="0"/>
    <x v="1"/>
    <n v="459"/>
    <x v="1"/>
    <n v="24"/>
    <n v="2"/>
    <s v="Life Sciences"/>
    <n v="1"/>
    <n v="1868"/>
    <n v="4"/>
    <x v="1"/>
    <n v="73"/>
    <x v="1"/>
    <n v="1"/>
    <x v="1"/>
    <n v="4"/>
    <x v="0"/>
    <n v="2439"/>
    <n v="14753"/>
    <n v="1"/>
    <s v="Y"/>
    <s v="Yes"/>
    <n v="24"/>
    <x v="1"/>
    <n v="2"/>
    <n v="80"/>
    <n v="0"/>
    <n v="1"/>
    <n v="3"/>
    <n v="2"/>
    <n v="1"/>
    <n v="0"/>
    <n v="1"/>
    <n v="0"/>
  </r>
  <r>
    <n v="46"/>
    <x v="0"/>
    <x v="0"/>
    <n v="1254"/>
    <x v="0"/>
    <n v="10"/>
    <n v="3"/>
    <s v="Life Sciences"/>
    <n v="1"/>
    <n v="1869"/>
    <n v="3"/>
    <x v="0"/>
    <n v="64"/>
    <x v="0"/>
    <n v="3"/>
    <x v="0"/>
    <n v="2"/>
    <x v="1"/>
    <n v="7314"/>
    <n v="14011"/>
    <n v="5"/>
    <s v="Y"/>
    <s v="No"/>
    <n v="21"/>
    <x v="1"/>
    <n v="3"/>
    <n v="80"/>
    <n v="3"/>
    <n v="14"/>
    <n v="2"/>
    <n v="3"/>
    <n v="8"/>
    <n v="7"/>
    <n v="0"/>
    <n v="7"/>
  </r>
  <r>
    <n v="27"/>
    <x v="1"/>
    <x v="1"/>
    <n v="1131"/>
    <x v="1"/>
    <n v="15"/>
    <n v="3"/>
    <s v="Life Sciences"/>
    <n v="1"/>
    <n v="1870"/>
    <n v="4"/>
    <x v="0"/>
    <n v="77"/>
    <x v="1"/>
    <n v="1"/>
    <x v="1"/>
    <n v="1"/>
    <x v="1"/>
    <n v="4774"/>
    <n v="23844"/>
    <n v="0"/>
    <s v="Y"/>
    <s v="No"/>
    <n v="19"/>
    <x v="0"/>
    <n v="4"/>
    <n v="80"/>
    <n v="1"/>
    <n v="8"/>
    <n v="2"/>
    <n v="2"/>
    <n v="7"/>
    <n v="6"/>
    <n v="7"/>
    <n v="3"/>
  </r>
  <r>
    <n v="39"/>
    <x v="1"/>
    <x v="0"/>
    <n v="835"/>
    <x v="1"/>
    <n v="19"/>
    <n v="4"/>
    <s v="Other"/>
    <n v="1"/>
    <n v="1871"/>
    <n v="4"/>
    <x v="1"/>
    <n v="41"/>
    <x v="0"/>
    <n v="2"/>
    <x v="1"/>
    <n v="4"/>
    <x v="2"/>
    <n v="3902"/>
    <n v="5141"/>
    <n v="8"/>
    <s v="Y"/>
    <s v="No"/>
    <n v="14"/>
    <x v="0"/>
    <n v="2"/>
    <n v="80"/>
    <n v="3"/>
    <n v="7"/>
    <n v="2"/>
    <n v="3"/>
    <n v="2"/>
    <n v="2"/>
    <n v="2"/>
    <n v="2"/>
  </r>
  <r>
    <n v="55"/>
    <x v="1"/>
    <x v="0"/>
    <n v="836"/>
    <x v="1"/>
    <n v="2"/>
    <n v="4"/>
    <s v="Technical Degree"/>
    <n v="1"/>
    <n v="1873"/>
    <n v="2"/>
    <x v="1"/>
    <n v="98"/>
    <x v="1"/>
    <n v="1"/>
    <x v="1"/>
    <n v="4"/>
    <x v="1"/>
    <n v="2662"/>
    <n v="7975"/>
    <n v="8"/>
    <s v="Y"/>
    <s v="No"/>
    <n v="20"/>
    <x v="1"/>
    <n v="2"/>
    <n v="80"/>
    <n v="1"/>
    <n v="19"/>
    <n v="2"/>
    <n v="4"/>
    <n v="5"/>
    <n v="2"/>
    <n v="0"/>
    <n v="4"/>
  </r>
  <r>
    <n v="28"/>
    <x v="1"/>
    <x v="0"/>
    <n v="1172"/>
    <x v="0"/>
    <n v="3"/>
    <n v="3"/>
    <s v="Medical"/>
    <n v="1"/>
    <n v="1875"/>
    <n v="2"/>
    <x v="0"/>
    <n v="78"/>
    <x v="0"/>
    <n v="1"/>
    <x v="6"/>
    <n v="2"/>
    <x v="1"/>
    <n v="2856"/>
    <n v="3692"/>
    <n v="1"/>
    <s v="Y"/>
    <s v="No"/>
    <n v="19"/>
    <x v="0"/>
    <n v="4"/>
    <n v="80"/>
    <n v="1"/>
    <n v="1"/>
    <n v="3"/>
    <n v="3"/>
    <n v="1"/>
    <n v="0"/>
    <n v="0"/>
    <n v="0"/>
  </r>
  <r>
    <n v="30"/>
    <x v="0"/>
    <x v="0"/>
    <n v="945"/>
    <x v="0"/>
    <n v="9"/>
    <n v="3"/>
    <s v="Medical"/>
    <n v="1"/>
    <n v="1876"/>
    <n v="2"/>
    <x v="1"/>
    <n v="89"/>
    <x v="0"/>
    <n v="1"/>
    <x v="6"/>
    <n v="4"/>
    <x v="0"/>
    <n v="1081"/>
    <n v="16019"/>
    <n v="1"/>
    <s v="Y"/>
    <s v="No"/>
    <n v="13"/>
    <x v="0"/>
    <n v="3"/>
    <n v="80"/>
    <n v="0"/>
    <n v="1"/>
    <n v="3"/>
    <n v="2"/>
    <n v="1"/>
    <n v="0"/>
    <n v="0"/>
    <n v="0"/>
  </r>
  <r>
    <n v="22"/>
    <x v="0"/>
    <x v="0"/>
    <n v="391"/>
    <x v="1"/>
    <n v="7"/>
    <n v="1"/>
    <s v="Life Sciences"/>
    <n v="1"/>
    <n v="1878"/>
    <n v="4"/>
    <x v="1"/>
    <n v="75"/>
    <x v="0"/>
    <n v="1"/>
    <x v="1"/>
    <n v="2"/>
    <x v="0"/>
    <n v="2472"/>
    <n v="26092"/>
    <n v="1"/>
    <s v="Y"/>
    <s v="Yes"/>
    <n v="23"/>
    <x v="1"/>
    <n v="1"/>
    <n v="80"/>
    <n v="0"/>
    <n v="1"/>
    <n v="2"/>
    <n v="3"/>
    <n v="1"/>
    <n v="0"/>
    <n v="0"/>
    <n v="0"/>
  </r>
  <r>
    <n v="36"/>
    <x v="1"/>
    <x v="0"/>
    <n v="1266"/>
    <x v="0"/>
    <n v="10"/>
    <n v="4"/>
    <s v="Technical Degree"/>
    <n v="1"/>
    <n v="1880"/>
    <n v="2"/>
    <x v="0"/>
    <n v="63"/>
    <x v="1"/>
    <n v="2"/>
    <x v="0"/>
    <n v="3"/>
    <x v="1"/>
    <n v="5673"/>
    <n v="6060"/>
    <n v="1"/>
    <s v="Y"/>
    <s v="Yes"/>
    <n v="13"/>
    <x v="0"/>
    <n v="1"/>
    <n v="80"/>
    <n v="1"/>
    <n v="10"/>
    <n v="4"/>
    <n v="3"/>
    <n v="10"/>
    <n v="9"/>
    <n v="1"/>
    <n v="7"/>
  </r>
  <r>
    <n v="31"/>
    <x v="1"/>
    <x v="0"/>
    <n v="311"/>
    <x v="1"/>
    <n v="20"/>
    <n v="3"/>
    <s v="Life Sciences"/>
    <n v="1"/>
    <n v="1881"/>
    <n v="2"/>
    <x v="1"/>
    <n v="89"/>
    <x v="0"/>
    <n v="2"/>
    <x v="2"/>
    <n v="3"/>
    <x v="2"/>
    <n v="4197"/>
    <n v="18624"/>
    <n v="1"/>
    <s v="Y"/>
    <s v="No"/>
    <n v="11"/>
    <x v="0"/>
    <n v="1"/>
    <n v="80"/>
    <n v="1"/>
    <n v="10"/>
    <n v="2"/>
    <n v="3"/>
    <n v="10"/>
    <n v="8"/>
    <n v="0"/>
    <n v="2"/>
  </r>
  <r>
    <n v="34"/>
    <x v="1"/>
    <x v="0"/>
    <n v="1480"/>
    <x v="0"/>
    <n v="4"/>
    <n v="3"/>
    <s v="Life Sciences"/>
    <n v="1"/>
    <n v="1882"/>
    <n v="3"/>
    <x v="1"/>
    <n v="64"/>
    <x v="0"/>
    <n v="3"/>
    <x v="0"/>
    <n v="4"/>
    <x v="1"/>
    <n v="9713"/>
    <n v="24444"/>
    <n v="2"/>
    <s v="Y"/>
    <s v="Yes"/>
    <n v="13"/>
    <x v="0"/>
    <n v="4"/>
    <n v="80"/>
    <n v="3"/>
    <n v="9"/>
    <n v="3"/>
    <n v="3"/>
    <n v="5"/>
    <n v="3"/>
    <n v="1"/>
    <n v="0"/>
  </r>
  <r>
    <n v="29"/>
    <x v="1"/>
    <x v="0"/>
    <n v="592"/>
    <x v="1"/>
    <n v="7"/>
    <n v="3"/>
    <s v="Life Sciences"/>
    <n v="1"/>
    <n v="1883"/>
    <n v="4"/>
    <x v="1"/>
    <n v="59"/>
    <x v="0"/>
    <n v="1"/>
    <x v="2"/>
    <n v="1"/>
    <x v="0"/>
    <n v="2062"/>
    <n v="19384"/>
    <n v="3"/>
    <s v="Y"/>
    <s v="No"/>
    <n v="14"/>
    <x v="0"/>
    <n v="2"/>
    <n v="80"/>
    <n v="0"/>
    <n v="11"/>
    <n v="2"/>
    <n v="3"/>
    <n v="3"/>
    <n v="2"/>
    <n v="1"/>
    <n v="2"/>
  </r>
  <r>
    <n v="37"/>
    <x v="1"/>
    <x v="0"/>
    <n v="783"/>
    <x v="1"/>
    <n v="7"/>
    <n v="4"/>
    <s v="Medical"/>
    <n v="1"/>
    <n v="1885"/>
    <n v="4"/>
    <x v="1"/>
    <n v="78"/>
    <x v="0"/>
    <n v="2"/>
    <x v="1"/>
    <n v="1"/>
    <x v="1"/>
    <n v="4284"/>
    <n v="13588"/>
    <n v="5"/>
    <s v="Y"/>
    <s v="Yes"/>
    <n v="22"/>
    <x v="1"/>
    <n v="3"/>
    <n v="80"/>
    <n v="1"/>
    <n v="16"/>
    <n v="2"/>
    <n v="3"/>
    <n v="5"/>
    <n v="3"/>
    <n v="0"/>
    <n v="4"/>
  </r>
  <r>
    <n v="35"/>
    <x v="1"/>
    <x v="0"/>
    <n v="219"/>
    <x v="1"/>
    <n v="16"/>
    <n v="2"/>
    <s v="Other"/>
    <n v="1"/>
    <n v="1886"/>
    <n v="4"/>
    <x v="0"/>
    <n v="44"/>
    <x v="1"/>
    <n v="2"/>
    <x v="3"/>
    <n v="2"/>
    <x v="1"/>
    <n v="4788"/>
    <n v="25388"/>
    <n v="0"/>
    <s v="Y"/>
    <s v="Yes"/>
    <n v="11"/>
    <x v="0"/>
    <n v="4"/>
    <n v="80"/>
    <n v="0"/>
    <n v="4"/>
    <n v="2"/>
    <n v="3"/>
    <n v="3"/>
    <n v="2"/>
    <n v="0"/>
    <n v="2"/>
  </r>
  <r>
    <n v="45"/>
    <x v="1"/>
    <x v="0"/>
    <n v="556"/>
    <x v="1"/>
    <n v="25"/>
    <n v="2"/>
    <s v="Life Sciences"/>
    <n v="1"/>
    <n v="1888"/>
    <n v="2"/>
    <x v="0"/>
    <n v="93"/>
    <x v="1"/>
    <n v="2"/>
    <x v="3"/>
    <n v="4"/>
    <x v="1"/>
    <n v="5906"/>
    <n v="23888"/>
    <n v="0"/>
    <s v="Y"/>
    <s v="No"/>
    <n v="13"/>
    <x v="0"/>
    <n v="4"/>
    <n v="80"/>
    <n v="2"/>
    <n v="10"/>
    <n v="2"/>
    <n v="2"/>
    <n v="9"/>
    <n v="8"/>
    <n v="3"/>
    <n v="8"/>
  </r>
  <r>
    <n v="36"/>
    <x v="1"/>
    <x v="1"/>
    <n v="1213"/>
    <x v="2"/>
    <n v="2"/>
    <n v="1"/>
    <s v="Human Resources"/>
    <n v="1"/>
    <n v="1890"/>
    <n v="2"/>
    <x v="1"/>
    <n v="94"/>
    <x v="1"/>
    <n v="2"/>
    <x v="8"/>
    <n v="4"/>
    <x v="0"/>
    <n v="3886"/>
    <n v="4223"/>
    <n v="1"/>
    <s v="Y"/>
    <s v="No"/>
    <n v="21"/>
    <x v="1"/>
    <n v="4"/>
    <n v="80"/>
    <n v="0"/>
    <n v="10"/>
    <n v="2"/>
    <n v="2"/>
    <n v="10"/>
    <n v="1"/>
    <n v="0"/>
    <n v="8"/>
  </r>
  <r>
    <n v="40"/>
    <x v="1"/>
    <x v="0"/>
    <n v="1137"/>
    <x v="1"/>
    <n v="1"/>
    <n v="4"/>
    <s v="Life Sciences"/>
    <n v="1"/>
    <n v="1892"/>
    <n v="1"/>
    <x v="1"/>
    <n v="98"/>
    <x v="0"/>
    <n v="4"/>
    <x v="5"/>
    <n v="1"/>
    <x v="2"/>
    <n v="16823"/>
    <n v="18991"/>
    <n v="2"/>
    <s v="Y"/>
    <s v="No"/>
    <n v="11"/>
    <x v="0"/>
    <n v="1"/>
    <n v="80"/>
    <n v="1"/>
    <n v="22"/>
    <n v="3"/>
    <n v="3"/>
    <n v="19"/>
    <n v="7"/>
    <n v="11"/>
    <n v="16"/>
  </r>
  <r>
    <n v="26"/>
    <x v="1"/>
    <x v="0"/>
    <n v="482"/>
    <x v="1"/>
    <n v="1"/>
    <n v="2"/>
    <s v="Life Sciences"/>
    <n v="1"/>
    <n v="1893"/>
    <n v="2"/>
    <x v="0"/>
    <n v="90"/>
    <x v="1"/>
    <n v="1"/>
    <x v="1"/>
    <n v="3"/>
    <x v="1"/>
    <n v="2933"/>
    <n v="14908"/>
    <n v="1"/>
    <s v="Y"/>
    <s v="Yes"/>
    <n v="13"/>
    <x v="0"/>
    <n v="3"/>
    <n v="80"/>
    <n v="1"/>
    <n v="1"/>
    <n v="3"/>
    <n v="2"/>
    <n v="1"/>
    <n v="0"/>
    <n v="1"/>
    <n v="0"/>
  </r>
  <r>
    <n v="27"/>
    <x v="1"/>
    <x v="0"/>
    <n v="511"/>
    <x v="0"/>
    <n v="2"/>
    <n v="2"/>
    <s v="Medical"/>
    <n v="1"/>
    <n v="1898"/>
    <n v="1"/>
    <x v="0"/>
    <n v="89"/>
    <x v="2"/>
    <n v="2"/>
    <x v="0"/>
    <n v="3"/>
    <x v="0"/>
    <n v="6500"/>
    <n v="26997"/>
    <n v="0"/>
    <s v="Y"/>
    <s v="No"/>
    <n v="14"/>
    <x v="0"/>
    <n v="2"/>
    <n v="80"/>
    <n v="0"/>
    <n v="9"/>
    <n v="5"/>
    <n v="2"/>
    <n v="8"/>
    <n v="7"/>
    <n v="0"/>
    <n v="7"/>
  </r>
  <r>
    <n v="48"/>
    <x v="1"/>
    <x v="1"/>
    <n v="117"/>
    <x v="1"/>
    <n v="22"/>
    <n v="3"/>
    <s v="Medical"/>
    <n v="1"/>
    <n v="1900"/>
    <n v="4"/>
    <x v="0"/>
    <n v="58"/>
    <x v="0"/>
    <n v="4"/>
    <x v="5"/>
    <n v="4"/>
    <x v="2"/>
    <n v="17174"/>
    <n v="2437"/>
    <n v="3"/>
    <s v="Y"/>
    <s v="No"/>
    <n v="11"/>
    <x v="0"/>
    <n v="2"/>
    <n v="80"/>
    <n v="1"/>
    <n v="24"/>
    <n v="3"/>
    <n v="3"/>
    <n v="22"/>
    <n v="17"/>
    <n v="4"/>
    <n v="7"/>
  </r>
  <r>
    <n v="44"/>
    <x v="1"/>
    <x v="0"/>
    <n v="170"/>
    <x v="1"/>
    <n v="1"/>
    <n v="4"/>
    <s v="Life Sciences"/>
    <n v="1"/>
    <n v="1903"/>
    <n v="2"/>
    <x v="1"/>
    <n v="78"/>
    <x v="2"/>
    <n v="2"/>
    <x v="4"/>
    <n v="1"/>
    <x v="1"/>
    <n v="5033"/>
    <n v="9364"/>
    <n v="2"/>
    <s v="Y"/>
    <s v="No"/>
    <n v="15"/>
    <x v="0"/>
    <n v="4"/>
    <n v="80"/>
    <n v="1"/>
    <n v="10"/>
    <n v="5"/>
    <n v="3"/>
    <n v="2"/>
    <n v="0"/>
    <n v="2"/>
    <n v="2"/>
  </r>
  <r>
    <n v="34"/>
    <x v="0"/>
    <x v="2"/>
    <n v="967"/>
    <x v="1"/>
    <n v="16"/>
    <n v="4"/>
    <s v="Technical Degree"/>
    <n v="1"/>
    <n v="1905"/>
    <n v="4"/>
    <x v="1"/>
    <n v="85"/>
    <x v="3"/>
    <n v="1"/>
    <x v="1"/>
    <n v="1"/>
    <x v="1"/>
    <n v="2307"/>
    <n v="14460"/>
    <n v="1"/>
    <s v="Y"/>
    <s v="Yes"/>
    <n v="23"/>
    <x v="1"/>
    <n v="2"/>
    <n v="80"/>
    <n v="1"/>
    <n v="5"/>
    <n v="2"/>
    <n v="3"/>
    <n v="5"/>
    <n v="2"/>
    <n v="3"/>
    <n v="0"/>
  </r>
  <r>
    <n v="56"/>
    <x v="0"/>
    <x v="0"/>
    <n v="1162"/>
    <x v="1"/>
    <n v="24"/>
    <n v="2"/>
    <s v="Life Sciences"/>
    <n v="1"/>
    <n v="1907"/>
    <n v="1"/>
    <x v="1"/>
    <n v="97"/>
    <x v="0"/>
    <n v="1"/>
    <x v="2"/>
    <n v="4"/>
    <x v="0"/>
    <n v="2587"/>
    <n v="10261"/>
    <n v="1"/>
    <s v="Y"/>
    <s v="No"/>
    <n v="16"/>
    <x v="0"/>
    <n v="4"/>
    <n v="80"/>
    <n v="0"/>
    <n v="5"/>
    <n v="3"/>
    <n v="3"/>
    <n v="4"/>
    <n v="2"/>
    <n v="1"/>
    <n v="0"/>
  </r>
  <r>
    <n v="36"/>
    <x v="1"/>
    <x v="0"/>
    <n v="335"/>
    <x v="0"/>
    <n v="17"/>
    <n v="2"/>
    <s v="Marketing"/>
    <n v="1"/>
    <n v="1908"/>
    <n v="3"/>
    <x v="1"/>
    <n v="33"/>
    <x v="1"/>
    <n v="2"/>
    <x v="0"/>
    <n v="2"/>
    <x v="1"/>
    <n v="5507"/>
    <n v="16822"/>
    <n v="2"/>
    <s v="Y"/>
    <s v="No"/>
    <n v="16"/>
    <x v="0"/>
    <n v="3"/>
    <n v="80"/>
    <n v="2"/>
    <n v="12"/>
    <n v="1"/>
    <n v="1"/>
    <n v="4"/>
    <n v="2"/>
    <n v="1"/>
    <n v="3"/>
  </r>
  <r>
    <n v="41"/>
    <x v="1"/>
    <x v="0"/>
    <n v="337"/>
    <x v="0"/>
    <n v="8"/>
    <n v="3"/>
    <s v="Marketing"/>
    <n v="1"/>
    <n v="1909"/>
    <n v="3"/>
    <x v="0"/>
    <n v="54"/>
    <x v="0"/>
    <n v="2"/>
    <x v="0"/>
    <n v="2"/>
    <x v="1"/>
    <n v="4393"/>
    <n v="26841"/>
    <n v="5"/>
    <s v="Y"/>
    <s v="No"/>
    <n v="21"/>
    <x v="1"/>
    <n v="3"/>
    <n v="80"/>
    <n v="1"/>
    <n v="14"/>
    <n v="3"/>
    <n v="3"/>
    <n v="5"/>
    <n v="4"/>
    <n v="1"/>
    <n v="4"/>
  </r>
  <r>
    <n v="42"/>
    <x v="1"/>
    <x v="0"/>
    <n v="1396"/>
    <x v="1"/>
    <n v="6"/>
    <n v="3"/>
    <s v="Medical"/>
    <n v="1"/>
    <n v="1911"/>
    <n v="3"/>
    <x v="1"/>
    <n v="83"/>
    <x v="0"/>
    <n v="3"/>
    <x v="7"/>
    <n v="1"/>
    <x v="1"/>
    <n v="13348"/>
    <n v="14842"/>
    <n v="9"/>
    <s v="Y"/>
    <s v="No"/>
    <n v="13"/>
    <x v="0"/>
    <n v="2"/>
    <n v="80"/>
    <n v="1"/>
    <n v="18"/>
    <n v="3"/>
    <n v="4"/>
    <n v="13"/>
    <n v="7"/>
    <n v="5"/>
    <n v="7"/>
  </r>
  <r>
    <n v="31"/>
    <x v="1"/>
    <x v="0"/>
    <n v="1079"/>
    <x v="0"/>
    <n v="10"/>
    <n v="2"/>
    <s v="Medical"/>
    <n v="1"/>
    <n v="1912"/>
    <n v="3"/>
    <x v="0"/>
    <n v="86"/>
    <x v="0"/>
    <n v="2"/>
    <x v="0"/>
    <n v="4"/>
    <x v="2"/>
    <n v="6583"/>
    <n v="20115"/>
    <n v="2"/>
    <s v="Y"/>
    <s v="Yes"/>
    <n v="11"/>
    <x v="0"/>
    <n v="4"/>
    <n v="80"/>
    <n v="1"/>
    <n v="8"/>
    <n v="2"/>
    <n v="3"/>
    <n v="5"/>
    <n v="2"/>
    <n v="1"/>
    <n v="4"/>
  </r>
  <r>
    <n v="34"/>
    <x v="1"/>
    <x v="0"/>
    <n v="735"/>
    <x v="0"/>
    <n v="3"/>
    <n v="1"/>
    <s v="Medical"/>
    <n v="1"/>
    <n v="1915"/>
    <n v="4"/>
    <x v="0"/>
    <n v="75"/>
    <x v="1"/>
    <n v="2"/>
    <x v="0"/>
    <n v="4"/>
    <x v="1"/>
    <n v="8103"/>
    <n v="16495"/>
    <n v="3"/>
    <s v="Y"/>
    <s v="Yes"/>
    <n v="12"/>
    <x v="0"/>
    <n v="3"/>
    <n v="80"/>
    <n v="0"/>
    <n v="9"/>
    <n v="3"/>
    <n v="2"/>
    <n v="4"/>
    <n v="2"/>
    <n v="0"/>
    <n v="1"/>
  </r>
  <r>
    <n v="31"/>
    <x v="1"/>
    <x v="0"/>
    <n v="471"/>
    <x v="1"/>
    <n v="4"/>
    <n v="3"/>
    <s v="Medical"/>
    <n v="1"/>
    <n v="1916"/>
    <n v="1"/>
    <x v="0"/>
    <n v="62"/>
    <x v="2"/>
    <n v="1"/>
    <x v="2"/>
    <n v="3"/>
    <x v="2"/>
    <n v="3978"/>
    <n v="16031"/>
    <n v="8"/>
    <s v="Y"/>
    <s v="No"/>
    <n v="12"/>
    <x v="0"/>
    <n v="2"/>
    <n v="80"/>
    <n v="1"/>
    <n v="4"/>
    <n v="0"/>
    <n v="2"/>
    <n v="2"/>
    <n v="2"/>
    <n v="2"/>
    <n v="2"/>
  </r>
  <r>
    <n v="26"/>
    <x v="1"/>
    <x v="1"/>
    <n v="1096"/>
    <x v="1"/>
    <n v="6"/>
    <n v="3"/>
    <s v="Other"/>
    <n v="1"/>
    <n v="1918"/>
    <n v="3"/>
    <x v="1"/>
    <n v="61"/>
    <x v="2"/>
    <n v="1"/>
    <x v="2"/>
    <n v="4"/>
    <x v="1"/>
    <n v="2544"/>
    <n v="7102"/>
    <n v="0"/>
    <s v="Y"/>
    <s v="No"/>
    <n v="18"/>
    <x v="0"/>
    <n v="1"/>
    <n v="80"/>
    <n v="1"/>
    <n v="8"/>
    <n v="3"/>
    <n v="3"/>
    <n v="7"/>
    <n v="7"/>
    <n v="7"/>
    <n v="7"/>
  </r>
  <r>
    <n v="45"/>
    <x v="1"/>
    <x v="1"/>
    <n v="1297"/>
    <x v="1"/>
    <n v="1"/>
    <n v="4"/>
    <s v="Medical"/>
    <n v="1"/>
    <n v="1922"/>
    <n v="2"/>
    <x v="1"/>
    <n v="44"/>
    <x v="0"/>
    <n v="2"/>
    <x v="4"/>
    <n v="3"/>
    <x v="0"/>
    <n v="5399"/>
    <n v="14511"/>
    <n v="4"/>
    <s v="Y"/>
    <s v="No"/>
    <n v="12"/>
    <x v="0"/>
    <n v="3"/>
    <n v="80"/>
    <n v="0"/>
    <n v="12"/>
    <n v="3"/>
    <n v="3"/>
    <n v="4"/>
    <n v="2"/>
    <n v="0"/>
    <n v="3"/>
  </r>
  <r>
    <n v="33"/>
    <x v="1"/>
    <x v="0"/>
    <n v="217"/>
    <x v="0"/>
    <n v="10"/>
    <n v="4"/>
    <s v="Marketing"/>
    <n v="1"/>
    <n v="1924"/>
    <n v="2"/>
    <x v="1"/>
    <n v="43"/>
    <x v="0"/>
    <n v="2"/>
    <x v="0"/>
    <n v="3"/>
    <x v="0"/>
    <n v="5487"/>
    <n v="10410"/>
    <n v="1"/>
    <s v="Y"/>
    <s v="No"/>
    <n v="14"/>
    <x v="0"/>
    <n v="2"/>
    <n v="80"/>
    <n v="0"/>
    <n v="10"/>
    <n v="2"/>
    <n v="2"/>
    <n v="10"/>
    <n v="4"/>
    <n v="0"/>
    <n v="9"/>
  </r>
  <r>
    <n v="28"/>
    <x v="1"/>
    <x v="1"/>
    <n v="783"/>
    <x v="0"/>
    <n v="1"/>
    <n v="2"/>
    <s v="Life Sciences"/>
    <n v="1"/>
    <n v="1927"/>
    <n v="3"/>
    <x v="1"/>
    <n v="42"/>
    <x v="1"/>
    <n v="2"/>
    <x v="0"/>
    <n v="4"/>
    <x v="1"/>
    <n v="6834"/>
    <n v="19255"/>
    <n v="1"/>
    <s v="Y"/>
    <s v="Yes"/>
    <n v="12"/>
    <x v="0"/>
    <n v="3"/>
    <n v="80"/>
    <n v="1"/>
    <n v="7"/>
    <n v="2"/>
    <n v="3"/>
    <n v="7"/>
    <n v="7"/>
    <n v="0"/>
    <n v="7"/>
  </r>
  <r>
    <n v="29"/>
    <x v="0"/>
    <x v="1"/>
    <n v="746"/>
    <x v="0"/>
    <n v="24"/>
    <n v="3"/>
    <s v="Technical Degree"/>
    <n v="1"/>
    <n v="1928"/>
    <n v="3"/>
    <x v="1"/>
    <n v="45"/>
    <x v="2"/>
    <n v="1"/>
    <x v="6"/>
    <n v="1"/>
    <x v="0"/>
    <n v="1091"/>
    <n v="10642"/>
    <n v="1"/>
    <s v="Y"/>
    <s v="No"/>
    <n v="17"/>
    <x v="0"/>
    <n v="4"/>
    <n v="80"/>
    <n v="0"/>
    <n v="1"/>
    <n v="3"/>
    <n v="3"/>
    <n v="1"/>
    <n v="0"/>
    <n v="0"/>
    <n v="0"/>
  </r>
  <r>
    <n v="39"/>
    <x v="1"/>
    <x v="2"/>
    <n v="1251"/>
    <x v="0"/>
    <n v="21"/>
    <n v="4"/>
    <s v="Life Sciences"/>
    <n v="1"/>
    <n v="1929"/>
    <n v="1"/>
    <x v="0"/>
    <n v="32"/>
    <x v="3"/>
    <n v="2"/>
    <x v="0"/>
    <n v="3"/>
    <x v="1"/>
    <n v="5736"/>
    <n v="3987"/>
    <n v="6"/>
    <s v="Y"/>
    <s v="No"/>
    <n v="19"/>
    <x v="0"/>
    <n v="3"/>
    <n v="80"/>
    <n v="1"/>
    <n v="10"/>
    <n v="1"/>
    <n v="3"/>
    <n v="3"/>
    <n v="2"/>
    <n v="1"/>
    <n v="2"/>
  </r>
  <r>
    <n v="27"/>
    <x v="1"/>
    <x v="0"/>
    <n v="1354"/>
    <x v="1"/>
    <n v="2"/>
    <n v="4"/>
    <s v="Technical Degree"/>
    <n v="1"/>
    <n v="1931"/>
    <n v="2"/>
    <x v="1"/>
    <n v="41"/>
    <x v="0"/>
    <n v="1"/>
    <x v="1"/>
    <n v="2"/>
    <x v="1"/>
    <n v="2226"/>
    <n v="6073"/>
    <n v="1"/>
    <s v="Y"/>
    <s v="No"/>
    <n v="11"/>
    <x v="0"/>
    <n v="3"/>
    <n v="80"/>
    <n v="1"/>
    <n v="6"/>
    <n v="3"/>
    <n v="2"/>
    <n v="5"/>
    <n v="3"/>
    <n v="1"/>
    <n v="2"/>
  </r>
  <r>
    <n v="34"/>
    <x v="1"/>
    <x v="1"/>
    <n v="735"/>
    <x v="1"/>
    <n v="22"/>
    <n v="4"/>
    <s v="Other"/>
    <n v="1"/>
    <n v="1932"/>
    <n v="3"/>
    <x v="1"/>
    <n v="86"/>
    <x v="1"/>
    <n v="2"/>
    <x v="1"/>
    <n v="4"/>
    <x v="1"/>
    <n v="5747"/>
    <n v="26496"/>
    <n v="1"/>
    <s v="Y"/>
    <s v="Yes"/>
    <n v="15"/>
    <x v="0"/>
    <n v="2"/>
    <n v="80"/>
    <n v="0"/>
    <n v="16"/>
    <n v="3"/>
    <n v="3"/>
    <n v="15"/>
    <n v="10"/>
    <n v="6"/>
    <n v="11"/>
  </r>
  <r>
    <n v="28"/>
    <x v="0"/>
    <x v="0"/>
    <n v="1475"/>
    <x v="0"/>
    <n v="13"/>
    <n v="2"/>
    <s v="Marketing"/>
    <n v="1"/>
    <n v="1933"/>
    <n v="4"/>
    <x v="0"/>
    <n v="84"/>
    <x v="0"/>
    <n v="2"/>
    <x v="0"/>
    <n v="3"/>
    <x v="0"/>
    <n v="9854"/>
    <n v="23352"/>
    <n v="3"/>
    <s v="Y"/>
    <s v="Yes"/>
    <n v="11"/>
    <x v="0"/>
    <n v="4"/>
    <n v="80"/>
    <n v="0"/>
    <n v="6"/>
    <n v="0"/>
    <n v="3"/>
    <n v="2"/>
    <n v="0"/>
    <n v="2"/>
    <n v="2"/>
  </r>
  <r>
    <n v="47"/>
    <x v="1"/>
    <x v="2"/>
    <n v="1169"/>
    <x v="1"/>
    <n v="14"/>
    <n v="4"/>
    <s v="Technical Degree"/>
    <n v="1"/>
    <n v="1934"/>
    <n v="3"/>
    <x v="1"/>
    <n v="64"/>
    <x v="0"/>
    <n v="2"/>
    <x v="1"/>
    <n v="2"/>
    <x v="1"/>
    <n v="5467"/>
    <n v="2125"/>
    <n v="8"/>
    <s v="Y"/>
    <s v="No"/>
    <n v="18"/>
    <x v="0"/>
    <n v="3"/>
    <n v="80"/>
    <n v="1"/>
    <n v="16"/>
    <n v="4"/>
    <n v="4"/>
    <n v="8"/>
    <n v="7"/>
    <n v="1"/>
    <n v="7"/>
  </r>
  <r>
    <n v="56"/>
    <x v="1"/>
    <x v="0"/>
    <n v="1443"/>
    <x v="0"/>
    <n v="11"/>
    <n v="5"/>
    <s v="Marketing"/>
    <n v="1"/>
    <n v="1935"/>
    <n v="4"/>
    <x v="0"/>
    <n v="89"/>
    <x v="1"/>
    <n v="2"/>
    <x v="0"/>
    <n v="1"/>
    <x v="1"/>
    <n v="5380"/>
    <n v="20328"/>
    <n v="4"/>
    <s v="Y"/>
    <s v="No"/>
    <n v="16"/>
    <x v="0"/>
    <n v="3"/>
    <n v="80"/>
    <n v="1"/>
    <n v="6"/>
    <n v="3"/>
    <n v="3"/>
    <n v="0"/>
    <n v="0"/>
    <n v="0"/>
    <n v="0"/>
  </r>
  <r>
    <n v="39"/>
    <x v="1"/>
    <x v="0"/>
    <n v="867"/>
    <x v="1"/>
    <n v="9"/>
    <n v="2"/>
    <s v="Medical"/>
    <n v="1"/>
    <n v="1936"/>
    <n v="1"/>
    <x v="1"/>
    <n v="87"/>
    <x v="0"/>
    <n v="2"/>
    <x v="3"/>
    <n v="1"/>
    <x v="1"/>
    <n v="5151"/>
    <n v="12315"/>
    <n v="1"/>
    <s v="Y"/>
    <s v="No"/>
    <n v="25"/>
    <x v="1"/>
    <n v="4"/>
    <n v="80"/>
    <n v="1"/>
    <n v="10"/>
    <n v="3"/>
    <n v="3"/>
    <n v="10"/>
    <n v="0"/>
    <n v="7"/>
    <n v="9"/>
  </r>
  <r>
    <n v="38"/>
    <x v="1"/>
    <x v="1"/>
    <n v="1394"/>
    <x v="1"/>
    <n v="8"/>
    <n v="3"/>
    <s v="Medical"/>
    <n v="1"/>
    <n v="1937"/>
    <n v="4"/>
    <x v="0"/>
    <n v="58"/>
    <x v="1"/>
    <n v="2"/>
    <x v="1"/>
    <n v="2"/>
    <x v="2"/>
    <n v="2133"/>
    <n v="18115"/>
    <n v="1"/>
    <s v="Y"/>
    <s v="Yes"/>
    <n v="16"/>
    <x v="0"/>
    <n v="3"/>
    <n v="80"/>
    <n v="1"/>
    <n v="20"/>
    <n v="3"/>
    <n v="3"/>
    <n v="20"/>
    <n v="11"/>
    <n v="0"/>
    <n v="7"/>
  </r>
  <r>
    <n v="58"/>
    <x v="1"/>
    <x v="0"/>
    <n v="605"/>
    <x v="0"/>
    <n v="21"/>
    <n v="3"/>
    <s v="Life Sciences"/>
    <n v="1"/>
    <n v="1938"/>
    <n v="4"/>
    <x v="0"/>
    <n v="72"/>
    <x v="0"/>
    <n v="4"/>
    <x v="5"/>
    <n v="4"/>
    <x v="1"/>
    <n v="17875"/>
    <n v="11761"/>
    <n v="4"/>
    <s v="Y"/>
    <s v="Yes"/>
    <n v="13"/>
    <x v="0"/>
    <n v="3"/>
    <n v="80"/>
    <n v="1"/>
    <n v="29"/>
    <n v="2"/>
    <n v="2"/>
    <n v="1"/>
    <n v="0"/>
    <n v="0"/>
    <n v="0"/>
  </r>
  <r>
    <n v="32"/>
    <x v="0"/>
    <x v="1"/>
    <n v="238"/>
    <x v="1"/>
    <n v="5"/>
    <n v="2"/>
    <s v="Life Sciences"/>
    <n v="1"/>
    <n v="1939"/>
    <n v="1"/>
    <x v="0"/>
    <n v="47"/>
    <x v="2"/>
    <n v="1"/>
    <x v="1"/>
    <n v="3"/>
    <x v="0"/>
    <n v="2432"/>
    <n v="15318"/>
    <n v="3"/>
    <s v="Y"/>
    <s v="Yes"/>
    <n v="14"/>
    <x v="0"/>
    <n v="1"/>
    <n v="80"/>
    <n v="0"/>
    <n v="8"/>
    <n v="2"/>
    <n v="3"/>
    <n v="4"/>
    <n v="1"/>
    <n v="0"/>
    <n v="3"/>
  </r>
  <r>
    <n v="38"/>
    <x v="1"/>
    <x v="0"/>
    <n v="1206"/>
    <x v="1"/>
    <n v="9"/>
    <n v="2"/>
    <s v="Life Sciences"/>
    <n v="1"/>
    <n v="1940"/>
    <n v="2"/>
    <x v="1"/>
    <n v="71"/>
    <x v="0"/>
    <n v="1"/>
    <x v="1"/>
    <n v="4"/>
    <x v="2"/>
    <n v="4771"/>
    <n v="14293"/>
    <n v="2"/>
    <s v="Y"/>
    <s v="No"/>
    <n v="19"/>
    <x v="0"/>
    <n v="4"/>
    <n v="80"/>
    <n v="2"/>
    <n v="10"/>
    <n v="0"/>
    <n v="4"/>
    <n v="5"/>
    <n v="2"/>
    <n v="0"/>
    <n v="3"/>
  </r>
  <r>
    <n v="49"/>
    <x v="1"/>
    <x v="1"/>
    <n v="1064"/>
    <x v="1"/>
    <n v="2"/>
    <n v="1"/>
    <s v="Life Sciences"/>
    <n v="1"/>
    <n v="1941"/>
    <n v="2"/>
    <x v="1"/>
    <n v="42"/>
    <x v="0"/>
    <n v="5"/>
    <x v="7"/>
    <n v="4"/>
    <x v="1"/>
    <n v="19161"/>
    <n v="13738"/>
    <n v="3"/>
    <s v="Y"/>
    <s v="No"/>
    <n v="15"/>
    <x v="0"/>
    <n v="4"/>
    <n v="80"/>
    <n v="0"/>
    <n v="28"/>
    <n v="3"/>
    <n v="3"/>
    <n v="5"/>
    <n v="4"/>
    <n v="4"/>
    <n v="3"/>
  </r>
  <r>
    <n v="42"/>
    <x v="1"/>
    <x v="0"/>
    <n v="419"/>
    <x v="0"/>
    <n v="12"/>
    <n v="4"/>
    <s v="Marketing"/>
    <n v="1"/>
    <n v="1943"/>
    <n v="2"/>
    <x v="1"/>
    <n v="77"/>
    <x v="0"/>
    <n v="2"/>
    <x v="0"/>
    <n v="4"/>
    <x v="2"/>
    <n v="5087"/>
    <n v="2900"/>
    <n v="3"/>
    <s v="Y"/>
    <s v="Yes"/>
    <n v="12"/>
    <x v="0"/>
    <n v="3"/>
    <n v="80"/>
    <n v="2"/>
    <n v="14"/>
    <n v="4"/>
    <n v="3"/>
    <n v="0"/>
    <n v="0"/>
    <n v="0"/>
    <n v="0"/>
  </r>
  <r>
    <n v="27"/>
    <x v="0"/>
    <x v="1"/>
    <n v="1337"/>
    <x v="2"/>
    <n v="22"/>
    <n v="3"/>
    <s v="Human Resources"/>
    <n v="1"/>
    <n v="1944"/>
    <n v="1"/>
    <x v="0"/>
    <n v="58"/>
    <x v="1"/>
    <n v="1"/>
    <x v="8"/>
    <n v="2"/>
    <x v="1"/>
    <n v="2863"/>
    <n v="19555"/>
    <n v="1"/>
    <s v="Y"/>
    <s v="No"/>
    <n v="12"/>
    <x v="0"/>
    <n v="1"/>
    <n v="80"/>
    <n v="0"/>
    <n v="1"/>
    <n v="2"/>
    <n v="3"/>
    <n v="1"/>
    <n v="0"/>
    <n v="0"/>
    <n v="0"/>
  </r>
  <r>
    <n v="35"/>
    <x v="1"/>
    <x v="0"/>
    <n v="682"/>
    <x v="0"/>
    <n v="18"/>
    <n v="4"/>
    <s v="Medical"/>
    <n v="1"/>
    <n v="1945"/>
    <n v="2"/>
    <x v="1"/>
    <n v="71"/>
    <x v="0"/>
    <n v="2"/>
    <x v="0"/>
    <n v="1"/>
    <x v="1"/>
    <n v="5561"/>
    <n v="15975"/>
    <n v="0"/>
    <s v="Y"/>
    <s v="No"/>
    <n v="16"/>
    <x v="0"/>
    <n v="4"/>
    <n v="80"/>
    <n v="1"/>
    <n v="6"/>
    <n v="2"/>
    <n v="1"/>
    <n v="5"/>
    <n v="3"/>
    <n v="0"/>
    <n v="4"/>
  </r>
  <r>
    <n v="28"/>
    <x v="1"/>
    <x v="2"/>
    <n v="1103"/>
    <x v="1"/>
    <n v="16"/>
    <n v="3"/>
    <s v="Medical"/>
    <n v="1"/>
    <n v="1947"/>
    <n v="3"/>
    <x v="1"/>
    <n v="49"/>
    <x v="0"/>
    <n v="1"/>
    <x v="1"/>
    <n v="3"/>
    <x v="0"/>
    <n v="2144"/>
    <n v="2122"/>
    <n v="1"/>
    <s v="Y"/>
    <s v="No"/>
    <n v="14"/>
    <x v="0"/>
    <n v="3"/>
    <n v="80"/>
    <n v="0"/>
    <n v="5"/>
    <n v="3"/>
    <n v="2"/>
    <n v="5"/>
    <n v="3"/>
    <n v="1"/>
    <n v="4"/>
  </r>
  <r>
    <n v="31"/>
    <x v="1"/>
    <x v="2"/>
    <n v="976"/>
    <x v="1"/>
    <n v="3"/>
    <n v="2"/>
    <s v="Medical"/>
    <n v="1"/>
    <n v="1948"/>
    <n v="3"/>
    <x v="1"/>
    <n v="48"/>
    <x v="0"/>
    <n v="1"/>
    <x v="1"/>
    <n v="1"/>
    <x v="2"/>
    <n v="3065"/>
    <n v="3995"/>
    <n v="1"/>
    <s v="Y"/>
    <s v="Yes"/>
    <n v="13"/>
    <x v="0"/>
    <n v="4"/>
    <n v="80"/>
    <n v="1"/>
    <n v="4"/>
    <n v="3"/>
    <n v="4"/>
    <n v="4"/>
    <n v="2"/>
    <n v="2"/>
    <n v="3"/>
  </r>
  <r>
    <n v="36"/>
    <x v="1"/>
    <x v="2"/>
    <n v="1351"/>
    <x v="1"/>
    <n v="9"/>
    <n v="4"/>
    <s v="Life Sciences"/>
    <n v="1"/>
    <n v="1949"/>
    <n v="1"/>
    <x v="1"/>
    <n v="66"/>
    <x v="2"/>
    <n v="1"/>
    <x v="2"/>
    <n v="2"/>
    <x v="1"/>
    <n v="2810"/>
    <n v="9238"/>
    <n v="1"/>
    <s v="Y"/>
    <s v="No"/>
    <n v="22"/>
    <x v="1"/>
    <n v="2"/>
    <n v="80"/>
    <n v="0"/>
    <n v="5"/>
    <n v="3"/>
    <n v="3"/>
    <n v="5"/>
    <n v="4"/>
    <n v="0"/>
    <n v="2"/>
  </r>
  <r>
    <n v="34"/>
    <x v="1"/>
    <x v="0"/>
    <n v="937"/>
    <x v="0"/>
    <n v="1"/>
    <n v="3"/>
    <s v="Marketing"/>
    <n v="1"/>
    <n v="1950"/>
    <n v="1"/>
    <x v="1"/>
    <n v="32"/>
    <x v="0"/>
    <n v="3"/>
    <x v="0"/>
    <n v="4"/>
    <x v="0"/>
    <n v="9888"/>
    <n v="6770"/>
    <n v="1"/>
    <s v="Y"/>
    <s v="No"/>
    <n v="21"/>
    <x v="1"/>
    <n v="1"/>
    <n v="80"/>
    <n v="0"/>
    <n v="14"/>
    <n v="3"/>
    <n v="2"/>
    <n v="14"/>
    <n v="8"/>
    <n v="2"/>
    <n v="1"/>
  </r>
  <r>
    <n v="34"/>
    <x v="1"/>
    <x v="0"/>
    <n v="1239"/>
    <x v="0"/>
    <n v="13"/>
    <n v="4"/>
    <s v="Medical"/>
    <n v="1"/>
    <n v="1951"/>
    <n v="4"/>
    <x v="1"/>
    <n v="39"/>
    <x v="0"/>
    <n v="3"/>
    <x v="0"/>
    <n v="3"/>
    <x v="2"/>
    <n v="8628"/>
    <n v="22914"/>
    <n v="1"/>
    <s v="Y"/>
    <s v="No"/>
    <n v="18"/>
    <x v="0"/>
    <n v="3"/>
    <n v="80"/>
    <n v="1"/>
    <n v="9"/>
    <n v="2"/>
    <n v="2"/>
    <n v="8"/>
    <n v="7"/>
    <n v="1"/>
    <n v="1"/>
  </r>
  <r>
    <n v="26"/>
    <x v="1"/>
    <x v="0"/>
    <n v="157"/>
    <x v="1"/>
    <n v="1"/>
    <n v="3"/>
    <s v="Medical"/>
    <n v="1"/>
    <n v="1952"/>
    <n v="3"/>
    <x v="1"/>
    <n v="95"/>
    <x v="0"/>
    <n v="1"/>
    <x v="2"/>
    <n v="1"/>
    <x v="0"/>
    <n v="2867"/>
    <n v="20006"/>
    <n v="0"/>
    <s v="Y"/>
    <s v="No"/>
    <n v="13"/>
    <x v="0"/>
    <n v="4"/>
    <n v="80"/>
    <n v="0"/>
    <n v="8"/>
    <n v="6"/>
    <n v="2"/>
    <n v="7"/>
    <n v="7"/>
    <n v="7"/>
    <n v="6"/>
  </r>
  <r>
    <n v="29"/>
    <x v="1"/>
    <x v="0"/>
    <n v="136"/>
    <x v="1"/>
    <n v="1"/>
    <n v="3"/>
    <s v="Life Sciences"/>
    <n v="1"/>
    <n v="1954"/>
    <n v="1"/>
    <x v="1"/>
    <n v="89"/>
    <x v="0"/>
    <n v="2"/>
    <x v="4"/>
    <n v="1"/>
    <x v="1"/>
    <n v="5373"/>
    <n v="6225"/>
    <n v="0"/>
    <s v="Y"/>
    <s v="No"/>
    <n v="12"/>
    <x v="0"/>
    <n v="1"/>
    <n v="80"/>
    <n v="1"/>
    <n v="6"/>
    <n v="5"/>
    <n v="2"/>
    <n v="5"/>
    <n v="3"/>
    <n v="0"/>
    <n v="2"/>
  </r>
  <r>
    <n v="32"/>
    <x v="1"/>
    <x v="2"/>
    <n v="1146"/>
    <x v="1"/>
    <n v="15"/>
    <n v="4"/>
    <s v="Medical"/>
    <n v="1"/>
    <n v="1955"/>
    <n v="3"/>
    <x v="0"/>
    <n v="34"/>
    <x v="0"/>
    <n v="2"/>
    <x v="4"/>
    <n v="4"/>
    <x v="2"/>
    <n v="6667"/>
    <n v="16542"/>
    <n v="5"/>
    <s v="Y"/>
    <s v="No"/>
    <n v="18"/>
    <x v="0"/>
    <n v="2"/>
    <n v="80"/>
    <n v="1"/>
    <n v="9"/>
    <n v="6"/>
    <n v="3"/>
    <n v="5"/>
    <n v="1"/>
    <n v="1"/>
    <n v="2"/>
  </r>
  <r>
    <n v="31"/>
    <x v="1"/>
    <x v="1"/>
    <n v="1125"/>
    <x v="1"/>
    <n v="1"/>
    <n v="3"/>
    <s v="Life Sciences"/>
    <n v="1"/>
    <n v="1956"/>
    <n v="4"/>
    <x v="1"/>
    <n v="48"/>
    <x v="3"/>
    <n v="2"/>
    <x v="1"/>
    <n v="1"/>
    <x v="1"/>
    <n v="5003"/>
    <n v="5771"/>
    <n v="1"/>
    <s v="Y"/>
    <s v="No"/>
    <n v="21"/>
    <x v="1"/>
    <n v="2"/>
    <n v="80"/>
    <n v="0"/>
    <n v="10"/>
    <n v="6"/>
    <n v="3"/>
    <n v="10"/>
    <n v="8"/>
    <n v="8"/>
    <n v="7"/>
  </r>
  <r>
    <n v="28"/>
    <x v="0"/>
    <x v="0"/>
    <n v="1404"/>
    <x v="1"/>
    <n v="17"/>
    <n v="3"/>
    <s v="Technical Degree"/>
    <n v="1"/>
    <n v="1960"/>
    <n v="3"/>
    <x v="1"/>
    <n v="32"/>
    <x v="1"/>
    <n v="1"/>
    <x v="2"/>
    <n v="4"/>
    <x v="2"/>
    <n v="2367"/>
    <n v="18779"/>
    <n v="5"/>
    <s v="Y"/>
    <s v="No"/>
    <n v="12"/>
    <x v="0"/>
    <n v="1"/>
    <n v="80"/>
    <n v="1"/>
    <n v="6"/>
    <n v="2"/>
    <n v="2"/>
    <n v="4"/>
    <n v="1"/>
    <n v="0"/>
    <n v="3"/>
  </r>
  <r>
    <n v="38"/>
    <x v="1"/>
    <x v="0"/>
    <n v="1404"/>
    <x v="0"/>
    <n v="1"/>
    <n v="3"/>
    <s v="Life Sciences"/>
    <n v="1"/>
    <n v="1961"/>
    <n v="1"/>
    <x v="1"/>
    <n v="59"/>
    <x v="1"/>
    <n v="1"/>
    <x v="6"/>
    <n v="1"/>
    <x v="0"/>
    <n v="2858"/>
    <n v="11473"/>
    <n v="4"/>
    <s v="Y"/>
    <s v="No"/>
    <n v="14"/>
    <x v="0"/>
    <n v="1"/>
    <n v="80"/>
    <n v="0"/>
    <n v="20"/>
    <n v="3"/>
    <n v="2"/>
    <n v="1"/>
    <n v="0"/>
    <n v="0"/>
    <n v="0"/>
  </r>
  <r>
    <n v="35"/>
    <x v="1"/>
    <x v="0"/>
    <n v="1224"/>
    <x v="0"/>
    <n v="7"/>
    <n v="4"/>
    <s v="Life Sciences"/>
    <n v="1"/>
    <n v="1962"/>
    <n v="3"/>
    <x v="0"/>
    <n v="55"/>
    <x v="0"/>
    <n v="2"/>
    <x v="0"/>
    <n v="4"/>
    <x v="1"/>
    <n v="5204"/>
    <n v="13586"/>
    <n v="1"/>
    <s v="Y"/>
    <s v="Yes"/>
    <n v="11"/>
    <x v="0"/>
    <n v="4"/>
    <n v="80"/>
    <n v="0"/>
    <n v="10"/>
    <n v="2"/>
    <n v="3"/>
    <n v="10"/>
    <n v="8"/>
    <n v="0"/>
    <n v="9"/>
  </r>
  <r>
    <n v="27"/>
    <x v="1"/>
    <x v="0"/>
    <n v="954"/>
    <x v="0"/>
    <n v="9"/>
    <n v="3"/>
    <s v="Marketing"/>
    <n v="1"/>
    <n v="1965"/>
    <n v="4"/>
    <x v="1"/>
    <n v="44"/>
    <x v="0"/>
    <n v="2"/>
    <x v="0"/>
    <n v="4"/>
    <x v="0"/>
    <n v="4105"/>
    <n v="5099"/>
    <n v="1"/>
    <s v="Y"/>
    <s v="No"/>
    <n v="14"/>
    <x v="0"/>
    <n v="1"/>
    <n v="80"/>
    <n v="0"/>
    <n v="7"/>
    <n v="5"/>
    <n v="3"/>
    <n v="7"/>
    <n v="7"/>
    <n v="0"/>
    <n v="7"/>
  </r>
  <r>
    <n v="32"/>
    <x v="1"/>
    <x v="0"/>
    <n v="1373"/>
    <x v="1"/>
    <n v="5"/>
    <n v="4"/>
    <s v="Life Sciences"/>
    <n v="1"/>
    <n v="1966"/>
    <n v="4"/>
    <x v="1"/>
    <n v="56"/>
    <x v="1"/>
    <n v="2"/>
    <x v="3"/>
    <n v="4"/>
    <x v="0"/>
    <n v="9679"/>
    <n v="10138"/>
    <n v="8"/>
    <s v="Y"/>
    <s v="No"/>
    <n v="24"/>
    <x v="1"/>
    <n v="2"/>
    <n v="80"/>
    <n v="0"/>
    <n v="8"/>
    <n v="1"/>
    <n v="3"/>
    <n v="1"/>
    <n v="0"/>
    <n v="0"/>
    <n v="0"/>
  </r>
  <r>
    <n v="31"/>
    <x v="0"/>
    <x v="1"/>
    <n v="754"/>
    <x v="0"/>
    <n v="26"/>
    <n v="4"/>
    <s v="Marketing"/>
    <n v="1"/>
    <n v="1967"/>
    <n v="1"/>
    <x v="1"/>
    <n v="63"/>
    <x v="0"/>
    <n v="2"/>
    <x v="0"/>
    <n v="4"/>
    <x v="1"/>
    <n v="5617"/>
    <n v="21075"/>
    <n v="1"/>
    <s v="Y"/>
    <s v="Yes"/>
    <n v="11"/>
    <x v="0"/>
    <n v="3"/>
    <n v="80"/>
    <n v="0"/>
    <n v="10"/>
    <n v="4"/>
    <n v="3"/>
    <n v="10"/>
    <n v="7"/>
    <n v="0"/>
    <n v="8"/>
  </r>
  <r>
    <n v="53"/>
    <x v="0"/>
    <x v="0"/>
    <n v="1168"/>
    <x v="0"/>
    <n v="24"/>
    <n v="4"/>
    <s v="Life Sciences"/>
    <n v="1"/>
    <n v="1968"/>
    <n v="1"/>
    <x v="1"/>
    <n v="66"/>
    <x v="0"/>
    <n v="3"/>
    <x v="0"/>
    <n v="1"/>
    <x v="0"/>
    <n v="10448"/>
    <n v="5843"/>
    <n v="6"/>
    <s v="Y"/>
    <s v="Yes"/>
    <n v="13"/>
    <x v="0"/>
    <n v="2"/>
    <n v="80"/>
    <n v="0"/>
    <n v="15"/>
    <n v="2"/>
    <n v="2"/>
    <n v="2"/>
    <n v="2"/>
    <n v="2"/>
    <n v="2"/>
  </r>
  <r>
    <n v="54"/>
    <x v="1"/>
    <x v="0"/>
    <n v="155"/>
    <x v="1"/>
    <n v="9"/>
    <n v="2"/>
    <s v="Life Sciences"/>
    <n v="1"/>
    <n v="1969"/>
    <n v="1"/>
    <x v="0"/>
    <n v="67"/>
    <x v="0"/>
    <n v="2"/>
    <x v="1"/>
    <n v="3"/>
    <x v="1"/>
    <n v="2897"/>
    <n v="22474"/>
    <n v="3"/>
    <s v="Y"/>
    <s v="No"/>
    <n v="11"/>
    <x v="0"/>
    <n v="3"/>
    <n v="80"/>
    <n v="2"/>
    <n v="9"/>
    <n v="6"/>
    <n v="2"/>
    <n v="4"/>
    <n v="3"/>
    <n v="2"/>
    <n v="3"/>
  </r>
  <r>
    <n v="33"/>
    <x v="1"/>
    <x v="1"/>
    <n v="1303"/>
    <x v="1"/>
    <n v="7"/>
    <n v="2"/>
    <s v="Life Sciences"/>
    <n v="1"/>
    <n v="1970"/>
    <n v="4"/>
    <x v="1"/>
    <n v="36"/>
    <x v="0"/>
    <n v="2"/>
    <x v="4"/>
    <n v="3"/>
    <x v="2"/>
    <n v="5968"/>
    <n v="18079"/>
    <n v="1"/>
    <s v="Y"/>
    <s v="No"/>
    <n v="20"/>
    <x v="1"/>
    <n v="3"/>
    <n v="80"/>
    <n v="3"/>
    <n v="9"/>
    <n v="2"/>
    <n v="3"/>
    <n v="9"/>
    <n v="7"/>
    <n v="2"/>
    <n v="8"/>
  </r>
  <r>
    <n v="43"/>
    <x v="1"/>
    <x v="0"/>
    <n v="574"/>
    <x v="1"/>
    <n v="11"/>
    <n v="3"/>
    <s v="Life Sciences"/>
    <n v="1"/>
    <n v="1971"/>
    <n v="1"/>
    <x v="1"/>
    <n v="30"/>
    <x v="0"/>
    <n v="3"/>
    <x v="4"/>
    <n v="3"/>
    <x v="1"/>
    <n v="7510"/>
    <n v="16873"/>
    <n v="1"/>
    <s v="Y"/>
    <s v="No"/>
    <n v="17"/>
    <x v="0"/>
    <n v="2"/>
    <n v="80"/>
    <n v="1"/>
    <n v="10"/>
    <n v="1"/>
    <n v="3"/>
    <n v="10"/>
    <n v="9"/>
    <n v="0"/>
    <n v="9"/>
  </r>
  <r>
    <n v="38"/>
    <x v="1"/>
    <x v="1"/>
    <n v="1444"/>
    <x v="2"/>
    <n v="1"/>
    <n v="4"/>
    <s v="Other"/>
    <n v="1"/>
    <n v="1972"/>
    <n v="4"/>
    <x v="1"/>
    <n v="88"/>
    <x v="0"/>
    <n v="1"/>
    <x v="8"/>
    <n v="2"/>
    <x v="1"/>
    <n v="2991"/>
    <n v="5224"/>
    <n v="0"/>
    <s v="Y"/>
    <s v="Yes"/>
    <n v="11"/>
    <x v="0"/>
    <n v="2"/>
    <n v="80"/>
    <n v="1"/>
    <n v="7"/>
    <n v="2"/>
    <n v="3"/>
    <n v="6"/>
    <n v="2"/>
    <n v="1"/>
    <n v="2"/>
  </r>
  <r>
    <n v="55"/>
    <x v="1"/>
    <x v="0"/>
    <n v="189"/>
    <x v="2"/>
    <n v="26"/>
    <n v="4"/>
    <s v="Human Resources"/>
    <n v="1"/>
    <n v="1973"/>
    <n v="3"/>
    <x v="1"/>
    <n v="71"/>
    <x v="2"/>
    <n v="5"/>
    <x v="5"/>
    <n v="2"/>
    <x v="1"/>
    <n v="19636"/>
    <n v="25811"/>
    <n v="4"/>
    <s v="Y"/>
    <s v="Yes"/>
    <n v="18"/>
    <x v="0"/>
    <n v="1"/>
    <n v="80"/>
    <n v="1"/>
    <n v="35"/>
    <n v="0"/>
    <n v="3"/>
    <n v="10"/>
    <n v="9"/>
    <n v="1"/>
    <n v="4"/>
  </r>
  <r>
    <n v="31"/>
    <x v="1"/>
    <x v="0"/>
    <n v="1276"/>
    <x v="1"/>
    <n v="2"/>
    <n v="1"/>
    <s v="Medical"/>
    <n v="1"/>
    <n v="1974"/>
    <n v="4"/>
    <x v="0"/>
    <n v="59"/>
    <x v="3"/>
    <n v="1"/>
    <x v="2"/>
    <n v="4"/>
    <x v="2"/>
    <n v="1129"/>
    <n v="17536"/>
    <n v="1"/>
    <s v="Y"/>
    <s v="Yes"/>
    <n v="11"/>
    <x v="0"/>
    <n v="3"/>
    <n v="80"/>
    <n v="3"/>
    <n v="1"/>
    <n v="4"/>
    <n v="3"/>
    <n v="1"/>
    <n v="0"/>
    <n v="0"/>
    <n v="0"/>
  </r>
  <r>
    <n v="39"/>
    <x v="1"/>
    <x v="0"/>
    <n v="119"/>
    <x v="0"/>
    <n v="15"/>
    <n v="4"/>
    <s v="Marketing"/>
    <n v="1"/>
    <n v="1975"/>
    <n v="2"/>
    <x v="1"/>
    <n v="77"/>
    <x v="0"/>
    <n v="4"/>
    <x v="0"/>
    <n v="1"/>
    <x v="0"/>
    <n v="13341"/>
    <n v="25098"/>
    <n v="0"/>
    <s v="Y"/>
    <s v="No"/>
    <n v="12"/>
    <x v="0"/>
    <n v="1"/>
    <n v="80"/>
    <n v="0"/>
    <n v="21"/>
    <n v="3"/>
    <n v="3"/>
    <n v="20"/>
    <n v="8"/>
    <n v="11"/>
    <n v="10"/>
  </r>
  <r>
    <n v="42"/>
    <x v="1"/>
    <x v="2"/>
    <n v="335"/>
    <x v="1"/>
    <n v="23"/>
    <n v="2"/>
    <s v="Life Sciences"/>
    <n v="1"/>
    <n v="1976"/>
    <n v="4"/>
    <x v="1"/>
    <n v="37"/>
    <x v="1"/>
    <n v="2"/>
    <x v="1"/>
    <n v="3"/>
    <x v="0"/>
    <n v="4332"/>
    <n v="14811"/>
    <n v="1"/>
    <s v="Y"/>
    <s v="No"/>
    <n v="12"/>
    <x v="0"/>
    <n v="4"/>
    <n v="80"/>
    <n v="0"/>
    <n v="20"/>
    <n v="2"/>
    <n v="3"/>
    <n v="20"/>
    <n v="9"/>
    <n v="3"/>
    <n v="7"/>
  </r>
  <r>
    <n v="31"/>
    <x v="1"/>
    <x v="2"/>
    <n v="697"/>
    <x v="1"/>
    <n v="10"/>
    <n v="3"/>
    <s v="Medical"/>
    <n v="1"/>
    <n v="1979"/>
    <n v="3"/>
    <x v="0"/>
    <n v="40"/>
    <x v="0"/>
    <n v="3"/>
    <x v="7"/>
    <n v="3"/>
    <x v="1"/>
    <n v="11031"/>
    <n v="26862"/>
    <n v="4"/>
    <s v="Y"/>
    <s v="No"/>
    <n v="20"/>
    <x v="1"/>
    <n v="3"/>
    <n v="80"/>
    <n v="1"/>
    <n v="13"/>
    <n v="2"/>
    <n v="4"/>
    <n v="11"/>
    <n v="7"/>
    <n v="4"/>
    <n v="8"/>
  </r>
  <r>
    <n v="54"/>
    <x v="1"/>
    <x v="0"/>
    <n v="157"/>
    <x v="1"/>
    <n v="10"/>
    <n v="3"/>
    <s v="Medical"/>
    <n v="1"/>
    <n v="1980"/>
    <n v="3"/>
    <x v="0"/>
    <n v="77"/>
    <x v="0"/>
    <n v="2"/>
    <x v="3"/>
    <n v="1"/>
    <x v="0"/>
    <n v="4440"/>
    <n v="25198"/>
    <n v="6"/>
    <s v="Y"/>
    <s v="Yes"/>
    <n v="19"/>
    <x v="0"/>
    <n v="4"/>
    <n v="80"/>
    <n v="0"/>
    <n v="9"/>
    <n v="3"/>
    <n v="3"/>
    <n v="5"/>
    <n v="2"/>
    <n v="1"/>
    <n v="4"/>
  </r>
  <r>
    <n v="24"/>
    <x v="1"/>
    <x v="0"/>
    <n v="771"/>
    <x v="1"/>
    <n v="1"/>
    <n v="2"/>
    <s v="Life Sciences"/>
    <n v="1"/>
    <n v="1981"/>
    <n v="2"/>
    <x v="1"/>
    <n v="45"/>
    <x v="1"/>
    <n v="2"/>
    <x v="4"/>
    <n v="3"/>
    <x v="0"/>
    <n v="4617"/>
    <n v="14120"/>
    <n v="1"/>
    <s v="Y"/>
    <s v="No"/>
    <n v="12"/>
    <x v="0"/>
    <n v="2"/>
    <n v="80"/>
    <n v="0"/>
    <n v="4"/>
    <n v="2"/>
    <n v="2"/>
    <n v="4"/>
    <n v="3"/>
    <n v="1"/>
    <n v="2"/>
  </r>
  <r>
    <n v="23"/>
    <x v="1"/>
    <x v="0"/>
    <n v="571"/>
    <x v="1"/>
    <n v="12"/>
    <n v="2"/>
    <s v="Other"/>
    <n v="1"/>
    <n v="1982"/>
    <n v="4"/>
    <x v="1"/>
    <n v="78"/>
    <x v="0"/>
    <n v="1"/>
    <x v="2"/>
    <n v="4"/>
    <x v="0"/>
    <n v="2647"/>
    <n v="13672"/>
    <n v="1"/>
    <s v="Y"/>
    <s v="No"/>
    <n v="13"/>
    <x v="0"/>
    <n v="3"/>
    <n v="80"/>
    <n v="0"/>
    <n v="5"/>
    <n v="6"/>
    <n v="4"/>
    <n v="5"/>
    <n v="2"/>
    <n v="1"/>
    <n v="4"/>
  </r>
  <r>
    <n v="40"/>
    <x v="1"/>
    <x v="1"/>
    <n v="692"/>
    <x v="1"/>
    <n v="11"/>
    <n v="3"/>
    <s v="Technical Degree"/>
    <n v="1"/>
    <n v="1985"/>
    <n v="4"/>
    <x v="0"/>
    <n v="73"/>
    <x v="0"/>
    <n v="2"/>
    <x v="2"/>
    <n v="3"/>
    <x v="1"/>
    <n v="6323"/>
    <n v="26849"/>
    <n v="1"/>
    <s v="Y"/>
    <s v="No"/>
    <n v="11"/>
    <x v="0"/>
    <n v="1"/>
    <n v="80"/>
    <n v="1"/>
    <n v="10"/>
    <n v="2"/>
    <n v="4"/>
    <n v="10"/>
    <n v="9"/>
    <n v="9"/>
    <n v="4"/>
  </r>
  <r>
    <n v="40"/>
    <x v="1"/>
    <x v="0"/>
    <n v="444"/>
    <x v="0"/>
    <n v="2"/>
    <n v="2"/>
    <s v="Marketing"/>
    <n v="1"/>
    <n v="1986"/>
    <n v="2"/>
    <x v="0"/>
    <n v="92"/>
    <x v="0"/>
    <n v="2"/>
    <x v="0"/>
    <n v="2"/>
    <x v="1"/>
    <n v="5677"/>
    <n v="4258"/>
    <n v="3"/>
    <s v="Y"/>
    <s v="No"/>
    <n v="14"/>
    <x v="0"/>
    <n v="3"/>
    <n v="80"/>
    <n v="1"/>
    <n v="15"/>
    <n v="4"/>
    <n v="3"/>
    <n v="11"/>
    <n v="8"/>
    <n v="5"/>
    <n v="10"/>
  </r>
  <r>
    <n v="25"/>
    <x v="1"/>
    <x v="0"/>
    <n v="309"/>
    <x v="2"/>
    <n v="2"/>
    <n v="3"/>
    <s v="Human Resources"/>
    <n v="1"/>
    <n v="1987"/>
    <n v="3"/>
    <x v="0"/>
    <n v="82"/>
    <x v="0"/>
    <n v="1"/>
    <x v="8"/>
    <n v="2"/>
    <x v="1"/>
    <n v="2187"/>
    <n v="19655"/>
    <n v="4"/>
    <s v="Y"/>
    <s v="No"/>
    <n v="14"/>
    <x v="0"/>
    <n v="3"/>
    <n v="80"/>
    <n v="0"/>
    <n v="6"/>
    <n v="3"/>
    <n v="3"/>
    <n v="2"/>
    <n v="0"/>
    <n v="1"/>
    <n v="2"/>
  </r>
  <r>
    <n v="30"/>
    <x v="1"/>
    <x v="0"/>
    <n v="911"/>
    <x v="1"/>
    <n v="1"/>
    <n v="2"/>
    <s v="Medical"/>
    <n v="1"/>
    <n v="1989"/>
    <n v="4"/>
    <x v="1"/>
    <n v="76"/>
    <x v="0"/>
    <n v="1"/>
    <x v="2"/>
    <n v="2"/>
    <x v="1"/>
    <n v="3748"/>
    <n v="4077"/>
    <n v="1"/>
    <s v="Y"/>
    <s v="No"/>
    <n v="13"/>
    <x v="0"/>
    <n v="3"/>
    <n v="80"/>
    <n v="0"/>
    <n v="12"/>
    <n v="6"/>
    <n v="2"/>
    <n v="12"/>
    <n v="8"/>
    <n v="1"/>
    <n v="7"/>
  </r>
  <r>
    <n v="25"/>
    <x v="1"/>
    <x v="0"/>
    <n v="977"/>
    <x v="1"/>
    <n v="2"/>
    <n v="1"/>
    <s v="Other"/>
    <n v="1"/>
    <n v="1992"/>
    <n v="4"/>
    <x v="1"/>
    <n v="57"/>
    <x v="0"/>
    <n v="1"/>
    <x v="2"/>
    <n v="3"/>
    <x v="2"/>
    <n v="3977"/>
    <n v="7298"/>
    <n v="6"/>
    <s v="Y"/>
    <s v="Yes"/>
    <n v="19"/>
    <x v="0"/>
    <n v="3"/>
    <n v="80"/>
    <n v="1"/>
    <n v="7"/>
    <n v="2"/>
    <n v="2"/>
    <n v="2"/>
    <n v="2"/>
    <n v="0"/>
    <n v="2"/>
  </r>
  <r>
    <n v="47"/>
    <x v="1"/>
    <x v="0"/>
    <n v="1180"/>
    <x v="1"/>
    <n v="25"/>
    <n v="3"/>
    <s v="Medical"/>
    <n v="1"/>
    <n v="1993"/>
    <n v="1"/>
    <x v="1"/>
    <n v="84"/>
    <x v="0"/>
    <n v="3"/>
    <x v="4"/>
    <n v="3"/>
    <x v="0"/>
    <n v="8633"/>
    <n v="13084"/>
    <n v="2"/>
    <s v="Y"/>
    <s v="No"/>
    <n v="23"/>
    <x v="1"/>
    <n v="2"/>
    <n v="80"/>
    <n v="0"/>
    <n v="25"/>
    <n v="3"/>
    <n v="3"/>
    <n v="17"/>
    <n v="14"/>
    <n v="12"/>
    <n v="11"/>
  </r>
  <r>
    <n v="33"/>
    <x v="1"/>
    <x v="2"/>
    <n v="1313"/>
    <x v="1"/>
    <n v="1"/>
    <n v="2"/>
    <s v="Medical"/>
    <n v="1"/>
    <n v="1994"/>
    <n v="2"/>
    <x v="1"/>
    <n v="59"/>
    <x v="1"/>
    <n v="1"/>
    <x v="2"/>
    <n v="3"/>
    <x v="2"/>
    <n v="2008"/>
    <n v="20439"/>
    <n v="1"/>
    <s v="Y"/>
    <s v="No"/>
    <n v="12"/>
    <x v="0"/>
    <n v="3"/>
    <n v="80"/>
    <n v="3"/>
    <n v="1"/>
    <n v="2"/>
    <n v="2"/>
    <n v="1"/>
    <n v="1"/>
    <n v="0"/>
    <n v="0"/>
  </r>
  <r>
    <n v="38"/>
    <x v="1"/>
    <x v="0"/>
    <n v="1321"/>
    <x v="0"/>
    <n v="1"/>
    <n v="4"/>
    <s v="Life Sciences"/>
    <n v="1"/>
    <n v="1995"/>
    <n v="4"/>
    <x v="1"/>
    <n v="86"/>
    <x v="0"/>
    <n v="2"/>
    <x v="0"/>
    <n v="2"/>
    <x v="1"/>
    <n v="4440"/>
    <n v="7636"/>
    <n v="0"/>
    <s v="Y"/>
    <s v="No"/>
    <n v="15"/>
    <x v="0"/>
    <n v="1"/>
    <n v="80"/>
    <n v="2"/>
    <n v="16"/>
    <n v="3"/>
    <n v="3"/>
    <n v="15"/>
    <n v="13"/>
    <n v="5"/>
    <n v="8"/>
  </r>
  <r>
    <n v="31"/>
    <x v="1"/>
    <x v="0"/>
    <n v="1154"/>
    <x v="0"/>
    <n v="2"/>
    <n v="2"/>
    <s v="Life Sciences"/>
    <n v="1"/>
    <n v="1996"/>
    <n v="1"/>
    <x v="1"/>
    <n v="54"/>
    <x v="0"/>
    <n v="1"/>
    <x v="6"/>
    <n v="3"/>
    <x v="1"/>
    <n v="3067"/>
    <n v="6393"/>
    <n v="0"/>
    <s v="Y"/>
    <s v="No"/>
    <n v="19"/>
    <x v="0"/>
    <n v="3"/>
    <n v="80"/>
    <n v="1"/>
    <n v="3"/>
    <n v="1"/>
    <n v="3"/>
    <n v="2"/>
    <n v="2"/>
    <n v="1"/>
    <n v="2"/>
  </r>
  <r>
    <n v="38"/>
    <x v="1"/>
    <x v="1"/>
    <n v="508"/>
    <x v="1"/>
    <n v="6"/>
    <n v="4"/>
    <s v="Life Sciences"/>
    <n v="1"/>
    <n v="1997"/>
    <n v="1"/>
    <x v="1"/>
    <n v="72"/>
    <x v="1"/>
    <n v="2"/>
    <x v="3"/>
    <n v="3"/>
    <x v="1"/>
    <n v="5321"/>
    <n v="14284"/>
    <n v="2"/>
    <s v="Y"/>
    <s v="No"/>
    <n v="11"/>
    <x v="0"/>
    <n v="4"/>
    <n v="80"/>
    <n v="1"/>
    <n v="10"/>
    <n v="1"/>
    <n v="3"/>
    <n v="8"/>
    <n v="3"/>
    <n v="7"/>
    <n v="7"/>
  </r>
  <r>
    <n v="42"/>
    <x v="1"/>
    <x v="0"/>
    <n v="557"/>
    <x v="1"/>
    <n v="18"/>
    <n v="4"/>
    <s v="Life Sciences"/>
    <n v="1"/>
    <n v="1998"/>
    <n v="4"/>
    <x v="1"/>
    <n v="35"/>
    <x v="0"/>
    <n v="2"/>
    <x v="1"/>
    <n v="1"/>
    <x v="2"/>
    <n v="5410"/>
    <n v="11189"/>
    <n v="6"/>
    <s v="Y"/>
    <s v="Yes"/>
    <n v="17"/>
    <x v="0"/>
    <n v="3"/>
    <n v="80"/>
    <n v="1"/>
    <n v="9"/>
    <n v="3"/>
    <n v="2"/>
    <n v="4"/>
    <n v="3"/>
    <n v="1"/>
    <n v="2"/>
  </r>
  <r>
    <n v="41"/>
    <x v="1"/>
    <x v="0"/>
    <n v="642"/>
    <x v="1"/>
    <n v="1"/>
    <n v="3"/>
    <s v="Life Sciences"/>
    <n v="1"/>
    <n v="1999"/>
    <n v="4"/>
    <x v="1"/>
    <n v="76"/>
    <x v="0"/>
    <n v="1"/>
    <x v="1"/>
    <n v="4"/>
    <x v="1"/>
    <n v="2782"/>
    <n v="21412"/>
    <n v="3"/>
    <s v="Y"/>
    <s v="No"/>
    <n v="22"/>
    <x v="1"/>
    <n v="1"/>
    <n v="80"/>
    <n v="1"/>
    <n v="12"/>
    <n v="3"/>
    <n v="3"/>
    <n v="5"/>
    <n v="3"/>
    <n v="1"/>
    <n v="0"/>
  </r>
  <r>
    <n v="47"/>
    <x v="1"/>
    <x v="2"/>
    <n v="1162"/>
    <x v="1"/>
    <n v="1"/>
    <n v="1"/>
    <s v="Medical"/>
    <n v="1"/>
    <n v="2000"/>
    <n v="3"/>
    <x v="0"/>
    <n v="98"/>
    <x v="0"/>
    <n v="3"/>
    <x v="7"/>
    <n v="2"/>
    <x v="1"/>
    <n v="11957"/>
    <n v="17231"/>
    <n v="0"/>
    <s v="Y"/>
    <s v="No"/>
    <n v="18"/>
    <x v="0"/>
    <n v="1"/>
    <n v="80"/>
    <n v="2"/>
    <n v="14"/>
    <n v="3"/>
    <n v="1"/>
    <n v="13"/>
    <n v="8"/>
    <n v="5"/>
    <n v="12"/>
  </r>
  <r>
    <n v="35"/>
    <x v="1"/>
    <x v="0"/>
    <n v="1490"/>
    <x v="1"/>
    <n v="11"/>
    <n v="4"/>
    <s v="Medical"/>
    <n v="1"/>
    <n v="2003"/>
    <n v="4"/>
    <x v="1"/>
    <n v="43"/>
    <x v="0"/>
    <n v="1"/>
    <x v="2"/>
    <n v="3"/>
    <x v="1"/>
    <n v="2660"/>
    <n v="20232"/>
    <n v="7"/>
    <s v="Y"/>
    <s v="Yes"/>
    <n v="11"/>
    <x v="0"/>
    <n v="3"/>
    <n v="80"/>
    <n v="1"/>
    <n v="5"/>
    <n v="3"/>
    <n v="3"/>
    <n v="2"/>
    <n v="2"/>
    <n v="2"/>
    <n v="2"/>
  </r>
  <r>
    <n v="22"/>
    <x v="1"/>
    <x v="0"/>
    <n v="581"/>
    <x v="1"/>
    <n v="1"/>
    <n v="2"/>
    <s v="Life Sciences"/>
    <n v="1"/>
    <n v="2007"/>
    <n v="4"/>
    <x v="1"/>
    <n v="63"/>
    <x v="0"/>
    <n v="1"/>
    <x v="1"/>
    <n v="3"/>
    <x v="0"/>
    <n v="3375"/>
    <n v="17624"/>
    <n v="0"/>
    <s v="Y"/>
    <s v="No"/>
    <n v="12"/>
    <x v="0"/>
    <n v="4"/>
    <n v="80"/>
    <n v="0"/>
    <n v="4"/>
    <n v="2"/>
    <n v="4"/>
    <n v="3"/>
    <n v="2"/>
    <n v="1"/>
    <n v="2"/>
  </r>
  <r>
    <n v="35"/>
    <x v="1"/>
    <x v="0"/>
    <n v="1395"/>
    <x v="1"/>
    <n v="9"/>
    <n v="4"/>
    <s v="Medical"/>
    <n v="1"/>
    <n v="2008"/>
    <n v="2"/>
    <x v="1"/>
    <n v="48"/>
    <x v="0"/>
    <n v="2"/>
    <x v="1"/>
    <n v="3"/>
    <x v="0"/>
    <n v="5098"/>
    <n v="18698"/>
    <n v="1"/>
    <s v="Y"/>
    <s v="No"/>
    <n v="19"/>
    <x v="0"/>
    <n v="2"/>
    <n v="80"/>
    <n v="0"/>
    <n v="10"/>
    <n v="5"/>
    <n v="3"/>
    <n v="10"/>
    <n v="7"/>
    <n v="0"/>
    <n v="8"/>
  </r>
  <r>
    <n v="33"/>
    <x v="1"/>
    <x v="0"/>
    <n v="501"/>
    <x v="1"/>
    <n v="15"/>
    <n v="2"/>
    <s v="Medical"/>
    <n v="1"/>
    <n v="2009"/>
    <n v="2"/>
    <x v="0"/>
    <n v="95"/>
    <x v="0"/>
    <n v="2"/>
    <x v="4"/>
    <n v="4"/>
    <x v="1"/>
    <n v="4878"/>
    <n v="21653"/>
    <n v="0"/>
    <s v="Y"/>
    <s v="Yes"/>
    <n v="13"/>
    <x v="0"/>
    <n v="1"/>
    <n v="80"/>
    <n v="1"/>
    <n v="10"/>
    <n v="6"/>
    <n v="3"/>
    <n v="9"/>
    <n v="7"/>
    <n v="8"/>
    <n v="1"/>
  </r>
  <r>
    <n v="32"/>
    <x v="1"/>
    <x v="0"/>
    <n v="267"/>
    <x v="1"/>
    <n v="29"/>
    <n v="4"/>
    <s v="Life Sciences"/>
    <n v="1"/>
    <n v="2010"/>
    <n v="3"/>
    <x v="0"/>
    <n v="49"/>
    <x v="1"/>
    <n v="1"/>
    <x v="2"/>
    <n v="2"/>
    <x v="0"/>
    <n v="2837"/>
    <n v="15919"/>
    <n v="1"/>
    <s v="Y"/>
    <s v="No"/>
    <n v="13"/>
    <x v="0"/>
    <n v="3"/>
    <n v="80"/>
    <n v="0"/>
    <n v="6"/>
    <n v="3"/>
    <n v="3"/>
    <n v="6"/>
    <n v="2"/>
    <n v="4"/>
    <n v="1"/>
  </r>
  <r>
    <n v="40"/>
    <x v="1"/>
    <x v="0"/>
    <n v="543"/>
    <x v="1"/>
    <n v="1"/>
    <n v="4"/>
    <s v="Life Sciences"/>
    <n v="1"/>
    <n v="2012"/>
    <n v="1"/>
    <x v="1"/>
    <n v="83"/>
    <x v="0"/>
    <n v="1"/>
    <x v="2"/>
    <n v="4"/>
    <x v="1"/>
    <n v="2406"/>
    <n v="4060"/>
    <n v="8"/>
    <s v="Y"/>
    <s v="No"/>
    <n v="19"/>
    <x v="0"/>
    <n v="3"/>
    <n v="80"/>
    <n v="2"/>
    <n v="8"/>
    <n v="3"/>
    <n v="2"/>
    <n v="1"/>
    <n v="0"/>
    <n v="0"/>
    <n v="0"/>
  </r>
  <r>
    <n v="32"/>
    <x v="1"/>
    <x v="0"/>
    <n v="234"/>
    <x v="0"/>
    <n v="1"/>
    <n v="4"/>
    <s v="Medical"/>
    <n v="1"/>
    <n v="2013"/>
    <n v="2"/>
    <x v="1"/>
    <n v="68"/>
    <x v="1"/>
    <n v="1"/>
    <x v="6"/>
    <n v="2"/>
    <x v="1"/>
    <n v="2269"/>
    <n v="18024"/>
    <n v="0"/>
    <s v="Y"/>
    <s v="No"/>
    <n v="14"/>
    <x v="0"/>
    <n v="2"/>
    <n v="80"/>
    <n v="1"/>
    <n v="3"/>
    <n v="2"/>
    <n v="3"/>
    <n v="2"/>
    <n v="2"/>
    <n v="2"/>
    <n v="2"/>
  </r>
  <r>
    <n v="39"/>
    <x v="1"/>
    <x v="0"/>
    <n v="116"/>
    <x v="1"/>
    <n v="24"/>
    <n v="1"/>
    <s v="Life Sciences"/>
    <n v="1"/>
    <n v="2014"/>
    <n v="1"/>
    <x v="1"/>
    <n v="52"/>
    <x v="0"/>
    <n v="2"/>
    <x v="1"/>
    <n v="4"/>
    <x v="0"/>
    <n v="4108"/>
    <n v="5340"/>
    <n v="7"/>
    <s v="Y"/>
    <s v="No"/>
    <n v="13"/>
    <x v="0"/>
    <n v="1"/>
    <n v="80"/>
    <n v="0"/>
    <n v="18"/>
    <n v="2"/>
    <n v="3"/>
    <n v="7"/>
    <n v="7"/>
    <n v="1"/>
    <n v="7"/>
  </r>
  <r>
    <n v="38"/>
    <x v="1"/>
    <x v="0"/>
    <n v="201"/>
    <x v="1"/>
    <n v="10"/>
    <n v="3"/>
    <s v="Medical"/>
    <n v="1"/>
    <n v="2015"/>
    <n v="2"/>
    <x v="0"/>
    <n v="99"/>
    <x v="3"/>
    <n v="3"/>
    <x v="7"/>
    <n v="3"/>
    <x v="1"/>
    <n v="13206"/>
    <n v="3376"/>
    <n v="3"/>
    <s v="Y"/>
    <s v="No"/>
    <n v="12"/>
    <x v="0"/>
    <n v="1"/>
    <n v="80"/>
    <n v="1"/>
    <n v="20"/>
    <n v="3"/>
    <n v="3"/>
    <n v="18"/>
    <n v="16"/>
    <n v="1"/>
    <n v="11"/>
  </r>
  <r>
    <n v="32"/>
    <x v="1"/>
    <x v="0"/>
    <n v="801"/>
    <x v="0"/>
    <n v="1"/>
    <n v="4"/>
    <s v="Marketing"/>
    <n v="1"/>
    <n v="2016"/>
    <n v="3"/>
    <x v="0"/>
    <n v="48"/>
    <x v="0"/>
    <n v="3"/>
    <x v="0"/>
    <n v="4"/>
    <x v="1"/>
    <n v="10422"/>
    <n v="24032"/>
    <n v="1"/>
    <s v="Y"/>
    <s v="No"/>
    <n v="19"/>
    <x v="0"/>
    <n v="3"/>
    <n v="80"/>
    <n v="2"/>
    <n v="14"/>
    <n v="3"/>
    <n v="3"/>
    <n v="14"/>
    <n v="10"/>
    <n v="5"/>
    <n v="7"/>
  </r>
  <r>
    <n v="37"/>
    <x v="1"/>
    <x v="0"/>
    <n v="161"/>
    <x v="1"/>
    <n v="10"/>
    <n v="3"/>
    <s v="Life Sciences"/>
    <n v="1"/>
    <n v="2017"/>
    <n v="3"/>
    <x v="0"/>
    <n v="42"/>
    <x v="2"/>
    <n v="3"/>
    <x v="7"/>
    <n v="4"/>
    <x v="1"/>
    <n v="13744"/>
    <n v="15471"/>
    <n v="1"/>
    <s v="Y"/>
    <s v="Yes"/>
    <n v="25"/>
    <x v="1"/>
    <n v="1"/>
    <n v="80"/>
    <n v="1"/>
    <n v="16"/>
    <n v="2"/>
    <n v="3"/>
    <n v="16"/>
    <n v="11"/>
    <n v="6"/>
    <n v="8"/>
  </r>
  <r>
    <n v="25"/>
    <x v="1"/>
    <x v="0"/>
    <n v="1382"/>
    <x v="0"/>
    <n v="8"/>
    <n v="2"/>
    <s v="Other"/>
    <n v="1"/>
    <n v="2018"/>
    <n v="1"/>
    <x v="0"/>
    <n v="85"/>
    <x v="0"/>
    <n v="2"/>
    <x v="0"/>
    <n v="3"/>
    <x v="2"/>
    <n v="4907"/>
    <n v="13684"/>
    <n v="0"/>
    <s v="Y"/>
    <s v="Yes"/>
    <n v="22"/>
    <x v="1"/>
    <n v="2"/>
    <n v="80"/>
    <n v="1"/>
    <n v="6"/>
    <n v="3"/>
    <n v="2"/>
    <n v="5"/>
    <n v="3"/>
    <n v="0"/>
    <n v="4"/>
  </r>
  <r>
    <n v="52"/>
    <x v="1"/>
    <x v="2"/>
    <n v="585"/>
    <x v="0"/>
    <n v="29"/>
    <n v="4"/>
    <s v="Life Sciences"/>
    <n v="1"/>
    <n v="2019"/>
    <n v="1"/>
    <x v="1"/>
    <n v="40"/>
    <x v="0"/>
    <n v="1"/>
    <x v="6"/>
    <n v="4"/>
    <x v="2"/>
    <n v="3482"/>
    <n v="19788"/>
    <n v="2"/>
    <s v="Y"/>
    <s v="No"/>
    <n v="15"/>
    <x v="0"/>
    <n v="2"/>
    <n v="80"/>
    <n v="2"/>
    <n v="16"/>
    <n v="3"/>
    <n v="2"/>
    <n v="9"/>
    <n v="8"/>
    <n v="0"/>
    <n v="0"/>
  </r>
  <r>
    <n v="44"/>
    <x v="1"/>
    <x v="0"/>
    <n v="1037"/>
    <x v="1"/>
    <n v="1"/>
    <n v="3"/>
    <s v="Medical"/>
    <n v="1"/>
    <n v="2020"/>
    <n v="2"/>
    <x v="1"/>
    <n v="42"/>
    <x v="0"/>
    <n v="1"/>
    <x v="1"/>
    <n v="4"/>
    <x v="0"/>
    <n v="2436"/>
    <n v="13422"/>
    <n v="6"/>
    <s v="Y"/>
    <s v="Yes"/>
    <n v="12"/>
    <x v="0"/>
    <n v="3"/>
    <n v="80"/>
    <n v="0"/>
    <n v="6"/>
    <n v="2"/>
    <n v="3"/>
    <n v="4"/>
    <n v="3"/>
    <n v="1"/>
    <n v="2"/>
  </r>
  <r>
    <n v="21"/>
    <x v="1"/>
    <x v="0"/>
    <n v="501"/>
    <x v="0"/>
    <n v="5"/>
    <n v="1"/>
    <s v="Medical"/>
    <n v="1"/>
    <n v="2021"/>
    <n v="3"/>
    <x v="1"/>
    <n v="58"/>
    <x v="0"/>
    <n v="1"/>
    <x v="6"/>
    <n v="1"/>
    <x v="0"/>
    <n v="2380"/>
    <n v="25479"/>
    <n v="1"/>
    <s v="Y"/>
    <s v="Yes"/>
    <n v="11"/>
    <x v="0"/>
    <n v="4"/>
    <n v="80"/>
    <n v="0"/>
    <n v="2"/>
    <n v="6"/>
    <n v="3"/>
    <n v="2"/>
    <n v="2"/>
    <n v="1"/>
    <n v="2"/>
  </r>
  <r>
    <n v="39"/>
    <x v="1"/>
    <x v="2"/>
    <n v="105"/>
    <x v="1"/>
    <n v="9"/>
    <n v="3"/>
    <s v="Life Sciences"/>
    <n v="1"/>
    <n v="2022"/>
    <n v="4"/>
    <x v="1"/>
    <n v="87"/>
    <x v="0"/>
    <n v="5"/>
    <x v="5"/>
    <n v="4"/>
    <x v="0"/>
    <n v="19431"/>
    <n v="15302"/>
    <n v="2"/>
    <s v="Y"/>
    <s v="No"/>
    <n v="13"/>
    <x v="0"/>
    <n v="3"/>
    <n v="80"/>
    <n v="0"/>
    <n v="21"/>
    <n v="3"/>
    <n v="2"/>
    <n v="6"/>
    <n v="0"/>
    <n v="1"/>
    <n v="3"/>
  </r>
  <r>
    <n v="23"/>
    <x v="0"/>
    <x v="1"/>
    <n v="638"/>
    <x v="0"/>
    <n v="9"/>
    <n v="3"/>
    <s v="Marketing"/>
    <n v="1"/>
    <n v="2023"/>
    <n v="4"/>
    <x v="1"/>
    <n v="33"/>
    <x v="0"/>
    <n v="1"/>
    <x v="6"/>
    <n v="1"/>
    <x v="1"/>
    <n v="1790"/>
    <n v="26956"/>
    <n v="1"/>
    <s v="Y"/>
    <s v="No"/>
    <n v="19"/>
    <x v="0"/>
    <n v="1"/>
    <n v="80"/>
    <n v="1"/>
    <n v="1"/>
    <n v="3"/>
    <n v="2"/>
    <n v="1"/>
    <n v="0"/>
    <n v="1"/>
    <n v="0"/>
  </r>
  <r>
    <n v="36"/>
    <x v="1"/>
    <x v="0"/>
    <n v="557"/>
    <x v="0"/>
    <n v="3"/>
    <n v="3"/>
    <s v="Medical"/>
    <n v="1"/>
    <n v="2024"/>
    <n v="1"/>
    <x v="0"/>
    <n v="94"/>
    <x v="1"/>
    <n v="3"/>
    <x v="0"/>
    <n v="4"/>
    <x v="1"/>
    <n v="7644"/>
    <n v="12695"/>
    <n v="0"/>
    <s v="Y"/>
    <s v="No"/>
    <n v="19"/>
    <x v="0"/>
    <n v="3"/>
    <n v="80"/>
    <n v="2"/>
    <n v="10"/>
    <n v="2"/>
    <n v="3"/>
    <n v="9"/>
    <n v="7"/>
    <n v="3"/>
    <n v="4"/>
  </r>
  <r>
    <n v="36"/>
    <x v="1"/>
    <x v="1"/>
    <n v="688"/>
    <x v="1"/>
    <n v="4"/>
    <n v="2"/>
    <s v="Life Sciences"/>
    <n v="1"/>
    <n v="2025"/>
    <n v="4"/>
    <x v="0"/>
    <n v="97"/>
    <x v="0"/>
    <n v="2"/>
    <x v="3"/>
    <n v="2"/>
    <x v="2"/>
    <n v="5131"/>
    <n v="9192"/>
    <n v="7"/>
    <s v="Y"/>
    <s v="No"/>
    <n v="13"/>
    <x v="0"/>
    <n v="2"/>
    <n v="80"/>
    <n v="3"/>
    <n v="18"/>
    <n v="3"/>
    <n v="3"/>
    <n v="4"/>
    <n v="2"/>
    <n v="0"/>
    <n v="2"/>
  </r>
  <r>
    <n v="56"/>
    <x v="1"/>
    <x v="2"/>
    <n v="667"/>
    <x v="1"/>
    <n v="1"/>
    <n v="4"/>
    <s v="Life Sciences"/>
    <n v="1"/>
    <n v="2026"/>
    <n v="3"/>
    <x v="1"/>
    <n v="57"/>
    <x v="0"/>
    <n v="2"/>
    <x v="4"/>
    <n v="3"/>
    <x v="2"/>
    <n v="6306"/>
    <n v="26236"/>
    <n v="1"/>
    <s v="Y"/>
    <s v="No"/>
    <n v="21"/>
    <x v="1"/>
    <n v="1"/>
    <n v="80"/>
    <n v="1"/>
    <n v="13"/>
    <n v="2"/>
    <n v="2"/>
    <n v="13"/>
    <n v="12"/>
    <n v="1"/>
    <n v="9"/>
  </r>
  <r>
    <n v="29"/>
    <x v="0"/>
    <x v="0"/>
    <n v="1092"/>
    <x v="1"/>
    <n v="1"/>
    <n v="4"/>
    <s v="Medical"/>
    <n v="1"/>
    <n v="2027"/>
    <n v="1"/>
    <x v="1"/>
    <n v="36"/>
    <x v="0"/>
    <n v="1"/>
    <x v="1"/>
    <n v="4"/>
    <x v="1"/>
    <n v="4787"/>
    <n v="26124"/>
    <n v="9"/>
    <s v="Y"/>
    <s v="Yes"/>
    <n v="14"/>
    <x v="0"/>
    <n v="2"/>
    <n v="80"/>
    <n v="3"/>
    <n v="4"/>
    <n v="3"/>
    <n v="4"/>
    <n v="2"/>
    <n v="2"/>
    <n v="2"/>
    <n v="2"/>
  </r>
  <r>
    <n v="42"/>
    <x v="1"/>
    <x v="0"/>
    <n v="300"/>
    <x v="1"/>
    <n v="2"/>
    <n v="3"/>
    <s v="Life Sciences"/>
    <n v="1"/>
    <n v="2031"/>
    <n v="1"/>
    <x v="1"/>
    <n v="56"/>
    <x v="0"/>
    <n v="5"/>
    <x v="5"/>
    <n v="3"/>
    <x v="1"/>
    <n v="18880"/>
    <n v="17312"/>
    <n v="5"/>
    <s v="Y"/>
    <s v="No"/>
    <n v="11"/>
    <x v="0"/>
    <n v="1"/>
    <n v="80"/>
    <n v="0"/>
    <n v="24"/>
    <n v="2"/>
    <n v="2"/>
    <n v="22"/>
    <n v="6"/>
    <n v="4"/>
    <n v="14"/>
  </r>
  <r>
    <n v="56"/>
    <x v="0"/>
    <x v="0"/>
    <n v="310"/>
    <x v="1"/>
    <n v="7"/>
    <n v="2"/>
    <s v="Technical Degree"/>
    <n v="1"/>
    <n v="2032"/>
    <n v="4"/>
    <x v="1"/>
    <n v="72"/>
    <x v="0"/>
    <n v="1"/>
    <x v="2"/>
    <n v="3"/>
    <x v="1"/>
    <n v="2339"/>
    <n v="3666"/>
    <n v="8"/>
    <s v="Y"/>
    <s v="No"/>
    <n v="11"/>
    <x v="0"/>
    <n v="4"/>
    <n v="80"/>
    <n v="1"/>
    <n v="14"/>
    <n v="4"/>
    <n v="1"/>
    <n v="10"/>
    <n v="9"/>
    <n v="9"/>
    <n v="8"/>
  </r>
  <r>
    <n v="41"/>
    <x v="1"/>
    <x v="0"/>
    <n v="582"/>
    <x v="1"/>
    <n v="28"/>
    <n v="4"/>
    <s v="Life Sciences"/>
    <n v="1"/>
    <n v="2034"/>
    <n v="1"/>
    <x v="0"/>
    <n v="60"/>
    <x v="1"/>
    <n v="4"/>
    <x v="3"/>
    <n v="2"/>
    <x v="1"/>
    <n v="13570"/>
    <n v="5640"/>
    <n v="0"/>
    <s v="Y"/>
    <s v="No"/>
    <n v="23"/>
    <x v="1"/>
    <n v="3"/>
    <n v="80"/>
    <n v="1"/>
    <n v="21"/>
    <n v="3"/>
    <n v="3"/>
    <n v="20"/>
    <n v="7"/>
    <n v="0"/>
    <n v="10"/>
  </r>
  <r>
    <n v="34"/>
    <x v="1"/>
    <x v="0"/>
    <n v="704"/>
    <x v="0"/>
    <n v="28"/>
    <n v="3"/>
    <s v="Marketing"/>
    <n v="1"/>
    <n v="2035"/>
    <n v="4"/>
    <x v="0"/>
    <n v="95"/>
    <x v="1"/>
    <n v="2"/>
    <x v="0"/>
    <n v="3"/>
    <x v="1"/>
    <n v="6712"/>
    <n v="8978"/>
    <n v="1"/>
    <s v="Y"/>
    <s v="No"/>
    <n v="21"/>
    <x v="1"/>
    <n v="4"/>
    <n v="80"/>
    <n v="2"/>
    <n v="8"/>
    <n v="2"/>
    <n v="3"/>
    <n v="8"/>
    <n v="7"/>
    <n v="1"/>
    <n v="7"/>
  </r>
  <r>
    <n v="36"/>
    <x v="1"/>
    <x v="2"/>
    <n v="301"/>
    <x v="0"/>
    <n v="15"/>
    <n v="4"/>
    <s v="Marketing"/>
    <n v="1"/>
    <n v="2036"/>
    <n v="4"/>
    <x v="1"/>
    <n v="88"/>
    <x v="3"/>
    <n v="2"/>
    <x v="0"/>
    <n v="4"/>
    <x v="2"/>
    <n v="5406"/>
    <n v="10436"/>
    <n v="1"/>
    <s v="Y"/>
    <s v="No"/>
    <n v="24"/>
    <x v="1"/>
    <n v="1"/>
    <n v="80"/>
    <n v="1"/>
    <n v="15"/>
    <n v="4"/>
    <n v="2"/>
    <n v="15"/>
    <n v="12"/>
    <n v="11"/>
    <n v="11"/>
  </r>
  <r>
    <n v="41"/>
    <x v="1"/>
    <x v="0"/>
    <n v="930"/>
    <x v="0"/>
    <n v="3"/>
    <n v="3"/>
    <s v="Life Sciences"/>
    <n v="1"/>
    <n v="2037"/>
    <n v="3"/>
    <x v="1"/>
    <n v="57"/>
    <x v="1"/>
    <n v="2"/>
    <x v="0"/>
    <n v="2"/>
    <x v="2"/>
    <n v="8938"/>
    <n v="12227"/>
    <n v="2"/>
    <s v="Y"/>
    <s v="No"/>
    <n v="11"/>
    <x v="0"/>
    <n v="3"/>
    <n v="80"/>
    <n v="1"/>
    <n v="14"/>
    <n v="5"/>
    <n v="3"/>
    <n v="5"/>
    <n v="4"/>
    <n v="0"/>
    <n v="4"/>
  </r>
  <r>
    <n v="32"/>
    <x v="1"/>
    <x v="0"/>
    <n v="529"/>
    <x v="1"/>
    <n v="2"/>
    <n v="3"/>
    <s v="Technical Degree"/>
    <n v="1"/>
    <n v="2038"/>
    <n v="4"/>
    <x v="1"/>
    <n v="78"/>
    <x v="0"/>
    <n v="1"/>
    <x v="1"/>
    <n v="1"/>
    <x v="0"/>
    <n v="2439"/>
    <n v="11288"/>
    <n v="1"/>
    <s v="Y"/>
    <s v="No"/>
    <n v="14"/>
    <x v="0"/>
    <n v="4"/>
    <n v="80"/>
    <n v="0"/>
    <n v="4"/>
    <n v="4"/>
    <n v="3"/>
    <n v="4"/>
    <n v="2"/>
    <n v="1"/>
    <n v="2"/>
  </r>
  <r>
    <n v="35"/>
    <x v="1"/>
    <x v="0"/>
    <n v="1146"/>
    <x v="2"/>
    <n v="26"/>
    <n v="4"/>
    <s v="Life Sciences"/>
    <n v="1"/>
    <n v="2040"/>
    <n v="3"/>
    <x v="0"/>
    <n v="31"/>
    <x v="0"/>
    <n v="3"/>
    <x v="8"/>
    <n v="4"/>
    <x v="0"/>
    <n v="8837"/>
    <n v="16642"/>
    <n v="1"/>
    <s v="Y"/>
    <s v="Yes"/>
    <n v="16"/>
    <x v="0"/>
    <n v="3"/>
    <n v="80"/>
    <n v="0"/>
    <n v="9"/>
    <n v="2"/>
    <n v="3"/>
    <n v="9"/>
    <n v="0"/>
    <n v="1"/>
    <n v="7"/>
  </r>
  <r>
    <n v="38"/>
    <x v="1"/>
    <x v="0"/>
    <n v="345"/>
    <x v="0"/>
    <n v="10"/>
    <n v="2"/>
    <s v="Life Sciences"/>
    <n v="1"/>
    <n v="2041"/>
    <n v="1"/>
    <x v="0"/>
    <n v="100"/>
    <x v="0"/>
    <n v="2"/>
    <x v="0"/>
    <n v="4"/>
    <x v="1"/>
    <n v="5343"/>
    <n v="5982"/>
    <n v="1"/>
    <s v="Y"/>
    <s v="No"/>
    <n v="11"/>
    <x v="0"/>
    <n v="3"/>
    <n v="80"/>
    <n v="1"/>
    <n v="10"/>
    <n v="1"/>
    <n v="3"/>
    <n v="10"/>
    <n v="7"/>
    <n v="1"/>
    <n v="9"/>
  </r>
  <r>
    <n v="50"/>
    <x v="0"/>
    <x v="1"/>
    <n v="878"/>
    <x v="0"/>
    <n v="1"/>
    <n v="4"/>
    <s v="Life Sciences"/>
    <n v="1"/>
    <n v="2044"/>
    <n v="2"/>
    <x v="1"/>
    <n v="94"/>
    <x v="0"/>
    <n v="2"/>
    <x v="0"/>
    <n v="3"/>
    <x v="2"/>
    <n v="6728"/>
    <n v="14255"/>
    <n v="7"/>
    <s v="Y"/>
    <s v="No"/>
    <n v="12"/>
    <x v="0"/>
    <n v="4"/>
    <n v="80"/>
    <n v="2"/>
    <n v="12"/>
    <n v="3"/>
    <n v="3"/>
    <n v="6"/>
    <n v="3"/>
    <n v="0"/>
    <n v="1"/>
  </r>
  <r>
    <n v="36"/>
    <x v="1"/>
    <x v="0"/>
    <n v="1120"/>
    <x v="0"/>
    <n v="11"/>
    <n v="4"/>
    <s v="Marketing"/>
    <n v="1"/>
    <n v="2045"/>
    <n v="2"/>
    <x v="0"/>
    <n v="100"/>
    <x v="1"/>
    <n v="2"/>
    <x v="0"/>
    <n v="4"/>
    <x v="1"/>
    <n v="6652"/>
    <n v="14369"/>
    <n v="4"/>
    <s v="Y"/>
    <s v="No"/>
    <n v="13"/>
    <x v="0"/>
    <n v="1"/>
    <n v="80"/>
    <n v="1"/>
    <n v="8"/>
    <n v="2"/>
    <n v="2"/>
    <n v="6"/>
    <n v="3"/>
    <n v="0"/>
    <n v="0"/>
  </r>
  <r>
    <n v="45"/>
    <x v="1"/>
    <x v="0"/>
    <n v="374"/>
    <x v="0"/>
    <n v="20"/>
    <n v="3"/>
    <s v="Life Sciences"/>
    <n v="1"/>
    <n v="2046"/>
    <n v="4"/>
    <x v="0"/>
    <n v="50"/>
    <x v="0"/>
    <n v="2"/>
    <x v="0"/>
    <n v="3"/>
    <x v="0"/>
    <n v="4850"/>
    <n v="23333"/>
    <n v="8"/>
    <s v="Y"/>
    <s v="No"/>
    <n v="15"/>
    <x v="0"/>
    <n v="3"/>
    <n v="80"/>
    <n v="0"/>
    <n v="8"/>
    <n v="3"/>
    <n v="3"/>
    <n v="5"/>
    <n v="3"/>
    <n v="0"/>
    <n v="1"/>
  </r>
  <r>
    <n v="40"/>
    <x v="1"/>
    <x v="0"/>
    <n v="1322"/>
    <x v="1"/>
    <n v="2"/>
    <n v="4"/>
    <s v="Life Sciences"/>
    <n v="1"/>
    <n v="2048"/>
    <n v="3"/>
    <x v="1"/>
    <n v="52"/>
    <x v="1"/>
    <n v="1"/>
    <x v="1"/>
    <n v="3"/>
    <x v="0"/>
    <n v="2809"/>
    <n v="2725"/>
    <n v="2"/>
    <s v="Y"/>
    <s v="No"/>
    <n v="14"/>
    <x v="0"/>
    <n v="4"/>
    <n v="80"/>
    <n v="0"/>
    <n v="8"/>
    <n v="2"/>
    <n v="3"/>
    <n v="2"/>
    <n v="2"/>
    <n v="2"/>
    <n v="2"/>
  </r>
  <r>
    <n v="35"/>
    <x v="1"/>
    <x v="1"/>
    <n v="1199"/>
    <x v="1"/>
    <n v="18"/>
    <n v="4"/>
    <s v="Life Sciences"/>
    <n v="1"/>
    <n v="2049"/>
    <n v="3"/>
    <x v="1"/>
    <n v="80"/>
    <x v="0"/>
    <n v="2"/>
    <x v="4"/>
    <n v="3"/>
    <x v="1"/>
    <n v="5689"/>
    <n v="24594"/>
    <n v="1"/>
    <s v="Y"/>
    <s v="Yes"/>
    <n v="14"/>
    <x v="0"/>
    <n v="4"/>
    <n v="80"/>
    <n v="2"/>
    <n v="10"/>
    <n v="2"/>
    <n v="4"/>
    <n v="10"/>
    <n v="2"/>
    <n v="0"/>
    <n v="2"/>
  </r>
  <r>
    <n v="40"/>
    <x v="1"/>
    <x v="0"/>
    <n v="1194"/>
    <x v="1"/>
    <n v="2"/>
    <n v="4"/>
    <s v="Medical"/>
    <n v="1"/>
    <n v="2051"/>
    <n v="3"/>
    <x v="0"/>
    <n v="98"/>
    <x v="0"/>
    <n v="1"/>
    <x v="1"/>
    <n v="3"/>
    <x v="1"/>
    <n v="2001"/>
    <n v="12549"/>
    <n v="2"/>
    <s v="Y"/>
    <s v="No"/>
    <n v="14"/>
    <x v="0"/>
    <n v="2"/>
    <n v="80"/>
    <n v="3"/>
    <n v="20"/>
    <n v="2"/>
    <n v="3"/>
    <n v="5"/>
    <n v="3"/>
    <n v="0"/>
    <n v="2"/>
  </r>
  <r>
    <n v="35"/>
    <x v="1"/>
    <x v="0"/>
    <n v="287"/>
    <x v="1"/>
    <n v="1"/>
    <n v="4"/>
    <s v="Life Sciences"/>
    <n v="1"/>
    <n v="2052"/>
    <n v="3"/>
    <x v="0"/>
    <n v="62"/>
    <x v="3"/>
    <n v="1"/>
    <x v="1"/>
    <n v="4"/>
    <x v="1"/>
    <n v="2977"/>
    <n v="8952"/>
    <n v="1"/>
    <s v="Y"/>
    <s v="No"/>
    <n v="12"/>
    <x v="0"/>
    <n v="4"/>
    <n v="80"/>
    <n v="1"/>
    <n v="4"/>
    <n v="5"/>
    <n v="3"/>
    <n v="4"/>
    <n v="3"/>
    <n v="1"/>
    <n v="1"/>
  </r>
  <r>
    <n v="29"/>
    <x v="1"/>
    <x v="0"/>
    <n v="1378"/>
    <x v="1"/>
    <n v="13"/>
    <n v="2"/>
    <s v="Other"/>
    <n v="1"/>
    <n v="2053"/>
    <n v="4"/>
    <x v="1"/>
    <n v="46"/>
    <x v="1"/>
    <n v="2"/>
    <x v="2"/>
    <n v="2"/>
    <x v="1"/>
    <n v="4025"/>
    <n v="23679"/>
    <n v="4"/>
    <s v="Y"/>
    <s v="Yes"/>
    <n v="13"/>
    <x v="0"/>
    <n v="1"/>
    <n v="80"/>
    <n v="1"/>
    <n v="10"/>
    <n v="2"/>
    <n v="3"/>
    <n v="4"/>
    <n v="3"/>
    <n v="0"/>
    <n v="3"/>
  </r>
  <r>
    <n v="29"/>
    <x v="1"/>
    <x v="0"/>
    <n v="468"/>
    <x v="1"/>
    <n v="28"/>
    <n v="4"/>
    <s v="Medical"/>
    <n v="1"/>
    <n v="2054"/>
    <n v="4"/>
    <x v="0"/>
    <n v="73"/>
    <x v="1"/>
    <n v="1"/>
    <x v="1"/>
    <n v="1"/>
    <x v="0"/>
    <n v="3785"/>
    <n v="8489"/>
    <n v="1"/>
    <s v="Y"/>
    <s v="No"/>
    <n v="14"/>
    <x v="0"/>
    <n v="2"/>
    <n v="80"/>
    <n v="0"/>
    <n v="5"/>
    <n v="3"/>
    <n v="1"/>
    <n v="5"/>
    <n v="4"/>
    <n v="0"/>
    <n v="4"/>
  </r>
  <r>
    <n v="50"/>
    <x v="0"/>
    <x v="0"/>
    <n v="410"/>
    <x v="0"/>
    <n v="28"/>
    <n v="3"/>
    <s v="Marketing"/>
    <n v="1"/>
    <n v="2055"/>
    <n v="4"/>
    <x v="1"/>
    <n v="39"/>
    <x v="1"/>
    <n v="3"/>
    <x v="0"/>
    <n v="1"/>
    <x v="2"/>
    <n v="10854"/>
    <n v="16586"/>
    <n v="4"/>
    <s v="Y"/>
    <s v="Yes"/>
    <n v="13"/>
    <x v="0"/>
    <n v="2"/>
    <n v="80"/>
    <n v="1"/>
    <n v="20"/>
    <n v="3"/>
    <n v="3"/>
    <n v="3"/>
    <n v="2"/>
    <n v="2"/>
    <n v="0"/>
  </r>
  <r>
    <n v="39"/>
    <x v="1"/>
    <x v="0"/>
    <n v="722"/>
    <x v="0"/>
    <n v="24"/>
    <n v="1"/>
    <s v="Marketing"/>
    <n v="1"/>
    <n v="2056"/>
    <n v="2"/>
    <x v="0"/>
    <n v="60"/>
    <x v="1"/>
    <n v="4"/>
    <x v="0"/>
    <n v="4"/>
    <x v="1"/>
    <n v="12031"/>
    <n v="8828"/>
    <n v="0"/>
    <s v="Y"/>
    <s v="No"/>
    <n v="11"/>
    <x v="0"/>
    <n v="1"/>
    <n v="80"/>
    <n v="1"/>
    <n v="21"/>
    <n v="2"/>
    <n v="2"/>
    <n v="20"/>
    <n v="9"/>
    <n v="9"/>
    <n v="6"/>
  </r>
  <r>
    <n v="31"/>
    <x v="1"/>
    <x v="2"/>
    <n v="325"/>
    <x v="1"/>
    <n v="5"/>
    <n v="3"/>
    <s v="Medical"/>
    <n v="1"/>
    <n v="2057"/>
    <n v="2"/>
    <x v="1"/>
    <n v="74"/>
    <x v="0"/>
    <n v="2"/>
    <x v="3"/>
    <n v="1"/>
    <x v="0"/>
    <n v="9936"/>
    <n v="3787"/>
    <n v="0"/>
    <s v="Y"/>
    <s v="No"/>
    <n v="19"/>
    <x v="0"/>
    <n v="2"/>
    <n v="80"/>
    <n v="0"/>
    <n v="10"/>
    <n v="2"/>
    <n v="3"/>
    <n v="9"/>
    <n v="4"/>
    <n v="1"/>
    <n v="7"/>
  </r>
  <r>
    <n v="26"/>
    <x v="1"/>
    <x v="0"/>
    <n v="1167"/>
    <x v="0"/>
    <n v="5"/>
    <n v="3"/>
    <s v="Other"/>
    <n v="1"/>
    <n v="2060"/>
    <n v="4"/>
    <x v="0"/>
    <n v="30"/>
    <x v="1"/>
    <n v="1"/>
    <x v="6"/>
    <n v="3"/>
    <x v="0"/>
    <n v="2966"/>
    <n v="21378"/>
    <n v="0"/>
    <s v="Y"/>
    <s v="No"/>
    <n v="18"/>
    <x v="0"/>
    <n v="4"/>
    <n v="80"/>
    <n v="0"/>
    <n v="5"/>
    <n v="2"/>
    <n v="3"/>
    <n v="4"/>
    <n v="2"/>
    <n v="0"/>
    <n v="0"/>
  </r>
  <r>
    <n v="36"/>
    <x v="1"/>
    <x v="1"/>
    <n v="884"/>
    <x v="1"/>
    <n v="23"/>
    <n v="2"/>
    <s v="Medical"/>
    <n v="1"/>
    <n v="2061"/>
    <n v="3"/>
    <x v="1"/>
    <n v="41"/>
    <x v="2"/>
    <n v="2"/>
    <x v="2"/>
    <n v="4"/>
    <x v="1"/>
    <n v="2571"/>
    <n v="12290"/>
    <n v="4"/>
    <s v="Y"/>
    <s v="No"/>
    <n v="17"/>
    <x v="0"/>
    <n v="3"/>
    <n v="80"/>
    <n v="1"/>
    <n v="17"/>
    <n v="3"/>
    <n v="3"/>
    <n v="5"/>
    <n v="2"/>
    <n v="0"/>
    <n v="3"/>
  </r>
  <r>
    <n v="39"/>
    <x v="1"/>
    <x v="0"/>
    <n v="613"/>
    <x v="1"/>
    <n v="6"/>
    <n v="1"/>
    <s v="Medical"/>
    <n v="1"/>
    <n v="2062"/>
    <n v="4"/>
    <x v="1"/>
    <n v="42"/>
    <x v="1"/>
    <n v="3"/>
    <x v="4"/>
    <n v="1"/>
    <x v="1"/>
    <n v="9991"/>
    <n v="21457"/>
    <n v="4"/>
    <s v="Y"/>
    <s v="No"/>
    <n v="15"/>
    <x v="0"/>
    <n v="1"/>
    <n v="80"/>
    <n v="1"/>
    <n v="9"/>
    <n v="5"/>
    <n v="3"/>
    <n v="7"/>
    <n v="7"/>
    <n v="1"/>
    <n v="7"/>
  </r>
  <r>
    <n v="27"/>
    <x v="1"/>
    <x v="0"/>
    <n v="155"/>
    <x v="1"/>
    <n v="4"/>
    <n v="3"/>
    <s v="Life Sciences"/>
    <n v="1"/>
    <n v="2064"/>
    <n v="2"/>
    <x v="1"/>
    <n v="87"/>
    <x v="2"/>
    <n v="2"/>
    <x v="3"/>
    <n v="2"/>
    <x v="1"/>
    <n v="6142"/>
    <n v="5174"/>
    <n v="1"/>
    <s v="Y"/>
    <s v="Yes"/>
    <n v="20"/>
    <x v="1"/>
    <n v="2"/>
    <n v="80"/>
    <n v="1"/>
    <n v="6"/>
    <n v="0"/>
    <n v="3"/>
    <n v="6"/>
    <n v="2"/>
    <n v="0"/>
    <n v="3"/>
  </r>
  <r>
    <n v="49"/>
    <x v="1"/>
    <x v="1"/>
    <n v="1023"/>
    <x v="0"/>
    <n v="2"/>
    <n v="3"/>
    <s v="Medical"/>
    <n v="1"/>
    <n v="2065"/>
    <n v="4"/>
    <x v="1"/>
    <n v="63"/>
    <x v="1"/>
    <n v="2"/>
    <x v="0"/>
    <n v="2"/>
    <x v="1"/>
    <n v="5390"/>
    <n v="13243"/>
    <n v="2"/>
    <s v="Y"/>
    <s v="No"/>
    <n v="14"/>
    <x v="0"/>
    <n v="4"/>
    <n v="80"/>
    <n v="0"/>
    <n v="17"/>
    <n v="3"/>
    <n v="2"/>
    <n v="9"/>
    <n v="6"/>
    <n v="0"/>
    <n v="8"/>
  </r>
  <r>
    <n v="34"/>
    <x v="1"/>
    <x v="0"/>
    <n v="628"/>
    <x v="1"/>
    <n v="8"/>
    <n v="3"/>
    <s v="Medical"/>
    <n v="1"/>
    <n v="2068"/>
    <n v="2"/>
    <x v="1"/>
    <n v="82"/>
    <x v="2"/>
    <n v="2"/>
    <x v="2"/>
    <n v="3"/>
    <x v="1"/>
    <n v="4404"/>
    <n v="10228"/>
    <n v="2"/>
    <s v="Y"/>
    <s v="No"/>
    <n v="12"/>
    <x v="0"/>
    <n v="1"/>
    <n v="80"/>
    <n v="0"/>
    <n v="6"/>
    <n v="3"/>
    <n v="4"/>
    <n v="4"/>
    <n v="3"/>
    <n v="1"/>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1"/>
  </r>
  <r>
    <x v="0"/>
    <n v="1"/>
  </r>
  <r>
    <x v="1"/>
    <n v="1"/>
  </r>
  <r>
    <x v="0"/>
    <n v="1"/>
  </r>
  <r>
    <x v="2"/>
    <n v="1"/>
  </r>
  <r>
    <x v="0"/>
    <n v="1"/>
  </r>
  <r>
    <x v="2"/>
    <n v="1"/>
  </r>
  <r>
    <x v="0"/>
    <n v="1"/>
  </r>
  <r>
    <x v="0"/>
    <n v="1"/>
  </r>
  <r>
    <x v="2"/>
    <n v="1"/>
  </r>
  <r>
    <x v="2"/>
    <n v="1"/>
  </r>
  <r>
    <x v="0"/>
    <n v="1"/>
  </r>
  <r>
    <x v="0"/>
    <n v="1"/>
  </r>
  <r>
    <x v="2"/>
    <n v="1"/>
  </r>
  <r>
    <x v="0"/>
    <n v="1"/>
  </r>
  <r>
    <x v="0"/>
    <n v="1"/>
  </r>
  <r>
    <x v="0"/>
    <n v="1"/>
  </r>
  <r>
    <x v="2"/>
    <n v="1"/>
  </r>
  <r>
    <x v="0"/>
    <n v="1"/>
  </r>
  <r>
    <x v="0"/>
    <n v="1"/>
  </r>
  <r>
    <x v="1"/>
    <n v="1"/>
  </r>
  <r>
    <x v="0"/>
    <n v="1"/>
  </r>
  <r>
    <x v="0"/>
    <n v="1"/>
  </r>
  <r>
    <x v="0"/>
    <n v="1"/>
  </r>
  <r>
    <x v="2"/>
    <n v="1"/>
  </r>
  <r>
    <x v="1"/>
    <n v="1"/>
  </r>
  <r>
    <x v="0"/>
    <n v="1"/>
  </r>
  <r>
    <x v="3"/>
    <n v="1"/>
  </r>
  <r>
    <x v="2"/>
    <n v="1"/>
  </r>
  <r>
    <x v="3"/>
    <n v="1"/>
  </r>
  <r>
    <x v="2"/>
    <n v="1"/>
  </r>
  <r>
    <x v="1"/>
    <n v="1"/>
  </r>
  <r>
    <x v="2"/>
    <n v="1"/>
  </r>
  <r>
    <x v="4"/>
    <n v="1"/>
  </r>
  <r>
    <x v="2"/>
    <n v="1"/>
  </r>
  <r>
    <x v="2"/>
    <n v="1"/>
  </r>
  <r>
    <x v="3"/>
    <n v="1"/>
  </r>
  <r>
    <x v="3"/>
    <n v="1"/>
  </r>
  <r>
    <x v="0"/>
    <n v="1"/>
  </r>
  <r>
    <x v="0"/>
    <n v="1"/>
  </r>
  <r>
    <x v="1"/>
    <n v="1"/>
  </r>
  <r>
    <x v="0"/>
    <n v="1"/>
  </r>
  <r>
    <x v="0"/>
    <n v="1"/>
  </r>
  <r>
    <x v="0"/>
    <n v="1"/>
  </r>
  <r>
    <x v="2"/>
    <n v="1"/>
  </r>
  <r>
    <x v="4"/>
    <n v="1"/>
  </r>
  <r>
    <x v="3"/>
    <n v="1"/>
  </r>
  <r>
    <x v="0"/>
    <n v="1"/>
  </r>
  <r>
    <x v="3"/>
    <n v="1"/>
  </r>
  <r>
    <x v="0"/>
    <n v="1"/>
  </r>
  <r>
    <x v="0"/>
    <n v="1"/>
  </r>
  <r>
    <x v="4"/>
    <n v="1"/>
  </r>
  <r>
    <x v="3"/>
    <n v="1"/>
  </r>
  <r>
    <x v="2"/>
    <n v="1"/>
  </r>
  <r>
    <x v="3"/>
    <n v="1"/>
  </r>
  <r>
    <x v="0"/>
    <n v="1"/>
  </r>
  <r>
    <x v="0"/>
    <n v="1"/>
  </r>
  <r>
    <x v="2"/>
    <n v="1"/>
  </r>
  <r>
    <x v="0"/>
    <n v="1"/>
  </r>
  <r>
    <x v="0"/>
    <n v="1"/>
  </r>
  <r>
    <x v="2"/>
    <n v="1"/>
  </r>
  <r>
    <x v="0"/>
    <n v="1"/>
  </r>
  <r>
    <x v="2"/>
    <n v="1"/>
  </r>
  <r>
    <x v="0"/>
    <n v="1"/>
  </r>
  <r>
    <x v="4"/>
    <n v="1"/>
  </r>
  <r>
    <x v="2"/>
    <n v="1"/>
  </r>
  <r>
    <x v="0"/>
    <n v="1"/>
  </r>
  <r>
    <x v="0"/>
    <n v="1"/>
  </r>
  <r>
    <x v="2"/>
    <n v="1"/>
  </r>
  <r>
    <x v="2"/>
    <n v="1"/>
  </r>
  <r>
    <x v="0"/>
    <n v="1"/>
  </r>
  <r>
    <x v="0"/>
    <n v="1"/>
  </r>
  <r>
    <x v="2"/>
    <n v="1"/>
  </r>
  <r>
    <x v="0"/>
    <n v="1"/>
  </r>
  <r>
    <x v="0"/>
    <n v="1"/>
  </r>
  <r>
    <x v="0"/>
    <n v="1"/>
  </r>
  <r>
    <x v="3"/>
    <n v="1"/>
  </r>
  <r>
    <x v="1"/>
    <n v="1"/>
  </r>
  <r>
    <x v="2"/>
    <n v="1"/>
  </r>
  <r>
    <x v="2"/>
    <n v="1"/>
  </r>
  <r>
    <x v="0"/>
    <n v="1"/>
  </r>
  <r>
    <x v="2"/>
    <n v="1"/>
  </r>
  <r>
    <x v="0"/>
    <n v="1"/>
  </r>
  <r>
    <x v="2"/>
    <n v="1"/>
  </r>
  <r>
    <x v="2"/>
    <n v="1"/>
  </r>
  <r>
    <x v="0"/>
    <n v="1"/>
  </r>
  <r>
    <x v="4"/>
    <n v="1"/>
  </r>
  <r>
    <x v="0"/>
    <n v="1"/>
  </r>
  <r>
    <x v="0"/>
    <n v="1"/>
  </r>
  <r>
    <x v="2"/>
    <n v="1"/>
  </r>
  <r>
    <x v="0"/>
    <n v="1"/>
  </r>
  <r>
    <x v="3"/>
    <n v="1"/>
  </r>
  <r>
    <x v="2"/>
    <n v="1"/>
  </r>
  <r>
    <x v="2"/>
    <n v="1"/>
  </r>
  <r>
    <x v="2"/>
    <n v="1"/>
  </r>
  <r>
    <x v="4"/>
    <n v="1"/>
  </r>
  <r>
    <x v="1"/>
    <n v="1"/>
  </r>
  <r>
    <x v="2"/>
    <n v="1"/>
  </r>
  <r>
    <x v="2"/>
    <n v="1"/>
  </r>
  <r>
    <x v="2"/>
    <n v="1"/>
  </r>
  <r>
    <x v="5"/>
    <n v="1"/>
  </r>
  <r>
    <x v="0"/>
    <n v="1"/>
  </r>
  <r>
    <x v="0"/>
    <n v="1"/>
  </r>
  <r>
    <x v="1"/>
    <n v="1"/>
  </r>
  <r>
    <x v="0"/>
    <n v="1"/>
  </r>
  <r>
    <x v="5"/>
    <n v="1"/>
  </r>
  <r>
    <x v="0"/>
    <n v="1"/>
  </r>
  <r>
    <x v="3"/>
    <n v="1"/>
  </r>
  <r>
    <x v="2"/>
    <n v="1"/>
  </r>
  <r>
    <x v="2"/>
    <n v="1"/>
  </r>
  <r>
    <x v="2"/>
    <n v="1"/>
  </r>
  <r>
    <x v="0"/>
    <n v="1"/>
  </r>
  <r>
    <x v="5"/>
    <n v="1"/>
  </r>
  <r>
    <x v="0"/>
    <n v="1"/>
  </r>
  <r>
    <x v="0"/>
    <n v="1"/>
  </r>
  <r>
    <x v="0"/>
    <n v="1"/>
  </r>
  <r>
    <x v="2"/>
    <n v="1"/>
  </r>
  <r>
    <x v="4"/>
    <n v="1"/>
  </r>
  <r>
    <x v="0"/>
    <n v="1"/>
  </r>
  <r>
    <x v="0"/>
    <n v="1"/>
  </r>
  <r>
    <x v="0"/>
    <n v="1"/>
  </r>
  <r>
    <x v="3"/>
    <n v="1"/>
  </r>
  <r>
    <x v="0"/>
    <n v="1"/>
  </r>
  <r>
    <x v="0"/>
    <n v="1"/>
  </r>
  <r>
    <x v="0"/>
    <n v="1"/>
  </r>
  <r>
    <x v="1"/>
    <n v="1"/>
  </r>
  <r>
    <x v="2"/>
    <n v="1"/>
  </r>
  <r>
    <x v="3"/>
    <n v="1"/>
  </r>
  <r>
    <x v="4"/>
    <n v="1"/>
  </r>
  <r>
    <x v="2"/>
    <n v="1"/>
  </r>
  <r>
    <x v="2"/>
    <n v="1"/>
  </r>
  <r>
    <x v="3"/>
    <n v="1"/>
  </r>
  <r>
    <x v="0"/>
    <n v="1"/>
  </r>
  <r>
    <x v="0"/>
    <n v="1"/>
  </r>
  <r>
    <x v="0"/>
    <n v="1"/>
  </r>
  <r>
    <x v="2"/>
    <n v="1"/>
  </r>
  <r>
    <x v="0"/>
    <n v="1"/>
  </r>
  <r>
    <x v="0"/>
    <n v="1"/>
  </r>
  <r>
    <x v="0"/>
    <n v="1"/>
  </r>
  <r>
    <x v="5"/>
    <n v="1"/>
  </r>
  <r>
    <x v="2"/>
    <n v="1"/>
  </r>
  <r>
    <x v="2"/>
    <n v="1"/>
  </r>
  <r>
    <x v="4"/>
    <n v="1"/>
  </r>
  <r>
    <x v="0"/>
    <n v="1"/>
  </r>
  <r>
    <x v="2"/>
    <n v="1"/>
  </r>
  <r>
    <x v="4"/>
    <n v="1"/>
  </r>
  <r>
    <x v="2"/>
    <n v="1"/>
  </r>
  <r>
    <x v="0"/>
    <n v="1"/>
  </r>
  <r>
    <x v="0"/>
    <n v="1"/>
  </r>
  <r>
    <x v="2"/>
    <n v="1"/>
  </r>
  <r>
    <x v="2"/>
    <n v="1"/>
  </r>
  <r>
    <x v="3"/>
    <n v="1"/>
  </r>
  <r>
    <x v="3"/>
    <n v="1"/>
  </r>
  <r>
    <x v="0"/>
    <n v="1"/>
  </r>
  <r>
    <x v="3"/>
    <n v="1"/>
  </r>
  <r>
    <x v="4"/>
    <n v="1"/>
  </r>
  <r>
    <x v="2"/>
    <n v="1"/>
  </r>
  <r>
    <x v="2"/>
    <n v="1"/>
  </r>
  <r>
    <x v="3"/>
    <n v="1"/>
  </r>
  <r>
    <x v="3"/>
    <n v="1"/>
  </r>
  <r>
    <x v="2"/>
    <n v="1"/>
  </r>
  <r>
    <x v="2"/>
    <n v="1"/>
  </r>
  <r>
    <x v="2"/>
    <n v="1"/>
  </r>
  <r>
    <x v="0"/>
    <n v="1"/>
  </r>
  <r>
    <x v="2"/>
    <n v="1"/>
  </r>
  <r>
    <x v="0"/>
    <n v="1"/>
  </r>
  <r>
    <x v="0"/>
    <n v="1"/>
  </r>
  <r>
    <x v="0"/>
    <n v="1"/>
  </r>
  <r>
    <x v="0"/>
    <n v="1"/>
  </r>
  <r>
    <x v="0"/>
    <n v="1"/>
  </r>
  <r>
    <x v="4"/>
    <n v="1"/>
  </r>
  <r>
    <x v="4"/>
    <n v="1"/>
  </r>
  <r>
    <x v="2"/>
    <n v="1"/>
  </r>
  <r>
    <x v="2"/>
    <n v="1"/>
  </r>
  <r>
    <x v="0"/>
    <n v="1"/>
  </r>
  <r>
    <x v="0"/>
    <n v="1"/>
  </r>
  <r>
    <x v="0"/>
    <n v="1"/>
  </r>
  <r>
    <x v="0"/>
    <n v="1"/>
  </r>
  <r>
    <x v="3"/>
    <n v="1"/>
  </r>
  <r>
    <x v="0"/>
    <n v="1"/>
  </r>
  <r>
    <x v="2"/>
    <n v="1"/>
  </r>
  <r>
    <x v="2"/>
    <n v="1"/>
  </r>
  <r>
    <x v="3"/>
    <n v="1"/>
  </r>
  <r>
    <x v="2"/>
    <n v="1"/>
  </r>
  <r>
    <x v="2"/>
    <n v="1"/>
  </r>
  <r>
    <x v="2"/>
    <n v="1"/>
  </r>
  <r>
    <x v="2"/>
    <n v="1"/>
  </r>
  <r>
    <x v="2"/>
    <n v="1"/>
  </r>
  <r>
    <x v="0"/>
    <n v="1"/>
  </r>
  <r>
    <x v="2"/>
    <n v="1"/>
  </r>
  <r>
    <x v="0"/>
    <n v="1"/>
  </r>
  <r>
    <x v="2"/>
    <n v="1"/>
  </r>
  <r>
    <x v="0"/>
    <n v="1"/>
  </r>
  <r>
    <x v="2"/>
    <n v="1"/>
  </r>
  <r>
    <x v="2"/>
    <n v="1"/>
  </r>
  <r>
    <x v="0"/>
    <n v="1"/>
  </r>
  <r>
    <x v="2"/>
    <n v="1"/>
  </r>
  <r>
    <x v="2"/>
    <n v="1"/>
  </r>
  <r>
    <x v="0"/>
    <n v="1"/>
  </r>
  <r>
    <x v="4"/>
    <n v="1"/>
  </r>
  <r>
    <x v="4"/>
    <n v="1"/>
  </r>
  <r>
    <x v="0"/>
    <n v="1"/>
  </r>
  <r>
    <x v="2"/>
    <n v="1"/>
  </r>
  <r>
    <x v="2"/>
    <n v="1"/>
  </r>
  <r>
    <x v="2"/>
    <n v="1"/>
  </r>
  <r>
    <x v="3"/>
    <n v="1"/>
  </r>
  <r>
    <x v="0"/>
    <n v="1"/>
  </r>
  <r>
    <x v="2"/>
    <n v="1"/>
  </r>
  <r>
    <x v="0"/>
    <n v="1"/>
  </r>
  <r>
    <x v="2"/>
    <n v="1"/>
  </r>
  <r>
    <x v="2"/>
    <n v="1"/>
  </r>
  <r>
    <x v="0"/>
    <n v="1"/>
  </r>
  <r>
    <x v="0"/>
    <n v="1"/>
  </r>
  <r>
    <x v="0"/>
    <n v="1"/>
  </r>
  <r>
    <x v="4"/>
    <n v="1"/>
  </r>
  <r>
    <x v="0"/>
    <n v="1"/>
  </r>
  <r>
    <x v="3"/>
    <n v="1"/>
  </r>
  <r>
    <x v="4"/>
    <n v="1"/>
  </r>
  <r>
    <x v="2"/>
    <n v="1"/>
  </r>
  <r>
    <x v="3"/>
    <n v="1"/>
  </r>
  <r>
    <x v="0"/>
    <n v="1"/>
  </r>
  <r>
    <x v="2"/>
    <n v="1"/>
  </r>
  <r>
    <x v="1"/>
    <n v="1"/>
  </r>
  <r>
    <x v="0"/>
    <n v="1"/>
  </r>
  <r>
    <x v="2"/>
    <n v="1"/>
  </r>
  <r>
    <x v="0"/>
    <n v="1"/>
  </r>
  <r>
    <x v="3"/>
    <n v="1"/>
  </r>
  <r>
    <x v="2"/>
    <n v="1"/>
  </r>
  <r>
    <x v="3"/>
    <n v="1"/>
  </r>
  <r>
    <x v="2"/>
    <n v="1"/>
  </r>
  <r>
    <x v="0"/>
    <n v="1"/>
  </r>
  <r>
    <x v="4"/>
    <n v="1"/>
  </r>
  <r>
    <x v="2"/>
    <n v="1"/>
  </r>
  <r>
    <x v="2"/>
    <n v="1"/>
  </r>
  <r>
    <x v="2"/>
    <n v="1"/>
  </r>
  <r>
    <x v="3"/>
    <n v="1"/>
  </r>
  <r>
    <x v="0"/>
    <n v="1"/>
  </r>
  <r>
    <x v="0"/>
    <n v="1"/>
  </r>
  <r>
    <x v="0"/>
    <n v="1"/>
  </r>
  <r>
    <x v="0"/>
    <n v="1"/>
  </r>
  <r>
    <x v="2"/>
    <n v="1"/>
  </r>
  <r>
    <x v="3"/>
    <n v="1"/>
  </r>
  <r>
    <x v="0"/>
    <n v="1"/>
  </r>
  <r>
    <x v="4"/>
    <n v="1"/>
  </r>
  <r>
    <x v="1"/>
    <n v="1"/>
  </r>
  <r>
    <x v="2"/>
    <n v="1"/>
  </r>
  <r>
    <x v="0"/>
    <n v="1"/>
  </r>
  <r>
    <x v="0"/>
    <n v="1"/>
  </r>
  <r>
    <x v="2"/>
    <n v="1"/>
  </r>
  <r>
    <x v="0"/>
    <n v="1"/>
  </r>
  <r>
    <x v="2"/>
    <n v="1"/>
  </r>
  <r>
    <x v="4"/>
    <n v="1"/>
  </r>
  <r>
    <x v="0"/>
    <n v="1"/>
  </r>
  <r>
    <x v="0"/>
    <n v="1"/>
  </r>
  <r>
    <x v="3"/>
    <n v="1"/>
  </r>
  <r>
    <x v="0"/>
    <n v="1"/>
  </r>
  <r>
    <x v="2"/>
    <n v="1"/>
  </r>
  <r>
    <x v="2"/>
    <n v="1"/>
  </r>
  <r>
    <x v="0"/>
    <n v="1"/>
  </r>
  <r>
    <x v="2"/>
    <n v="1"/>
  </r>
  <r>
    <x v="0"/>
    <n v="1"/>
  </r>
  <r>
    <x v="0"/>
    <n v="1"/>
  </r>
  <r>
    <x v="4"/>
    <n v="1"/>
  </r>
  <r>
    <x v="4"/>
    <n v="1"/>
  </r>
  <r>
    <x v="0"/>
    <n v="1"/>
  </r>
  <r>
    <x v="2"/>
    <n v="1"/>
  </r>
  <r>
    <x v="2"/>
    <n v="1"/>
  </r>
  <r>
    <x v="0"/>
    <n v="1"/>
  </r>
  <r>
    <x v="2"/>
    <n v="1"/>
  </r>
  <r>
    <x v="0"/>
    <n v="1"/>
  </r>
  <r>
    <x v="2"/>
    <n v="1"/>
  </r>
  <r>
    <x v="0"/>
    <n v="1"/>
  </r>
  <r>
    <x v="2"/>
    <n v="1"/>
  </r>
  <r>
    <x v="2"/>
    <n v="1"/>
  </r>
  <r>
    <x v="2"/>
    <n v="1"/>
  </r>
  <r>
    <x v="2"/>
    <n v="1"/>
  </r>
  <r>
    <x v="0"/>
    <n v="1"/>
  </r>
  <r>
    <x v="2"/>
    <n v="1"/>
  </r>
  <r>
    <x v="0"/>
    <n v="1"/>
  </r>
  <r>
    <x v="0"/>
    <n v="1"/>
  </r>
  <r>
    <x v="2"/>
    <n v="1"/>
  </r>
  <r>
    <x v="0"/>
    <n v="1"/>
  </r>
  <r>
    <x v="0"/>
    <n v="1"/>
  </r>
  <r>
    <x v="4"/>
    <n v="1"/>
  </r>
  <r>
    <x v="2"/>
    <n v="1"/>
  </r>
  <r>
    <x v="0"/>
    <n v="1"/>
  </r>
  <r>
    <x v="0"/>
    <n v="1"/>
  </r>
  <r>
    <x v="0"/>
    <n v="1"/>
  </r>
  <r>
    <x v="2"/>
    <n v="1"/>
  </r>
  <r>
    <x v="0"/>
    <n v="1"/>
  </r>
  <r>
    <x v="0"/>
    <n v="1"/>
  </r>
  <r>
    <x v="4"/>
    <n v="1"/>
  </r>
  <r>
    <x v="3"/>
    <n v="1"/>
  </r>
  <r>
    <x v="3"/>
    <n v="1"/>
  </r>
  <r>
    <x v="2"/>
    <n v="1"/>
  </r>
  <r>
    <x v="3"/>
    <n v="1"/>
  </r>
  <r>
    <x v="0"/>
    <n v="1"/>
  </r>
  <r>
    <x v="3"/>
    <n v="1"/>
  </r>
  <r>
    <x v="0"/>
    <n v="1"/>
  </r>
  <r>
    <x v="2"/>
    <n v="1"/>
  </r>
  <r>
    <x v="0"/>
    <n v="1"/>
  </r>
  <r>
    <x v="2"/>
    <n v="1"/>
  </r>
  <r>
    <x v="2"/>
    <n v="1"/>
  </r>
  <r>
    <x v="4"/>
    <n v="1"/>
  </r>
  <r>
    <x v="2"/>
    <n v="1"/>
  </r>
  <r>
    <x v="0"/>
    <n v="1"/>
  </r>
  <r>
    <x v="0"/>
    <n v="1"/>
  </r>
  <r>
    <x v="0"/>
    <n v="1"/>
  </r>
  <r>
    <x v="0"/>
    <n v="1"/>
  </r>
  <r>
    <x v="4"/>
    <n v="1"/>
  </r>
  <r>
    <x v="5"/>
    <n v="1"/>
  </r>
  <r>
    <x v="0"/>
    <n v="1"/>
  </r>
  <r>
    <x v="0"/>
    <n v="1"/>
  </r>
  <r>
    <x v="0"/>
    <n v="1"/>
  </r>
  <r>
    <x v="2"/>
    <n v="1"/>
  </r>
  <r>
    <x v="0"/>
    <n v="1"/>
  </r>
  <r>
    <x v="4"/>
    <n v="1"/>
  </r>
  <r>
    <x v="2"/>
    <n v="1"/>
  </r>
  <r>
    <x v="0"/>
    <n v="1"/>
  </r>
  <r>
    <x v="4"/>
    <n v="1"/>
  </r>
  <r>
    <x v="0"/>
    <n v="1"/>
  </r>
  <r>
    <x v="3"/>
    <n v="1"/>
  </r>
  <r>
    <x v="2"/>
    <n v="1"/>
  </r>
  <r>
    <x v="2"/>
    <n v="1"/>
  </r>
  <r>
    <x v="2"/>
    <n v="1"/>
  </r>
  <r>
    <x v="0"/>
    <n v="1"/>
  </r>
  <r>
    <x v="2"/>
    <n v="1"/>
  </r>
  <r>
    <x v="2"/>
    <n v="1"/>
  </r>
  <r>
    <x v="3"/>
    <n v="1"/>
  </r>
  <r>
    <x v="0"/>
    <n v="1"/>
  </r>
  <r>
    <x v="0"/>
    <n v="1"/>
  </r>
  <r>
    <x v="3"/>
    <n v="1"/>
  </r>
  <r>
    <x v="0"/>
    <n v="1"/>
  </r>
  <r>
    <x v="0"/>
    <n v="1"/>
  </r>
  <r>
    <x v="1"/>
    <n v="1"/>
  </r>
  <r>
    <x v="2"/>
    <n v="1"/>
  </r>
  <r>
    <x v="1"/>
    <n v="1"/>
  </r>
  <r>
    <x v="1"/>
    <n v="1"/>
  </r>
  <r>
    <x v="3"/>
    <n v="1"/>
  </r>
  <r>
    <x v="3"/>
    <n v="1"/>
  </r>
  <r>
    <x v="2"/>
    <n v="1"/>
  </r>
  <r>
    <x v="0"/>
    <n v="1"/>
  </r>
  <r>
    <x v="2"/>
    <n v="1"/>
  </r>
  <r>
    <x v="3"/>
    <n v="1"/>
  </r>
  <r>
    <x v="4"/>
    <n v="1"/>
  </r>
  <r>
    <x v="0"/>
    <n v="1"/>
  </r>
  <r>
    <x v="2"/>
    <n v="1"/>
  </r>
  <r>
    <x v="2"/>
    <n v="1"/>
  </r>
  <r>
    <x v="0"/>
    <n v="1"/>
  </r>
  <r>
    <x v="0"/>
    <n v="1"/>
  </r>
  <r>
    <x v="4"/>
    <n v="1"/>
  </r>
  <r>
    <x v="2"/>
    <n v="1"/>
  </r>
  <r>
    <x v="2"/>
    <n v="1"/>
  </r>
  <r>
    <x v="2"/>
    <n v="1"/>
  </r>
  <r>
    <x v="4"/>
    <n v="1"/>
  </r>
  <r>
    <x v="0"/>
    <n v="1"/>
  </r>
  <r>
    <x v="1"/>
    <n v="1"/>
  </r>
  <r>
    <x v="4"/>
    <n v="1"/>
  </r>
  <r>
    <x v="2"/>
    <n v="1"/>
  </r>
  <r>
    <x v="2"/>
    <n v="1"/>
  </r>
  <r>
    <x v="2"/>
    <n v="1"/>
  </r>
  <r>
    <x v="0"/>
    <n v="1"/>
  </r>
  <r>
    <x v="2"/>
    <n v="1"/>
  </r>
  <r>
    <x v="3"/>
    <n v="1"/>
  </r>
  <r>
    <x v="2"/>
    <n v="1"/>
  </r>
  <r>
    <x v="2"/>
    <n v="1"/>
  </r>
  <r>
    <x v="3"/>
    <n v="1"/>
  </r>
  <r>
    <x v="4"/>
    <n v="1"/>
  </r>
  <r>
    <x v="3"/>
    <n v="1"/>
  </r>
  <r>
    <x v="0"/>
    <n v="1"/>
  </r>
  <r>
    <x v="0"/>
    <n v="1"/>
  </r>
  <r>
    <x v="0"/>
    <n v="1"/>
  </r>
  <r>
    <x v="0"/>
    <n v="1"/>
  </r>
  <r>
    <x v="2"/>
    <n v="1"/>
  </r>
  <r>
    <x v="0"/>
    <n v="1"/>
  </r>
  <r>
    <x v="1"/>
    <n v="1"/>
  </r>
  <r>
    <x v="0"/>
    <n v="1"/>
  </r>
  <r>
    <x v="0"/>
    <n v="1"/>
  </r>
  <r>
    <x v="3"/>
    <n v="1"/>
  </r>
  <r>
    <x v="0"/>
    <n v="1"/>
  </r>
  <r>
    <x v="3"/>
    <n v="1"/>
  </r>
  <r>
    <x v="4"/>
    <n v="1"/>
  </r>
  <r>
    <x v="4"/>
    <n v="1"/>
  </r>
  <r>
    <x v="2"/>
    <n v="1"/>
  </r>
  <r>
    <x v="2"/>
    <n v="1"/>
  </r>
  <r>
    <x v="4"/>
    <n v="1"/>
  </r>
  <r>
    <x v="0"/>
    <n v="1"/>
  </r>
  <r>
    <x v="3"/>
    <n v="1"/>
  </r>
  <r>
    <x v="0"/>
    <n v="1"/>
  </r>
  <r>
    <x v="0"/>
    <n v="1"/>
  </r>
  <r>
    <x v="0"/>
    <n v="1"/>
  </r>
  <r>
    <x v="2"/>
    <n v="1"/>
  </r>
  <r>
    <x v="2"/>
    <n v="1"/>
  </r>
  <r>
    <x v="3"/>
    <n v="1"/>
  </r>
  <r>
    <x v="2"/>
    <n v="1"/>
  </r>
  <r>
    <x v="2"/>
    <n v="1"/>
  </r>
  <r>
    <x v="1"/>
    <n v="1"/>
  </r>
  <r>
    <x v="0"/>
    <n v="1"/>
  </r>
  <r>
    <x v="2"/>
    <n v="1"/>
  </r>
  <r>
    <x v="0"/>
    <n v="1"/>
  </r>
  <r>
    <x v="0"/>
    <n v="1"/>
  </r>
  <r>
    <x v="0"/>
    <n v="1"/>
  </r>
  <r>
    <x v="4"/>
    <n v="1"/>
  </r>
  <r>
    <x v="3"/>
    <n v="1"/>
  </r>
  <r>
    <x v="2"/>
    <n v="1"/>
  </r>
  <r>
    <x v="2"/>
    <n v="1"/>
  </r>
  <r>
    <x v="2"/>
    <n v="1"/>
  </r>
  <r>
    <x v="0"/>
    <n v="1"/>
  </r>
  <r>
    <x v="0"/>
    <n v="1"/>
  </r>
  <r>
    <x v="0"/>
    <n v="1"/>
  </r>
  <r>
    <x v="0"/>
    <n v="1"/>
  </r>
  <r>
    <x v="0"/>
    <n v="1"/>
  </r>
  <r>
    <x v="2"/>
    <n v="1"/>
  </r>
  <r>
    <x v="4"/>
    <n v="1"/>
  </r>
  <r>
    <x v="4"/>
    <n v="1"/>
  </r>
  <r>
    <x v="3"/>
    <n v="1"/>
  </r>
  <r>
    <x v="0"/>
    <n v="1"/>
  </r>
  <r>
    <x v="0"/>
    <n v="1"/>
  </r>
  <r>
    <x v="0"/>
    <n v="1"/>
  </r>
  <r>
    <x v="0"/>
    <n v="1"/>
  </r>
  <r>
    <x v="2"/>
    <n v="1"/>
  </r>
  <r>
    <x v="4"/>
    <n v="1"/>
  </r>
  <r>
    <x v="4"/>
    <n v="1"/>
  </r>
  <r>
    <x v="1"/>
    <n v="1"/>
  </r>
  <r>
    <x v="3"/>
    <n v="1"/>
  </r>
  <r>
    <x v="0"/>
    <n v="1"/>
  </r>
  <r>
    <x v="2"/>
    <n v="1"/>
  </r>
  <r>
    <x v="3"/>
    <n v="1"/>
  </r>
  <r>
    <x v="2"/>
    <n v="1"/>
  </r>
  <r>
    <x v="0"/>
    <n v="1"/>
  </r>
  <r>
    <x v="0"/>
    <n v="1"/>
  </r>
  <r>
    <x v="0"/>
    <n v="1"/>
  </r>
  <r>
    <x v="0"/>
    <n v="1"/>
  </r>
  <r>
    <x v="3"/>
    <n v="1"/>
  </r>
  <r>
    <x v="0"/>
    <n v="1"/>
  </r>
  <r>
    <x v="2"/>
    <n v="1"/>
  </r>
  <r>
    <x v="2"/>
    <n v="1"/>
  </r>
  <r>
    <x v="3"/>
    <n v="1"/>
  </r>
  <r>
    <x v="0"/>
    <n v="1"/>
  </r>
  <r>
    <x v="0"/>
    <n v="1"/>
  </r>
  <r>
    <x v="5"/>
    <n v="1"/>
  </r>
  <r>
    <x v="1"/>
    <n v="1"/>
  </r>
  <r>
    <x v="2"/>
    <n v="1"/>
  </r>
  <r>
    <x v="4"/>
    <n v="1"/>
  </r>
  <r>
    <x v="3"/>
    <n v="1"/>
  </r>
  <r>
    <x v="0"/>
    <n v="1"/>
  </r>
  <r>
    <x v="0"/>
    <n v="1"/>
  </r>
  <r>
    <x v="3"/>
    <n v="1"/>
  </r>
  <r>
    <x v="0"/>
    <n v="1"/>
  </r>
  <r>
    <x v="0"/>
    <n v="1"/>
  </r>
  <r>
    <x v="0"/>
    <n v="1"/>
  </r>
  <r>
    <x v="2"/>
    <n v="1"/>
  </r>
  <r>
    <x v="1"/>
    <n v="1"/>
  </r>
  <r>
    <x v="0"/>
    <n v="1"/>
  </r>
  <r>
    <x v="4"/>
    <n v="1"/>
  </r>
  <r>
    <x v="2"/>
    <n v="1"/>
  </r>
  <r>
    <x v="0"/>
    <n v="1"/>
  </r>
  <r>
    <x v="3"/>
    <n v="1"/>
  </r>
  <r>
    <x v="1"/>
    <n v="1"/>
  </r>
  <r>
    <x v="1"/>
    <n v="1"/>
  </r>
  <r>
    <x v="2"/>
    <n v="1"/>
  </r>
  <r>
    <x v="2"/>
    <n v="1"/>
  </r>
  <r>
    <x v="0"/>
    <n v="1"/>
  </r>
  <r>
    <x v="4"/>
    <n v="1"/>
  </r>
  <r>
    <x v="4"/>
    <n v="1"/>
  </r>
  <r>
    <x v="2"/>
    <n v="1"/>
  </r>
  <r>
    <x v="0"/>
    <n v="1"/>
  </r>
  <r>
    <x v="2"/>
    <n v="1"/>
  </r>
  <r>
    <x v="4"/>
    <n v="1"/>
  </r>
  <r>
    <x v="1"/>
    <n v="1"/>
  </r>
  <r>
    <x v="2"/>
    <n v="1"/>
  </r>
  <r>
    <x v="2"/>
    <n v="1"/>
  </r>
  <r>
    <x v="0"/>
    <n v="1"/>
  </r>
  <r>
    <x v="0"/>
    <n v="1"/>
  </r>
  <r>
    <x v="2"/>
    <n v="1"/>
  </r>
  <r>
    <x v="3"/>
    <n v="1"/>
  </r>
  <r>
    <x v="1"/>
    <n v="1"/>
  </r>
  <r>
    <x v="2"/>
    <n v="1"/>
  </r>
  <r>
    <x v="2"/>
    <n v="1"/>
  </r>
  <r>
    <x v="0"/>
    <n v="1"/>
  </r>
  <r>
    <x v="0"/>
    <n v="1"/>
  </r>
  <r>
    <x v="0"/>
    <n v="1"/>
  </r>
  <r>
    <x v="2"/>
    <n v="1"/>
  </r>
  <r>
    <x v="1"/>
    <n v="1"/>
  </r>
  <r>
    <x v="2"/>
    <n v="1"/>
  </r>
  <r>
    <x v="2"/>
    <n v="1"/>
  </r>
  <r>
    <x v="3"/>
    <n v="1"/>
  </r>
  <r>
    <x v="0"/>
    <n v="1"/>
  </r>
  <r>
    <x v="0"/>
    <n v="1"/>
  </r>
  <r>
    <x v="1"/>
    <n v="1"/>
  </r>
  <r>
    <x v="0"/>
    <n v="1"/>
  </r>
  <r>
    <x v="2"/>
    <n v="1"/>
  </r>
  <r>
    <x v="0"/>
    <n v="1"/>
  </r>
  <r>
    <x v="0"/>
    <n v="1"/>
  </r>
  <r>
    <x v="4"/>
    <n v="1"/>
  </r>
  <r>
    <x v="3"/>
    <n v="1"/>
  </r>
  <r>
    <x v="4"/>
    <n v="1"/>
  </r>
  <r>
    <x v="1"/>
    <n v="1"/>
  </r>
  <r>
    <x v="2"/>
    <n v="1"/>
  </r>
  <r>
    <x v="3"/>
    <n v="1"/>
  </r>
  <r>
    <x v="0"/>
    <n v="1"/>
  </r>
  <r>
    <x v="2"/>
    <n v="1"/>
  </r>
  <r>
    <x v="2"/>
    <n v="1"/>
  </r>
  <r>
    <x v="0"/>
    <n v="1"/>
  </r>
  <r>
    <x v="0"/>
    <n v="1"/>
  </r>
  <r>
    <x v="0"/>
    <n v="1"/>
  </r>
  <r>
    <x v="1"/>
    <n v="1"/>
  </r>
  <r>
    <x v="2"/>
    <n v="1"/>
  </r>
  <r>
    <x v="0"/>
    <n v="1"/>
  </r>
  <r>
    <x v="0"/>
    <n v="1"/>
  </r>
  <r>
    <x v="2"/>
    <n v="1"/>
  </r>
  <r>
    <x v="2"/>
    <n v="1"/>
  </r>
  <r>
    <x v="2"/>
    <n v="1"/>
  </r>
  <r>
    <x v="2"/>
    <n v="1"/>
  </r>
  <r>
    <x v="0"/>
    <n v="1"/>
  </r>
  <r>
    <x v="0"/>
    <n v="1"/>
  </r>
  <r>
    <x v="2"/>
    <n v="1"/>
  </r>
  <r>
    <x v="0"/>
    <n v="1"/>
  </r>
  <r>
    <x v="3"/>
    <n v="1"/>
  </r>
  <r>
    <x v="0"/>
    <n v="1"/>
  </r>
  <r>
    <x v="3"/>
    <n v="1"/>
  </r>
  <r>
    <x v="2"/>
    <n v="1"/>
  </r>
  <r>
    <x v="0"/>
    <n v="1"/>
  </r>
  <r>
    <x v="2"/>
    <n v="1"/>
  </r>
  <r>
    <x v="2"/>
    <n v="1"/>
  </r>
  <r>
    <x v="0"/>
    <n v="1"/>
  </r>
  <r>
    <x v="4"/>
    <n v="1"/>
  </r>
  <r>
    <x v="3"/>
    <n v="1"/>
  </r>
  <r>
    <x v="4"/>
    <n v="1"/>
  </r>
  <r>
    <x v="0"/>
    <n v="1"/>
  </r>
  <r>
    <x v="0"/>
    <n v="1"/>
  </r>
  <r>
    <x v="0"/>
    <n v="1"/>
  </r>
  <r>
    <x v="3"/>
    <n v="1"/>
  </r>
  <r>
    <x v="0"/>
    <n v="1"/>
  </r>
  <r>
    <x v="0"/>
    <n v="1"/>
  </r>
  <r>
    <x v="5"/>
    <n v="1"/>
  </r>
  <r>
    <x v="3"/>
    <n v="1"/>
  </r>
  <r>
    <x v="0"/>
    <n v="1"/>
  </r>
  <r>
    <x v="5"/>
    <n v="1"/>
  </r>
  <r>
    <x v="3"/>
    <n v="1"/>
  </r>
  <r>
    <x v="0"/>
    <n v="1"/>
  </r>
  <r>
    <x v="0"/>
    <n v="1"/>
  </r>
  <r>
    <x v="0"/>
    <n v="1"/>
  </r>
  <r>
    <x v="2"/>
    <n v="1"/>
  </r>
  <r>
    <x v="2"/>
    <n v="1"/>
  </r>
  <r>
    <x v="3"/>
    <n v="1"/>
  </r>
  <r>
    <x v="0"/>
    <n v="1"/>
  </r>
  <r>
    <x v="2"/>
    <n v="1"/>
  </r>
  <r>
    <x v="0"/>
    <n v="1"/>
  </r>
  <r>
    <x v="2"/>
    <n v="1"/>
  </r>
  <r>
    <x v="2"/>
    <n v="1"/>
  </r>
  <r>
    <x v="5"/>
    <n v="1"/>
  </r>
  <r>
    <x v="2"/>
    <n v="1"/>
  </r>
  <r>
    <x v="2"/>
    <n v="1"/>
  </r>
  <r>
    <x v="2"/>
    <n v="1"/>
  </r>
  <r>
    <x v="3"/>
    <n v="1"/>
  </r>
  <r>
    <x v="0"/>
    <n v="1"/>
  </r>
  <r>
    <x v="0"/>
    <n v="1"/>
  </r>
  <r>
    <x v="0"/>
    <n v="1"/>
  </r>
  <r>
    <x v="2"/>
    <n v="1"/>
  </r>
  <r>
    <x v="0"/>
    <n v="1"/>
  </r>
  <r>
    <x v="3"/>
    <n v="1"/>
  </r>
  <r>
    <x v="1"/>
    <n v="1"/>
  </r>
  <r>
    <x v="2"/>
    <n v="1"/>
  </r>
  <r>
    <x v="4"/>
    <n v="1"/>
  </r>
  <r>
    <x v="2"/>
    <n v="1"/>
  </r>
  <r>
    <x v="0"/>
    <n v="1"/>
  </r>
  <r>
    <x v="1"/>
    <n v="1"/>
  </r>
  <r>
    <x v="2"/>
    <n v="1"/>
  </r>
  <r>
    <x v="0"/>
    <n v="1"/>
  </r>
  <r>
    <x v="2"/>
    <n v="1"/>
  </r>
  <r>
    <x v="0"/>
    <n v="1"/>
  </r>
  <r>
    <x v="2"/>
    <n v="1"/>
  </r>
  <r>
    <x v="4"/>
    <n v="1"/>
  </r>
  <r>
    <x v="0"/>
    <n v="1"/>
  </r>
  <r>
    <x v="2"/>
    <n v="1"/>
  </r>
  <r>
    <x v="3"/>
    <n v="1"/>
  </r>
  <r>
    <x v="0"/>
    <n v="1"/>
  </r>
  <r>
    <x v="0"/>
    <n v="1"/>
  </r>
  <r>
    <x v="2"/>
    <n v="1"/>
  </r>
  <r>
    <x v="0"/>
    <n v="1"/>
  </r>
  <r>
    <x v="0"/>
    <n v="1"/>
  </r>
  <r>
    <x v="2"/>
    <n v="1"/>
  </r>
  <r>
    <x v="0"/>
    <n v="1"/>
  </r>
  <r>
    <x v="0"/>
    <n v="1"/>
  </r>
  <r>
    <x v="0"/>
    <n v="1"/>
  </r>
  <r>
    <x v="0"/>
    <n v="1"/>
  </r>
  <r>
    <x v="0"/>
    <n v="1"/>
  </r>
  <r>
    <x v="2"/>
    <n v="1"/>
  </r>
  <r>
    <x v="0"/>
    <n v="1"/>
  </r>
  <r>
    <x v="2"/>
    <n v="1"/>
  </r>
  <r>
    <x v="3"/>
    <n v="1"/>
  </r>
  <r>
    <x v="1"/>
    <n v="1"/>
  </r>
  <r>
    <x v="1"/>
    <n v="1"/>
  </r>
  <r>
    <x v="0"/>
    <n v="1"/>
  </r>
  <r>
    <x v="0"/>
    <n v="1"/>
  </r>
  <r>
    <x v="0"/>
    <n v="1"/>
  </r>
  <r>
    <x v="0"/>
    <n v="1"/>
  </r>
  <r>
    <x v="2"/>
    <n v="1"/>
  </r>
  <r>
    <x v="5"/>
    <n v="1"/>
  </r>
  <r>
    <x v="0"/>
    <n v="1"/>
  </r>
  <r>
    <x v="2"/>
    <n v="1"/>
  </r>
  <r>
    <x v="2"/>
    <n v="1"/>
  </r>
  <r>
    <x v="0"/>
    <n v="1"/>
  </r>
  <r>
    <x v="0"/>
    <n v="1"/>
  </r>
  <r>
    <x v="0"/>
    <n v="1"/>
  </r>
  <r>
    <x v="0"/>
    <n v="1"/>
  </r>
  <r>
    <x v="3"/>
    <n v="1"/>
  </r>
  <r>
    <x v="2"/>
    <n v="1"/>
  </r>
  <r>
    <x v="0"/>
    <n v="1"/>
  </r>
  <r>
    <x v="4"/>
    <n v="1"/>
  </r>
  <r>
    <x v="1"/>
    <n v="1"/>
  </r>
  <r>
    <x v="3"/>
    <n v="1"/>
  </r>
  <r>
    <x v="5"/>
    <n v="1"/>
  </r>
  <r>
    <x v="2"/>
    <n v="1"/>
  </r>
  <r>
    <x v="2"/>
    <n v="1"/>
  </r>
  <r>
    <x v="3"/>
    <n v="1"/>
  </r>
  <r>
    <x v="2"/>
    <n v="1"/>
  </r>
  <r>
    <x v="2"/>
    <n v="1"/>
  </r>
  <r>
    <x v="2"/>
    <n v="1"/>
  </r>
  <r>
    <x v="2"/>
    <n v="1"/>
  </r>
  <r>
    <x v="0"/>
    <n v="1"/>
  </r>
  <r>
    <x v="0"/>
    <n v="1"/>
  </r>
  <r>
    <x v="0"/>
    <n v="1"/>
  </r>
  <r>
    <x v="3"/>
    <n v="1"/>
  </r>
  <r>
    <x v="3"/>
    <n v="1"/>
  </r>
  <r>
    <x v="2"/>
    <n v="1"/>
  </r>
  <r>
    <x v="2"/>
    <n v="1"/>
  </r>
  <r>
    <x v="3"/>
    <n v="1"/>
  </r>
  <r>
    <x v="2"/>
    <n v="1"/>
  </r>
  <r>
    <x v="0"/>
    <n v="1"/>
  </r>
  <r>
    <x v="0"/>
    <n v="1"/>
  </r>
  <r>
    <x v="2"/>
    <n v="1"/>
  </r>
  <r>
    <x v="0"/>
    <n v="1"/>
  </r>
  <r>
    <x v="1"/>
    <n v="1"/>
  </r>
  <r>
    <x v="0"/>
    <n v="1"/>
  </r>
  <r>
    <x v="0"/>
    <n v="1"/>
  </r>
  <r>
    <x v="0"/>
    <n v="1"/>
  </r>
  <r>
    <x v="3"/>
    <n v="1"/>
  </r>
  <r>
    <x v="4"/>
    <n v="1"/>
  </r>
  <r>
    <x v="0"/>
    <n v="1"/>
  </r>
  <r>
    <x v="0"/>
    <n v="1"/>
  </r>
  <r>
    <x v="3"/>
    <n v="1"/>
  </r>
  <r>
    <x v="0"/>
    <n v="1"/>
  </r>
  <r>
    <x v="0"/>
    <n v="1"/>
  </r>
  <r>
    <x v="2"/>
    <n v="1"/>
  </r>
  <r>
    <x v="3"/>
    <n v="1"/>
  </r>
  <r>
    <x v="4"/>
    <n v="1"/>
  </r>
  <r>
    <x v="2"/>
    <n v="1"/>
  </r>
  <r>
    <x v="0"/>
    <n v="1"/>
  </r>
  <r>
    <x v="0"/>
    <n v="1"/>
  </r>
  <r>
    <x v="3"/>
    <n v="1"/>
  </r>
  <r>
    <x v="2"/>
    <n v="1"/>
  </r>
  <r>
    <x v="0"/>
    <n v="1"/>
  </r>
  <r>
    <x v="0"/>
    <n v="1"/>
  </r>
  <r>
    <x v="5"/>
    <n v="1"/>
  </r>
  <r>
    <x v="0"/>
    <n v="1"/>
  </r>
  <r>
    <x v="2"/>
    <n v="1"/>
  </r>
  <r>
    <x v="0"/>
    <n v="1"/>
  </r>
  <r>
    <x v="2"/>
    <n v="1"/>
  </r>
  <r>
    <x v="0"/>
    <n v="1"/>
  </r>
  <r>
    <x v="0"/>
    <n v="1"/>
  </r>
  <r>
    <x v="2"/>
    <n v="1"/>
  </r>
  <r>
    <x v="1"/>
    <n v="1"/>
  </r>
  <r>
    <x v="0"/>
    <n v="1"/>
  </r>
  <r>
    <x v="0"/>
    <n v="1"/>
  </r>
  <r>
    <x v="0"/>
    <n v="1"/>
  </r>
  <r>
    <x v="0"/>
    <n v="1"/>
  </r>
  <r>
    <x v="2"/>
    <n v="1"/>
  </r>
  <r>
    <x v="2"/>
    <n v="1"/>
  </r>
  <r>
    <x v="0"/>
    <n v="1"/>
  </r>
  <r>
    <x v="0"/>
    <n v="1"/>
  </r>
  <r>
    <x v="2"/>
    <n v="1"/>
  </r>
  <r>
    <x v="1"/>
    <n v="1"/>
  </r>
  <r>
    <x v="4"/>
    <n v="1"/>
  </r>
  <r>
    <x v="0"/>
    <n v="1"/>
  </r>
  <r>
    <x v="0"/>
    <n v="1"/>
  </r>
  <r>
    <x v="1"/>
    <n v="1"/>
  </r>
  <r>
    <x v="2"/>
    <n v="1"/>
  </r>
  <r>
    <x v="3"/>
    <n v="1"/>
  </r>
  <r>
    <x v="1"/>
    <n v="1"/>
  </r>
  <r>
    <x v="4"/>
    <n v="1"/>
  </r>
  <r>
    <x v="0"/>
    <n v="1"/>
  </r>
  <r>
    <x v="3"/>
    <n v="1"/>
  </r>
  <r>
    <x v="3"/>
    <n v="1"/>
  </r>
  <r>
    <x v="2"/>
    <n v="1"/>
  </r>
  <r>
    <x v="2"/>
    <n v="1"/>
  </r>
  <r>
    <x v="2"/>
    <n v="1"/>
  </r>
  <r>
    <x v="1"/>
    <n v="1"/>
  </r>
  <r>
    <x v="4"/>
    <n v="1"/>
  </r>
  <r>
    <x v="2"/>
    <n v="1"/>
  </r>
  <r>
    <x v="2"/>
    <n v="1"/>
  </r>
  <r>
    <x v="2"/>
    <n v="1"/>
  </r>
  <r>
    <x v="0"/>
    <n v="1"/>
  </r>
  <r>
    <x v="0"/>
    <n v="1"/>
  </r>
  <r>
    <x v="0"/>
    <n v="1"/>
  </r>
  <r>
    <x v="0"/>
    <n v="1"/>
  </r>
  <r>
    <x v="4"/>
    <n v="1"/>
  </r>
  <r>
    <x v="2"/>
    <n v="1"/>
  </r>
  <r>
    <x v="0"/>
    <n v="1"/>
  </r>
  <r>
    <x v="4"/>
    <n v="1"/>
  </r>
  <r>
    <x v="2"/>
    <n v="1"/>
  </r>
  <r>
    <x v="1"/>
    <n v="1"/>
  </r>
  <r>
    <x v="4"/>
    <n v="1"/>
  </r>
  <r>
    <x v="0"/>
    <n v="1"/>
  </r>
  <r>
    <x v="0"/>
    <n v="1"/>
  </r>
  <r>
    <x v="0"/>
    <n v="1"/>
  </r>
  <r>
    <x v="2"/>
    <n v="1"/>
  </r>
  <r>
    <x v="4"/>
    <n v="1"/>
  </r>
  <r>
    <x v="2"/>
    <n v="1"/>
  </r>
  <r>
    <x v="0"/>
    <n v="1"/>
  </r>
  <r>
    <x v="0"/>
    <n v="1"/>
  </r>
  <r>
    <x v="0"/>
    <n v="1"/>
  </r>
  <r>
    <x v="2"/>
    <n v="1"/>
  </r>
  <r>
    <x v="2"/>
    <n v="1"/>
  </r>
  <r>
    <x v="1"/>
    <n v="1"/>
  </r>
  <r>
    <x v="2"/>
    <n v="1"/>
  </r>
  <r>
    <x v="4"/>
    <n v="1"/>
  </r>
  <r>
    <x v="0"/>
    <n v="1"/>
  </r>
  <r>
    <x v="0"/>
    <n v="1"/>
  </r>
  <r>
    <x v="0"/>
    <n v="1"/>
  </r>
  <r>
    <x v="0"/>
    <n v="1"/>
  </r>
  <r>
    <x v="2"/>
    <n v="1"/>
  </r>
  <r>
    <x v="2"/>
    <n v="1"/>
  </r>
  <r>
    <x v="2"/>
    <n v="1"/>
  </r>
  <r>
    <x v="1"/>
    <n v="1"/>
  </r>
  <r>
    <x v="0"/>
    <n v="1"/>
  </r>
  <r>
    <x v="0"/>
    <n v="1"/>
  </r>
  <r>
    <x v="4"/>
    <n v="1"/>
  </r>
  <r>
    <x v="2"/>
    <n v="1"/>
  </r>
  <r>
    <x v="0"/>
    <n v="1"/>
  </r>
  <r>
    <x v="2"/>
    <n v="1"/>
  </r>
  <r>
    <x v="2"/>
    <n v="1"/>
  </r>
  <r>
    <x v="2"/>
    <n v="1"/>
  </r>
  <r>
    <x v="0"/>
    <n v="1"/>
  </r>
  <r>
    <x v="0"/>
    <n v="1"/>
  </r>
  <r>
    <x v="0"/>
    <n v="1"/>
  </r>
  <r>
    <x v="2"/>
    <n v="1"/>
  </r>
  <r>
    <x v="0"/>
    <n v="1"/>
  </r>
  <r>
    <x v="0"/>
    <n v="1"/>
  </r>
  <r>
    <x v="1"/>
    <n v="1"/>
  </r>
  <r>
    <x v="3"/>
    <n v="1"/>
  </r>
  <r>
    <x v="0"/>
    <n v="1"/>
  </r>
  <r>
    <x v="0"/>
    <n v="1"/>
  </r>
  <r>
    <x v="2"/>
    <n v="1"/>
  </r>
  <r>
    <x v="2"/>
    <n v="1"/>
  </r>
  <r>
    <x v="0"/>
    <n v="1"/>
  </r>
  <r>
    <x v="0"/>
    <n v="1"/>
  </r>
  <r>
    <x v="2"/>
    <n v="1"/>
  </r>
  <r>
    <x v="3"/>
    <n v="1"/>
  </r>
  <r>
    <x v="2"/>
    <n v="1"/>
  </r>
  <r>
    <x v="0"/>
    <n v="1"/>
  </r>
  <r>
    <x v="0"/>
    <n v="1"/>
  </r>
  <r>
    <x v="2"/>
    <n v="1"/>
  </r>
  <r>
    <x v="0"/>
    <n v="1"/>
  </r>
  <r>
    <x v="0"/>
    <n v="1"/>
  </r>
  <r>
    <x v="2"/>
    <n v="1"/>
  </r>
  <r>
    <x v="3"/>
    <n v="1"/>
  </r>
  <r>
    <x v="4"/>
    <n v="1"/>
  </r>
  <r>
    <x v="2"/>
    <n v="1"/>
  </r>
  <r>
    <x v="3"/>
    <n v="1"/>
  </r>
  <r>
    <x v="1"/>
    <n v="1"/>
  </r>
  <r>
    <x v="0"/>
    <n v="1"/>
  </r>
  <r>
    <x v="0"/>
    <n v="1"/>
  </r>
  <r>
    <x v="2"/>
    <n v="1"/>
  </r>
  <r>
    <x v="1"/>
    <n v="1"/>
  </r>
  <r>
    <x v="2"/>
    <n v="1"/>
  </r>
  <r>
    <x v="1"/>
    <n v="1"/>
  </r>
  <r>
    <x v="3"/>
    <n v="1"/>
  </r>
  <r>
    <x v="2"/>
    <n v="1"/>
  </r>
  <r>
    <x v="2"/>
    <n v="1"/>
  </r>
  <r>
    <x v="0"/>
    <n v="1"/>
  </r>
  <r>
    <x v="2"/>
    <n v="1"/>
  </r>
  <r>
    <x v="2"/>
    <n v="1"/>
  </r>
  <r>
    <x v="2"/>
    <n v="1"/>
  </r>
  <r>
    <x v="2"/>
    <n v="1"/>
  </r>
  <r>
    <x v="3"/>
    <n v="1"/>
  </r>
  <r>
    <x v="0"/>
    <n v="1"/>
  </r>
  <r>
    <x v="0"/>
    <n v="1"/>
  </r>
  <r>
    <x v="0"/>
    <n v="1"/>
  </r>
  <r>
    <x v="4"/>
    <n v="1"/>
  </r>
  <r>
    <x v="2"/>
    <n v="1"/>
  </r>
  <r>
    <x v="1"/>
    <n v="1"/>
  </r>
  <r>
    <x v="4"/>
    <n v="1"/>
  </r>
  <r>
    <x v="0"/>
    <n v="1"/>
  </r>
  <r>
    <x v="4"/>
    <n v="1"/>
  </r>
  <r>
    <x v="0"/>
    <n v="1"/>
  </r>
  <r>
    <x v="0"/>
    <n v="1"/>
  </r>
  <r>
    <x v="1"/>
    <n v="1"/>
  </r>
  <r>
    <x v="2"/>
    <n v="1"/>
  </r>
  <r>
    <x v="0"/>
    <n v="1"/>
  </r>
  <r>
    <x v="4"/>
    <n v="1"/>
  </r>
  <r>
    <x v="2"/>
    <n v="1"/>
  </r>
  <r>
    <x v="0"/>
    <n v="1"/>
  </r>
  <r>
    <x v="0"/>
    <n v="1"/>
  </r>
  <r>
    <x v="0"/>
    <n v="1"/>
  </r>
  <r>
    <x v="4"/>
    <n v="1"/>
  </r>
  <r>
    <x v="2"/>
    <n v="1"/>
  </r>
  <r>
    <x v="2"/>
    <n v="1"/>
  </r>
  <r>
    <x v="2"/>
    <n v="1"/>
  </r>
  <r>
    <x v="2"/>
    <n v="1"/>
  </r>
  <r>
    <x v="1"/>
    <n v="1"/>
  </r>
  <r>
    <x v="0"/>
    <n v="1"/>
  </r>
  <r>
    <x v="0"/>
    <n v="1"/>
  </r>
  <r>
    <x v="2"/>
    <n v="1"/>
  </r>
  <r>
    <x v="0"/>
    <n v="1"/>
  </r>
  <r>
    <x v="0"/>
    <n v="1"/>
  </r>
  <r>
    <x v="3"/>
    <n v="1"/>
  </r>
  <r>
    <x v="0"/>
    <n v="1"/>
  </r>
  <r>
    <x v="2"/>
    <n v="1"/>
  </r>
  <r>
    <x v="3"/>
    <n v="1"/>
  </r>
  <r>
    <x v="3"/>
    <n v="1"/>
  </r>
  <r>
    <x v="0"/>
    <n v="1"/>
  </r>
  <r>
    <x v="0"/>
    <n v="1"/>
  </r>
  <r>
    <x v="2"/>
    <n v="1"/>
  </r>
  <r>
    <x v="4"/>
    <n v="1"/>
  </r>
  <r>
    <x v="0"/>
    <n v="1"/>
  </r>
  <r>
    <x v="0"/>
    <n v="1"/>
  </r>
  <r>
    <x v="0"/>
    <n v="1"/>
  </r>
  <r>
    <x v="0"/>
    <n v="1"/>
  </r>
  <r>
    <x v="3"/>
    <n v="1"/>
  </r>
  <r>
    <x v="4"/>
    <n v="1"/>
  </r>
  <r>
    <x v="0"/>
    <n v="1"/>
  </r>
  <r>
    <x v="0"/>
    <n v="1"/>
  </r>
  <r>
    <x v="2"/>
    <n v="1"/>
  </r>
  <r>
    <x v="2"/>
    <n v="1"/>
  </r>
  <r>
    <x v="5"/>
    <n v="1"/>
  </r>
  <r>
    <x v="0"/>
    <n v="1"/>
  </r>
  <r>
    <x v="2"/>
    <n v="1"/>
  </r>
  <r>
    <x v="3"/>
    <n v="1"/>
  </r>
  <r>
    <x v="0"/>
    <n v="1"/>
  </r>
  <r>
    <x v="2"/>
    <n v="1"/>
  </r>
  <r>
    <x v="2"/>
    <n v="1"/>
  </r>
  <r>
    <x v="0"/>
    <n v="1"/>
  </r>
  <r>
    <x v="0"/>
    <n v="1"/>
  </r>
  <r>
    <x v="4"/>
    <n v="1"/>
  </r>
  <r>
    <x v="0"/>
    <n v="1"/>
  </r>
  <r>
    <x v="2"/>
    <n v="1"/>
  </r>
  <r>
    <x v="0"/>
    <n v="1"/>
  </r>
  <r>
    <x v="3"/>
    <n v="1"/>
  </r>
  <r>
    <x v="2"/>
    <n v="1"/>
  </r>
  <r>
    <x v="2"/>
    <n v="1"/>
  </r>
  <r>
    <x v="0"/>
    <n v="1"/>
  </r>
  <r>
    <x v="2"/>
    <n v="1"/>
  </r>
  <r>
    <x v="3"/>
    <n v="1"/>
  </r>
  <r>
    <x v="2"/>
    <n v="1"/>
  </r>
  <r>
    <x v="0"/>
    <n v="1"/>
  </r>
  <r>
    <x v="2"/>
    <n v="1"/>
  </r>
  <r>
    <x v="1"/>
    <n v="1"/>
  </r>
  <r>
    <x v="3"/>
    <n v="1"/>
  </r>
  <r>
    <x v="0"/>
    <n v="1"/>
  </r>
  <r>
    <x v="4"/>
    <n v="1"/>
  </r>
  <r>
    <x v="2"/>
    <n v="1"/>
  </r>
  <r>
    <x v="0"/>
    <n v="1"/>
  </r>
  <r>
    <x v="2"/>
    <n v="1"/>
  </r>
  <r>
    <x v="0"/>
    <n v="1"/>
  </r>
  <r>
    <x v="0"/>
    <n v="1"/>
  </r>
  <r>
    <x v="0"/>
    <n v="1"/>
  </r>
  <r>
    <x v="2"/>
    <n v="1"/>
  </r>
  <r>
    <x v="0"/>
    <n v="1"/>
  </r>
  <r>
    <x v="0"/>
    <n v="1"/>
  </r>
  <r>
    <x v="3"/>
    <n v="1"/>
  </r>
  <r>
    <x v="0"/>
    <n v="1"/>
  </r>
  <r>
    <x v="5"/>
    <n v="1"/>
  </r>
  <r>
    <x v="0"/>
    <n v="1"/>
  </r>
  <r>
    <x v="0"/>
    <n v="1"/>
  </r>
  <r>
    <x v="2"/>
    <n v="1"/>
  </r>
  <r>
    <x v="2"/>
    <n v="1"/>
  </r>
  <r>
    <x v="2"/>
    <n v="1"/>
  </r>
  <r>
    <x v="0"/>
    <n v="1"/>
  </r>
  <r>
    <x v="0"/>
    <n v="1"/>
  </r>
  <r>
    <x v="0"/>
    <n v="1"/>
  </r>
  <r>
    <x v="2"/>
    <n v="1"/>
  </r>
  <r>
    <x v="0"/>
    <n v="1"/>
  </r>
  <r>
    <x v="0"/>
    <n v="1"/>
  </r>
  <r>
    <x v="1"/>
    <n v="1"/>
  </r>
  <r>
    <x v="3"/>
    <n v="1"/>
  </r>
  <r>
    <x v="4"/>
    <n v="1"/>
  </r>
  <r>
    <x v="2"/>
    <n v="1"/>
  </r>
  <r>
    <x v="3"/>
    <n v="1"/>
  </r>
  <r>
    <x v="1"/>
    <n v="1"/>
  </r>
  <r>
    <x v="0"/>
    <n v="1"/>
  </r>
  <r>
    <x v="4"/>
    <n v="1"/>
  </r>
  <r>
    <x v="2"/>
    <n v="1"/>
  </r>
  <r>
    <x v="4"/>
    <n v="1"/>
  </r>
  <r>
    <x v="0"/>
    <n v="1"/>
  </r>
  <r>
    <x v="2"/>
    <n v="1"/>
  </r>
  <r>
    <x v="2"/>
    <n v="1"/>
  </r>
  <r>
    <x v="3"/>
    <n v="1"/>
  </r>
  <r>
    <x v="0"/>
    <n v="1"/>
  </r>
  <r>
    <x v="0"/>
    <n v="1"/>
  </r>
  <r>
    <x v="0"/>
    <n v="1"/>
  </r>
  <r>
    <x v="2"/>
    <n v="1"/>
  </r>
  <r>
    <x v="0"/>
    <n v="1"/>
  </r>
  <r>
    <x v="0"/>
    <n v="1"/>
  </r>
  <r>
    <x v="2"/>
    <n v="1"/>
  </r>
  <r>
    <x v="2"/>
    <n v="1"/>
  </r>
  <r>
    <x v="0"/>
    <n v="1"/>
  </r>
  <r>
    <x v="0"/>
    <n v="1"/>
  </r>
  <r>
    <x v="2"/>
    <n v="1"/>
  </r>
  <r>
    <x v="4"/>
    <n v="1"/>
  </r>
  <r>
    <x v="4"/>
    <n v="1"/>
  </r>
  <r>
    <x v="0"/>
    <n v="1"/>
  </r>
  <r>
    <x v="0"/>
    <n v="1"/>
  </r>
  <r>
    <x v="0"/>
    <n v="1"/>
  </r>
  <r>
    <x v="0"/>
    <n v="1"/>
  </r>
  <r>
    <x v="4"/>
    <n v="1"/>
  </r>
  <r>
    <x v="3"/>
    <n v="1"/>
  </r>
  <r>
    <x v="3"/>
    <n v="1"/>
  </r>
  <r>
    <x v="0"/>
    <n v="1"/>
  </r>
  <r>
    <x v="0"/>
    <n v="1"/>
  </r>
  <r>
    <x v="0"/>
    <n v="1"/>
  </r>
  <r>
    <x v="0"/>
    <n v="1"/>
  </r>
  <r>
    <x v="3"/>
    <n v="1"/>
  </r>
  <r>
    <x v="2"/>
    <n v="1"/>
  </r>
  <r>
    <x v="0"/>
    <n v="1"/>
  </r>
  <r>
    <x v="3"/>
    <n v="1"/>
  </r>
  <r>
    <x v="3"/>
    <n v="1"/>
  </r>
  <r>
    <x v="0"/>
    <n v="1"/>
  </r>
  <r>
    <x v="2"/>
    <n v="1"/>
  </r>
  <r>
    <x v="2"/>
    <n v="1"/>
  </r>
  <r>
    <x v="2"/>
    <n v="1"/>
  </r>
  <r>
    <x v="0"/>
    <n v="1"/>
  </r>
  <r>
    <x v="0"/>
    <n v="1"/>
  </r>
  <r>
    <x v="0"/>
    <n v="1"/>
  </r>
  <r>
    <x v="2"/>
    <n v="1"/>
  </r>
  <r>
    <x v="3"/>
    <n v="1"/>
  </r>
  <r>
    <x v="0"/>
    <n v="1"/>
  </r>
  <r>
    <x v="2"/>
    <n v="1"/>
  </r>
  <r>
    <x v="0"/>
    <n v="1"/>
  </r>
  <r>
    <x v="2"/>
    <n v="1"/>
  </r>
  <r>
    <x v="2"/>
    <n v="1"/>
  </r>
  <r>
    <x v="4"/>
    <n v="1"/>
  </r>
  <r>
    <x v="4"/>
    <n v="1"/>
  </r>
  <r>
    <x v="2"/>
    <n v="1"/>
  </r>
  <r>
    <x v="2"/>
    <n v="1"/>
  </r>
  <r>
    <x v="2"/>
    <n v="1"/>
  </r>
  <r>
    <x v="2"/>
    <n v="1"/>
  </r>
  <r>
    <x v="0"/>
    <n v="1"/>
  </r>
  <r>
    <x v="0"/>
    <n v="1"/>
  </r>
  <r>
    <x v="2"/>
    <n v="1"/>
  </r>
  <r>
    <x v="4"/>
    <n v="1"/>
  </r>
  <r>
    <x v="4"/>
    <n v="1"/>
  </r>
  <r>
    <x v="0"/>
    <n v="1"/>
  </r>
  <r>
    <x v="0"/>
    <n v="1"/>
  </r>
  <r>
    <x v="0"/>
    <n v="1"/>
  </r>
  <r>
    <x v="3"/>
    <n v="1"/>
  </r>
  <r>
    <x v="0"/>
    <n v="1"/>
  </r>
  <r>
    <x v="2"/>
    <n v="1"/>
  </r>
  <r>
    <x v="0"/>
    <n v="1"/>
  </r>
  <r>
    <x v="0"/>
    <n v="1"/>
  </r>
  <r>
    <x v="2"/>
    <n v="1"/>
  </r>
  <r>
    <x v="0"/>
    <n v="1"/>
  </r>
  <r>
    <x v="0"/>
    <n v="1"/>
  </r>
  <r>
    <x v="0"/>
    <n v="1"/>
  </r>
  <r>
    <x v="2"/>
    <n v="1"/>
  </r>
  <r>
    <x v="0"/>
    <n v="1"/>
  </r>
  <r>
    <x v="0"/>
    <n v="1"/>
  </r>
  <r>
    <x v="0"/>
    <n v="1"/>
  </r>
  <r>
    <x v="0"/>
    <n v="1"/>
  </r>
  <r>
    <x v="3"/>
    <n v="1"/>
  </r>
  <r>
    <x v="0"/>
    <n v="1"/>
  </r>
  <r>
    <x v="0"/>
    <n v="1"/>
  </r>
  <r>
    <x v="0"/>
    <n v="1"/>
  </r>
  <r>
    <x v="2"/>
    <n v="1"/>
  </r>
  <r>
    <x v="2"/>
    <n v="1"/>
  </r>
  <r>
    <x v="2"/>
    <n v="1"/>
  </r>
  <r>
    <x v="0"/>
    <n v="1"/>
  </r>
  <r>
    <x v="3"/>
    <n v="1"/>
  </r>
  <r>
    <x v="0"/>
    <n v="1"/>
  </r>
  <r>
    <x v="2"/>
    <n v="1"/>
  </r>
  <r>
    <x v="4"/>
    <n v="1"/>
  </r>
  <r>
    <x v="0"/>
    <n v="1"/>
  </r>
  <r>
    <x v="2"/>
    <n v="1"/>
  </r>
  <r>
    <x v="0"/>
    <n v="1"/>
  </r>
  <r>
    <x v="3"/>
    <n v="1"/>
  </r>
  <r>
    <x v="0"/>
    <n v="1"/>
  </r>
  <r>
    <x v="4"/>
    <n v="1"/>
  </r>
  <r>
    <x v="2"/>
    <n v="1"/>
  </r>
  <r>
    <x v="2"/>
    <n v="1"/>
  </r>
  <r>
    <x v="0"/>
    <n v="1"/>
  </r>
  <r>
    <x v="3"/>
    <n v="1"/>
  </r>
  <r>
    <x v="0"/>
    <n v="1"/>
  </r>
  <r>
    <x v="4"/>
    <n v="1"/>
  </r>
  <r>
    <x v="0"/>
    <n v="1"/>
  </r>
  <r>
    <x v="2"/>
    <n v="1"/>
  </r>
  <r>
    <x v="0"/>
    <n v="1"/>
  </r>
  <r>
    <x v="3"/>
    <n v="1"/>
  </r>
  <r>
    <x v="0"/>
    <n v="1"/>
  </r>
  <r>
    <x v="0"/>
    <n v="1"/>
  </r>
  <r>
    <x v="0"/>
    <n v="1"/>
  </r>
  <r>
    <x v="3"/>
    <n v="1"/>
  </r>
  <r>
    <x v="0"/>
    <n v="1"/>
  </r>
  <r>
    <x v="0"/>
    <n v="1"/>
  </r>
  <r>
    <x v="2"/>
    <n v="1"/>
  </r>
  <r>
    <x v="2"/>
    <n v="1"/>
  </r>
  <r>
    <x v="3"/>
    <n v="1"/>
  </r>
  <r>
    <x v="0"/>
    <n v="1"/>
  </r>
  <r>
    <x v="2"/>
    <n v="1"/>
  </r>
  <r>
    <x v="5"/>
    <n v="1"/>
  </r>
  <r>
    <x v="1"/>
    <n v="1"/>
  </r>
  <r>
    <x v="2"/>
    <n v="1"/>
  </r>
  <r>
    <x v="0"/>
    <n v="1"/>
  </r>
  <r>
    <x v="4"/>
    <n v="1"/>
  </r>
  <r>
    <x v="1"/>
    <n v="1"/>
  </r>
  <r>
    <x v="1"/>
    <n v="1"/>
  </r>
  <r>
    <x v="0"/>
    <n v="1"/>
  </r>
  <r>
    <x v="1"/>
    <n v="1"/>
  </r>
  <r>
    <x v="2"/>
    <n v="1"/>
  </r>
  <r>
    <x v="2"/>
    <n v="1"/>
  </r>
  <r>
    <x v="2"/>
    <n v="1"/>
  </r>
  <r>
    <x v="3"/>
    <n v="1"/>
  </r>
  <r>
    <x v="0"/>
    <n v="1"/>
  </r>
  <r>
    <x v="3"/>
    <n v="1"/>
  </r>
  <r>
    <x v="0"/>
    <n v="1"/>
  </r>
  <r>
    <x v="1"/>
    <n v="1"/>
  </r>
  <r>
    <x v="0"/>
    <n v="1"/>
  </r>
  <r>
    <x v="0"/>
    <n v="1"/>
  </r>
  <r>
    <x v="0"/>
    <n v="1"/>
  </r>
  <r>
    <x v="3"/>
    <n v="1"/>
  </r>
  <r>
    <x v="4"/>
    <n v="1"/>
  </r>
  <r>
    <x v="0"/>
    <n v="1"/>
  </r>
  <r>
    <x v="4"/>
    <n v="1"/>
  </r>
  <r>
    <x v="0"/>
    <n v="1"/>
  </r>
  <r>
    <x v="2"/>
    <n v="1"/>
  </r>
  <r>
    <x v="2"/>
    <n v="1"/>
  </r>
  <r>
    <x v="3"/>
    <n v="1"/>
  </r>
  <r>
    <x v="0"/>
    <n v="1"/>
  </r>
  <r>
    <x v="2"/>
    <n v="1"/>
  </r>
  <r>
    <x v="1"/>
    <n v="1"/>
  </r>
  <r>
    <x v="0"/>
    <n v="1"/>
  </r>
  <r>
    <x v="3"/>
    <n v="1"/>
  </r>
  <r>
    <x v="0"/>
    <n v="1"/>
  </r>
  <r>
    <x v="0"/>
    <n v="1"/>
  </r>
  <r>
    <x v="2"/>
    <n v="1"/>
  </r>
  <r>
    <x v="2"/>
    <n v="1"/>
  </r>
  <r>
    <x v="0"/>
    <n v="1"/>
  </r>
  <r>
    <x v="4"/>
    <n v="1"/>
  </r>
  <r>
    <x v="3"/>
    <n v="1"/>
  </r>
  <r>
    <x v="4"/>
    <n v="1"/>
  </r>
  <r>
    <x v="2"/>
    <n v="1"/>
  </r>
  <r>
    <x v="2"/>
    <n v="1"/>
  </r>
  <r>
    <x v="0"/>
    <n v="1"/>
  </r>
  <r>
    <x v="2"/>
    <n v="1"/>
  </r>
  <r>
    <x v="4"/>
    <n v="1"/>
  </r>
  <r>
    <x v="2"/>
    <n v="1"/>
  </r>
  <r>
    <x v="0"/>
    <n v="1"/>
  </r>
  <r>
    <x v="2"/>
    <n v="1"/>
  </r>
  <r>
    <x v="1"/>
    <n v="1"/>
  </r>
  <r>
    <x v="0"/>
    <n v="1"/>
  </r>
  <r>
    <x v="2"/>
    <n v="1"/>
  </r>
  <r>
    <x v="3"/>
    <n v="1"/>
  </r>
  <r>
    <x v="4"/>
    <n v="1"/>
  </r>
  <r>
    <x v="0"/>
    <n v="1"/>
  </r>
  <r>
    <x v="0"/>
    <n v="1"/>
  </r>
  <r>
    <x v="2"/>
    <n v="1"/>
  </r>
  <r>
    <x v="4"/>
    <n v="1"/>
  </r>
  <r>
    <x v="4"/>
    <n v="1"/>
  </r>
  <r>
    <x v="2"/>
    <n v="1"/>
  </r>
  <r>
    <x v="0"/>
    <n v="1"/>
  </r>
  <r>
    <x v="2"/>
    <n v="1"/>
  </r>
  <r>
    <x v="0"/>
    <n v="1"/>
  </r>
  <r>
    <x v="2"/>
    <n v="1"/>
  </r>
  <r>
    <x v="0"/>
    <n v="1"/>
  </r>
  <r>
    <x v="0"/>
    <n v="1"/>
  </r>
  <r>
    <x v="0"/>
    <n v="1"/>
  </r>
  <r>
    <x v="2"/>
    <n v="1"/>
  </r>
  <r>
    <x v="2"/>
    <n v="1"/>
  </r>
  <r>
    <x v="2"/>
    <n v="1"/>
  </r>
  <r>
    <x v="0"/>
    <n v="1"/>
  </r>
  <r>
    <x v="0"/>
    <n v="1"/>
  </r>
  <r>
    <x v="2"/>
    <n v="1"/>
  </r>
  <r>
    <x v="0"/>
    <n v="1"/>
  </r>
  <r>
    <x v="0"/>
    <n v="1"/>
  </r>
  <r>
    <x v="0"/>
    <n v="1"/>
  </r>
  <r>
    <x v="2"/>
    <n v="1"/>
  </r>
  <r>
    <x v="2"/>
    <n v="1"/>
  </r>
  <r>
    <x v="4"/>
    <n v="1"/>
  </r>
  <r>
    <x v="0"/>
    <n v="1"/>
  </r>
  <r>
    <x v="0"/>
    <n v="1"/>
  </r>
  <r>
    <x v="0"/>
    <n v="1"/>
  </r>
  <r>
    <x v="0"/>
    <n v="1"/>
  </r>
  <r>
    <x v="0"/>
    <n v="1"/>
  </r>
  <r>
    <x v="0"/>
    <n v="1"/>
  </r>
  <r>
    <x v="4"/>
    <n v="1"/>
  </r>
  <r>
    <x v="0"/>
    <n v="1"/>
  </r>
  <r>
    <x v="2"/>
    <n v="1"/>
  </r>
  <r>
    <x v="4"/>
    <n v="1"/>
  </r>
  <r>
    <x v="2"/>
    <n v="1"/>
  </r>
  <r>
    <x v="2"/>
    <n v="1"/>
  </r>
  <r>
    <x v="1"/>
    <n v="1"/>
  </r>
  <r>
    <x v="0"/>
    <n v="1"/>
  </r>
  <r>
    <x v="4"/>
    <n v="1"/>
  </r>
  <r>
    <x v="0"/>
    <n v="1"/>
  </r>
  <r>
    <x v="2"/>
    <n v="1"/>
  </r>
  <r>
    <x v="0"/>
    <n v="1"/>
  </r>
  <r>
    <x v="2"/>
    <n v="1"/>
  </r>
  <r>
    <x v="4"/>
    <n v="1"/>
  </r>
  <r>
    <x v="0"/>
    <n v="1"/>
  </r>
  <r>
    <x v="4"/>
    <n v="1"/>
  </r>
  <r>
    <x v="0"/>
    <n v="1"/>
  </r>
  <r>
    <x v="0"/>
    <n v="1"/>
  </r>
  <r>
    <x v="0"/>
    <n v="1"/>
  </r>
  <r>
    <x v="0"/>
    <n v="1"/>
  </r>
  <r>
    <x v="0"/>
    <n v="1"/>
  </r>
  <r>
    <x v="0"/>
    <n v="1"/>
  </r>
  <r>
    <x v="0"/>
    <n v="1"/>
  </r>
  <r>
    <x v="5"/>
    <n v="1"/>
  </r>
  <r>
    <x v="2"/>
    <n v="1"/>
  </r>
  <r>
    <x v="4"/>
    <n v="1"/>
  </r>
  <r>
    <x v="0"/>
    <n v="1"/>
  </r>
  <r>
    <x v="4"/>
    <n v="1"/>
  </r>
  <r>
    <x v="2"/>
    <n v="1"/>
  </r>
  <r>
    <x v="4"/>
    <n v="1"/>
  </r>
  <r>
    <x v="1"/>
    <n v="1"/>
  </r>
  <r>
    <x v="2"/>
    <n v="1"/>
  </r>
  <r>
    <x v="3"/>
    <n v="1"/>
  </r>
  <r>
    <x v="0"/>
    <n v="1"/>
  </r>
  <r>
    <x v="0"/>
    <n v="1"/>
  </r>
  <r>
    <x v="0"/>
    <n v="1"/>
  </r>
  <r>
    <x v="0"/>
    <n v="1"/>
  </r>
  <r>
    <x v="0"/>
    <n v="1"/>
  </r>
  <r>
    <x v="2"/>
    <n v="1"/>
  </r>
  <r>
    <x v="2"/>
    <n v="1"/>
  </r>
  <r>
    <x v="2"/>
    <n v="1"/>
  </r>
  <r>
    <x v="0"/>
    <n v="1"/>
  </r>
  <r>
    <x v="3"/>
    <n v="1"/>
  </r>
  <r>
    <x v="4"/>
    <n v="1"/>
  </r>
  <r>
    <x v="0"/>
    <n v="1"/>
  </r>
  <r>
    <x v="1"/>
    <n v="1"/>
  </r>
  <r>
    <x v="0"/>
    <n v="1"/>
  </r>
  <r>
    <x v="4"/>
    <n v="1"/>
  </r>
  <r>
    <x v="0"/>
    <n v="1"/>
  </r>
  <r>
    <x v="4"/>
    <n v="1"/>
  </r>
  <r>
    <x v="0"/>
    <n v="1"/>
  </r>
  <r>
    <x v="0"/>
    <n v="1"/>
  </r>
  <r>
    <x v="2"/>
    <n v="1"/>
  </r>
  <r>
    <x v="1"/>
    <n v="1"/>
  </r>
  <r>
    <x v="2"/>
    <n v="1"/>
  </r>
  <r>
    <x v="1"/>
    <n v="1"/>
  </r>
  <r>
    <x v="2"/>
    <n v="1"/>
  </r>
  <r>
    <x v="2"/>
    <n v="1"/>
  </r>
  <r>
    <x v="2"/>
    <n v="1"/>
  </r>
  <r>
    <x v="3"/>
    <n v="1"/>
  </r>
  <r>
    <x v="1"/>
    <n v="1"/>
  </r>
  <r>
    <x v="0"/>
    <n v="1"/>
  </r>
  <r>
    <x v="0"/>
    <n v="1"/>
  </r>
  <r>
    <x v="0"/>
    <n v="1"/>
  </r>
  <r>
    <x v="2"/>
    <n v="1"/>
  </r>
  <r>
    <x v="1"/>
    <n v="1"/>
  </r>
  <r>
    <x v="0"/>
    <n v="1"/>
  </r>
  <r>
    <x v="2"/>
    <n v="1"/>
  </r>
  <r>
    <x v="2"/>
    <n v="1"/>
  </r>
  <r>
    <x v="2"/>
    <n v="1"/>
  </r>
  <r>
    <x v="0"/>
    <n v="1"/>
  </r>
  <r>
    <x v="2"/>
    <n v="1"/>
  </r>
  <r>
    <x v="0"/>
    <n v="1"/>
  </r>
  <r>
    <x v="0"/>
    <n v="1"/>
  </r>
  <r>
    <x v="0"/>
    <n v="1"/>
  </r>
  <r>
    <x v="2"/>
    <n v="1"/>
  </r>
  <r>
    <x v="1"/>
    <n v="1"/>
  </r>
  <r>
    <x v="2"/>
    <n v="1"/>
  </r>
  <r>
    <x v="2"/>
    <n v="1"/>
  </r>
  <r>
    <x v="2"/>
    <n v="1"/>
  </r>
  <r>
    <x v="0"/>
    <n v="1"/>
  </r>
  <r>
    <x v="5"/>
    <n v="1"/>
  </r>
  <r>
    <x v="2"/>
    <n v="1"/>
  </r>
  <r>
    <x v="2"/>
    <n v="1"/>
  </r>
  <r>
    <x v="4"/>
    <n v="1"/>
  </r>
  <r>
    <x v="2"/>
    <n v="1"/>
  </r>
  <r>
    <x v="2"/>
    <n v="1"/>
  </r>
  <r>
    <x v="0"/>
    <n v="1"/>
  </r>
  <r>
    <x v="2"/>
    <n v="1"/>
  </r>
  <r>
    <x v="0"/>
    <n v="1"/>
  </r>
  <r>
    <x v="0"/>
    <n v="1"/>
  </r>
  <r>
    <x v="2"/>
    <n v="1"/>
  </r>
  <r>
    <x v="1"/>
    <n v="1"/>
  </r>
  <r>
    <x v="0"/>
    <n v="1"/>
  </r>
  <r>
    <x v="2"/>
    <n v="1"/>
  </r>
  <r>
    <x v="0"/>
    <n v="1"/>
  </r>
  <r>
    <x v="0"/>
    <n v="1"/>
  </r>
  <r>
    <x v="0"/>
    <n v="1"/>
  </r>
  <r>
    <x v="2"/>
    <n v="1"/>
  </r>
  <r>
    <x v="0"/>
    <n v="1"/>
  </r>
  <r>
    <x v="2"/>
    <n v="1"/>
  </r>
  <r>
    <x v="0"/>
    <n v="1"/>
  </r>
  <r>
    <x v="1"/>
    <n v="1"/>
  </r>
  <r>
    <x v="0"/>
    <n v="1"/>
  </r>
  <r>
    <x v="2"/>
    <n v="1"/>
  </r>
  <r>
    <x v="2"/>
    <n v="1"/>
  </r>
  <r>
    <x v="2"/>
    <n v="1"/>
  </r>
  <r>
    <x v="0"/>
    <n v="1"/>
  </r>
  <r>
    <x v="2"/>
    <n v="1"/>
  </r>
  <r>
    <x v="2"/>
    <n v="1"/>
  </r>
  <r>
    <x v="0"/>
    <n v="1"/>
  </r>
  <r>
    <x v="0"/>
    <n v="1"/>
  </r>
  <r>
    <x v="0"/>
    <n v="1"/>
  </r>
  <r>
    <x v="0"/>
    <n v="1"/>
  </r>
  <r>
    <x v="0"/>
    <n v="1"/>
  </r>
  <r>
    <x v="0"/>
    <n v="1"/>
  </r>
  <r>
    <x v="0"/>
    <n v="1"/>
  </r>
  <r>
    <x v="2"/>
    <n v="1"/>
  </r>
  <r>
    <x v="2"/>
    <n v="1"/>
  </r>
  <r>
    <x v="2"/>
    <n v="1"/>
  </r>
  <r>
    <x v="2"/>
    <n v="1"/>
  </r>
  <r>
    <x v="0"/>
    <n v="1"/>
  </r>
  <r>
    <x v="2"/>
    <n v="1"/>
  </r>
  <r>
    <x v="4"/>
    <n v="1"/>
  </r>
  <r>
    <x v="2"/>
    <n v="1"/>
  </r>
  <r>
    <x v="2"/>
    <n v="1"/>
  </r>
  <r>
    <x v="2"/>
    <n v="1"/>
  </r>
  <r>
    <x v="2"/>
    <n v="1"/>
  </r>
  <r>
    <x v="0"/>
    <n v="1"/>
  </r>
  <r>
    <x v="0"/>
    <n v="1"/>
  </r>
  <r>
    <x v="0"/>
    <n v="1"/>
  </r>
  <r>
    <x v="2"/>
    <n v="1"/>
  </r>
  <r>
    <x v="2"/>
    <n v="1"/>
  </r>
  <r>
    <x v="2"/>
    <n v="1"/>
  </r>
  <r>
    <x v="3"/>
    <n v="1"/>
  </r>
  <r>
    <x v="2"/>
    <n v="1"/>
  </r>
  <r>
    <x v="0"/>
    <n v="1"/>
  </r>
  <r>
    <x v="0"/>
    <n v="1"/>
  </r>
  <r>
    <x v="5"/>
    <n v="1"/>
  </r>
  <r>
    <x v="0"/>
    <n v="1"/>
  </r>
  <r>
    <x v="2"/>
    <n v="1"/>
  </r>
  <r>
    <x v="4"/>
    <n v="1"/>
  </r>
  <r>
    <x v="0"/>
    <n v="1"/>
  </r>
  <r>
    <x v="0"/>
    <n v="1"/>
  </r>
  <r>
    <x v="5"/>
    <n v="1"/>
  </r>
  <r>
    <x v="0"/>
    <n v="1"/>
  </r>
  <r>
    <x v="2"/>
    <n v="1"/>
  </r>
  <r>
    <x v="0"/>
    <n v="1"/>
  </r>
  <r>
    <x v="0"/>
    <n v="1"/>
  </r>
  <r>
    <x v="0"/>
    <n v="1"/>
  </r>
  <r>
    <x v="3"/>
    <n v="1"/>
  </r>
  <r>
    <x v="0"/>
    <n v="1"/>
  </r>
  <r>
    <x v="3"/>
    <n v="1"/>
  </r>
  <r>
    <x v="0"/>
    <n v="1"/>
  </r>
  <r>
    <x v="2"/>
    <n v="1"/>
  </r>
  <r>
    <x v="4"/>
    <n v="1"/>
  </r>
  <r>
    <x v="0"/>
    <n v="1"/>
  </r>
  <r>
    <x v="0"/>
    <n v="1"/>
  </r>
  <r>
    <x v="2"/>
    <n v="1"/>
  </r>
  <r>
    <x v="0"/>
    <n v="1"/>
  </r>
  <r>
    <x v="4"/>
    <n v="1"/>
  </r>
  <r>
    <x v="2"/>
    <n v="1"/>
  </r>
  <r>
    <x v="5"/>
    <n v="1"/>
  </r>
  <r>
    <x v="4"/>
    <n v="1"/>
  </r>
  <r>
    <x v="2"/>
    <n v="1"/>
  </r>
  <r>
    <x v="3"/>
    <n v="1"/>
  </r>
  <r>
    <x v="0"/>
    <n v="1"/>
  </r>
  <r>
    <x v="3"/>
    <n v="1"/>
  </r>
  <r>
    <x v="2"/>
    <n v="1"/>
  </r>
  <r>
    <x v="3"/>
    <n v="1"/>
  </r>
  <r>
    <x v="3"/>
    <n v="1"/>
  </r>
  <r>
    <x v="0"/>
    <n v="1"/>
  </r>
  <r>
    <x v="2"/>
    <n v="1"/>
  </r>
  <r>
    <x v="3"/>
    <n v="1"/>
  </r>
  <r>
    <x v="4"/>
    <n v="1"/>
  </r>
  <r>
    <x v="0"/>
    <n v="1"/>
  </r>
  <r>
    <x v="4"/>
    <n v="1"/>
  </r>
  <r>
    <x v="2"/>
    <n v="1"/>
  </r>
  <r>
    <x v="4"/>
    <n v="1"/>
  </r>
  <r>
    <x v="2"/>
    <n v="1"/>
  </r>
  <r>
    <x v="2"/>
    <n v="1"/>
  </r>
  <r>
    <x v="4"/>
    <n v="1"/>
  </r>
  <r>
    <x v="0"/>
    <n v="1"/>
  </r>
  <r>
    <x v="0"/>
    <n v="1"/>
  </r>
  <r>
    <x v="2"/>
    <n v="1"/>
  </r>
  <r>
    <x v="0"/>
    <n v="1"/>
  </r>
  <r>
    <x v="0"/>
    <n v="1"/>
  </r>
  <r>
    <x v="3"/>
    <n v="1"/>
  </r>
  <r>
    <x v="1"/>
    <n v="1"/>
  </r>
  <r>
    <x v="2"/>
    <n v="1"/>
  </r>
  <r>
    <x v="3"/>
    <n v="1"/>
  </r>
  <r>
    <x v="4"/>
    <n v="1"/>
  </r>
  <r>
    <x v="3"/>
    <n v="1"/>
  </r>
  <r>
    <x v="2"/>
    <n v="1"/>
  </r>
  <r>
    <x v="0"/>
    <n v="1"/>
  </r>
  <r>
    <x v="2"/>
    <n v="1"/>
  </r>
  <r>
    <x v="1"/>
    <n v="1"/>
  </r>
  <r>
    <x v="0"/>
    <n v="1"/>
  </r>
  <r>
    <x v="0"/>
    <n v="1"/>
  </r>
  <r>
    <x v="0"/>
    <n v="1"/>
  </r>
  <r>
    <x v="2"/>
    <n v="1"/>
  </r>
  <r>
    <x v="0"/>
    <n v="1"/>
  </r>
  <r>
    <x v="0"/>
    <n v="1"/>
  </r>
  <r>
    <x v="2"/>
    <n v="1"/>
  </r>
  <r>
    <x v="2"/>
    <n v="1"/>
  </r>
  <r>
    <x v="5"/>
    <n v="1"/>
  </r>
  <r>
    <x v="0"/>
    <n v="1"/>
  </r>
  <r>
    <x v="2"/>
    <n v="1"/>
  </r>
  <r>
    <x v="0"/>
    <n v="1"/>
  </r>
  <r>
    <x v="0"/>
    <n v="1"/>
  </r>
  <r>
    <x v="0"/>
    <n v="1"/>
  </r>
  <r>
    <x v="3"/>
    <n v="1"/>
  </r>
  <r>
    <x v="2"/>
    <n v="1"/>
  </r>
  <r>
    <x v="2"/>
    <n v="1"/>
  </r>
  <r>
    <x v="2"/>
    <n v="1"/>
  </r>
  <r>
    <x v="0"/>
    <n v="1"/>
  </r>
  <r>
    <x v="4"/>
    <n v="1"/>
  </r>
  <r>
    <x v="2"/>
    <n v="1"/>
  </r>
  <r>
    <x v="2"/>
    <n v="1"/>
  </r>
  <r>
    <x v="0"/>
    <n v="1"/>
  </r>
  <r>
    <x v="0"/>
    <n v="1"/>
  </r>
  <r>
    <x v="2"/>
    <n v="1"/>
  </r>
  <r>
    <x v="3"/>
    <n v="1"/>
  </r>
  <r>
    <x v="2"/>
    <n v="1"/>
  </r>
  <r>
    <x v="3"/>
    <n v="1"/>
  </r>
  <r>
    <x v="2"/>
    <n v="1"/>
  </r>
  <r>
    <x v="0"/>
    <n v="1"/>
  </r>
  <r>
    <x v="2"/>
    <n v="1"/>
  </r>
  <r>
    <x v="5"/>
    <n v="1"/>
  </r>
  <r>
    <x v="5"/>
    <n v="1"/>
  </r>
  <r>
    <x v="0"/>
    <n v="1"/>
  </r>
  <r>
    <x v="1"/>
    <n v="1"/>
  </r>
  <r>
    <x v="0"/>
    <n v="1"/>
  </r>
  <r>
    <x v="0"/>
    <n v="1"/>
  </r>
  <r>
    <x v="2"/>
    <n v="1"/>
  </r>
  <r>
    <x v="3"/>
    <n v="1"/>
  </r>
  <r>
    <x v="4"/>
    <n v="1"/>
  </r>
  <r>
    <x v="0"/>
    <n v="1"/>
  </r>
  <r>
    <x v="0"/>
    <n v="1"/>
  </r>
  <r>
    <x v="0"/>
    <n v="1"/>
  </r>
  <r>
    <x v="0"/>
    <n v="1"/>
  </r>
  <r>
    <x v="0"/>
    <n v="1"/>
  </r>
  <r>
    <x v="3"/>
    <n v="1"/>
  </r>
  <r>
    <x v="4"/>
    <n v="1"/>
  </r>
  <r>
    <x v="2"/>
    <n v="1"/>
  </r>
  <r>
    <x v="2"/>
    <n v="1"/>
  </r>
  <r>
    <x v="2"/>
    <n v="1"/>
  </r>
  <r>
    <x v="0"/>
    <n v="1"/>
  </r>
  <r>
    <x v="0"/>
    <n v="1"/>
  </r>
  <r>
    <x v="0"/>
    <n v="1"/>
  </r>
  <r>
    <x v="0"/>
    <n v="1"/>
  </r>
  <r>
    <x v="1"/>
    <n v="1"/>
  </r>
  <r>
    <x v="4"/>
    <n v="1"/>
  </r>
  <r>
    <x v="2"/>
    <n v="1"/>
  </r>
  <r>
    <x v="2"/>
    <n v="1"/>
  </r>
  <r>
    <x v="0"/>
    <n v="1"/>
  </r>
  <r>
    <x v="4"/>
    <n v="1"/>
  </r>
  <r>
    <x v="0"/>
    <n v="1"/>
  </r>
  <r>
    <x v="0"/>
    <n v="1"/>
  </r>
  <r>
    <x v="0"/>
    <n v="1"/>
  </r>
  <r>
    <x v="2"/>
    <n v="1"/>
  </r>
  <r>
    <x v="1"/>
    <n v="1"/>
  </r>
  <r>
    <x v="0"/>
    <n v="1"/>
  </r>
  <r>
    <x v="5"/>
    <n v="1"/>
  </r>
  <r>
    <x v="0"/>
    <n v="1"/>
  </r>
  <r>
    <x v="0"/>
    <n v="1"/>
  </r>
  <r>
    <x v="2"/>
    <n v="1"/>
  </r>
  <r>
    <x v="2"/>
    <n v="1"/>
  </r>
  <r>
    <x v="0"/>
    <n v="1"/>
  </r>
  <r>
    <x v="4"/>
    <n v="1"/>
  </r>
  <r>
    <x v="0"/>
    <n v="1"/>
  </r>
  <r>
    <x v="3"/>
    <n v="1"/>
  </r>
  <r>
    <x v="3"/>
    <n v="1"/>
  </r>
  <r>
    <x v="2"/>
    <n v="1"/>
  </r>
  <r>
    <x v="2"/>
    <n v="1"/>
  </r>
  <r>
    <x v="2"/>
    <n v="1"/>
  </r>
  <r>
    <x v="2"/>
    <n v="1"/>
  </r>
  <r>
    <x v="1"/>
    <n v="1"/>
  </r>
  <r>
    <x v="2"/>
    <n v="1"/>
  </r>
  <r>
    <x v="3"/>
    <n v="1"/>
  </r>
  <r>
    <x v="0"/>
    <n v="1"/>
  </r>
  <r>
    <x v="4"/>
    <n v="1"/>
  </r>
  <r>
    <x v="0"/>
    <n v="1"/>
  </r>
  <r>
    <x v="4"/>
    <n v="1"/>
  </r>
  <r>
    <x v="1"/>
    <n v="1"/>
  </r>
  <r>
    <x v="3"/>
    <n v="1"/>
  </r>
  <r>
    <x v="4"/>
    <n v="1"/>
  </r>
  <r>
    <x v="3"/>
    <n v="1"/>
  </r>
  <r>
    <x v="2"/>
    <n v="1"/>
  </r>
  <r>
    <x v="2"/>
    <n v="1"/>
  </r>
  <r>
    <x v="0"/>
    <n v="1"/>
  </r>
  <r>
    <x v="0"/>
    <n v="1"/>
  </r>
  <r>
    <x v="0"/>
    <n v="1"/>
  </r>
  <r>
    <x v="0"/>
    <n v="1"/>
  </r>
  <r>
    <x v="3"/>
    <n v="1"/>
  </r>
  <r>
    <x v="5"/>
    <n v="1"/>
  </r>
  <r>
    <x v="2"/>
    <n v="1"/>
  </r>
  <r>
    <x v="2"/>
    <n v="1"/>
  </r>
  <r>
    <x v="2"/>
    <n v="1"/>
  </r>
  <r>
    <x v="0"/>
    <n v="1"/>
  </r>
  <r>
    <x v="3"/>
    <n v="1"/>
  </r>
  <r>
    <x v="2"/>
    <n v="1"/>
  </r>
  <r>
    <x v="2"/>
    <n v="1"/>
  </r>
  <r>
    <x v="0"/>
    <n v="1"/>
  </r>
  <r>
    <x v="2"/>
    <n v="1"/>
  </r>
  <r>
    <x v="0"/>
    <n v="1"/>
  </r>
  <r>
    <x v="4"/>
    <n v="1"/>
  </r>
  <r>
    <x v="0"/>
    <n v="1"/>
  </r>
  <r>
    <x v="0"/>
    <n v="1"/>
  </r>
  <r>
    <x v="3"/>
    <n v="1"/>
  </r>
  <r>
    <x v="0"/>
    <n v="1"/>
  </r>
  <r>
    <x v="3"/>
    <n v="1"/>
  </r>
  <r>
    <x v="0"/>
    <n v="1"/>
  </r>
  <r>
    <x v="0"/>
    <n v="1"/>
  </r>
  <r>
    <x v="0"/>
    <n v="1"/>
  </r>
  <r>
    <x v="0"/>
    <n v="1"/>
  </r>
  <r>
    <x v="1"/>
    <n v="1"/>
  </r>
  <r>
    <x v="5"/>
    <n v="1"/>
  </r>
  <r>
    <x v="2"/>
    <n v="1"/>
  </r>
  <r>
    <x v="3"/>
    <n v="1"/>
  </r>
  <r>
    <x v="0"/>
    <n v="1"/>
  </r>
  <r>
    <x v="2"/>
    <n v="1"/>
  </r>
  <r>
    <x v="2"/>
    <n v="1"/>
  </r>
  <r>
    <x v="0"/>
    <n v="1"/>
  </r>
  <r>
    <x v="1"/>
    <n v="1"/>
  </r>
  <r>
    <x v="4"/>
    <n v="1"/>
  </r>
  <r>
    <x v="3"/>
    <n v="1"/>
  </r>
  <r>
    <x v="5"/>
    <n v="1"/>
  </r>
  <r>
    <x v="2"/>
    <n v="1"/>
  </r>
  <r>
    <x v="1"/>
    <n v="1"/>
  </r>
  <r>
    <x v="2"/>
    <n v="1"/>
  </r>
  <r>
    <x v="2"/>
    <n v="1"/>
  </r>
  <r>
    <x v="0"/>
    <n v="1"/>
  </r>
  <r>
    <x v="0"/>
    <n v="1"/>
  </r>
  <r>
    <x v="0"/>
    <n v="1"/>
  </r>
  <r>
    <x v="0"/>
    <n v="1"/>
  </r>
  <r>
    <x v="0"/>
    <n v="1"/>
  </r>
  <r>
    <x v="2"/>
    <n v="1"/>
  </r>
  <r>
    <x v="2"/>
    <n v="1"/>
  </r>
  <r>
    <x v="0"/>
    <n v="1"/>
  </r>
  <r>
    <x v="2"/>
    <n v="1"/>
  </r>
  <r>
    <x v="2"/>
    <n v="1"/>
  </r>
  <r>
    <x v="0"/>
    <n v="1"/>
  </r>
  <r>
    <x v="0"/>
    <n v="1"/>
  </r>
  <r>
    <x v="2"/>
    <n v="1"/>
  </r>
  <r>
    <x v="0"/>
    <n v="1"/>
  </r>
  <r>
    <x v="2"/>
    <n v="1"/>
  </r>
  <r>
    <x v="3"/>
    <n v="1"/>
  </r>
  <r>
    <x v="0"/>
    <n v="1"/>
  </r>
  <r>
    <x v="1"/>
    <n v="1"/>
  </r>
  <r>
    <x v="0"/>
    <n v="1"/>
  </r>
  <r>
    <x v="2"/>
    <n v="1"/>
  </r>
  <r>
    <x v="2"/>
    <n v="1"/>
  </r>
  <r>
    <x v="0"/>
    <n v="1"/>
  </r>
  <r>
    <x v="3"/>
    <n v="1"/>
  </r>
  <r>
    <x v="2"/>
    <n v="1"/>
  </r>
  <r>
    <x v="0"/>
    <n v="1"/>
  </r>
  <r>
    <x v="0"/>
    <n v="1"/>
  </r>
  <r>
    <x v="2"/>
    <n v="1"/>
  </r>
  <r>
    <x v="0"/>
    <n v="1"/>
  </r>
  <r>
    <x v="4"/>
    <n v="1"/>
  </r>
  <r>
    <x v="0"/>
    <n v="1"/>
  </r>
  <r>
    <x v="3"/>
    <n v="1"/>
  </r>
  <r>
    <x v="3"/>
    <n v="1"/>
  </r>
  <r>
    <x v="0"/>
    <n v="1"/>
  </r>
  <r>
    <x v="4"/>
    <n v="1"/>
  </r>
  <r>
    <x v="0"/>
    <n v="1"/>
  </r>
  <r>
    <x v="0"/>
    <n v="1"/>
  </r>
  <r>
    <x v="0"/>
    <n v="1"/>
  </r>
  <r>
    <x v="3"/>
    <n v="1"/>
  </r>
  <r>
    <x v="0"/>
    <n v="1"/>
  </r>
  <r>
    <x v="0"/>
    <n v="1"/>
  </r>
  <r>
    <x v="0"/>
    <n v="1"/>
  </r>
  <r>
    <x v="2"/>
    <n v="1"/>
  </r>
  <r>
    <x v="0"/>
    <n v="1"/>
  </r>
  <r>
    <x v="1"/>
    <n v="1"/>
  </r>
  <r>
    <x v="2"/>
    <n v="1"/>
  </r>
  <r>
    <x v="3"/>
    <n v="1"/>
  </r>
  <r>
    <x v="3"/>
    <n v="1"/>
  </r>
  <r>
    <x v="2"/>
    <n v="1"/>
  </r>
  <r>
    <x v="1"/>
    <n v="1"/>
  </r>
  <r>
    <x v="2"/>
    <n v="1"/>
  </r>
  <r>
    <x v="2"/>
    <n v="1"/>
  </r>
  <r>
    <x v="0"/>
    <n v="1"/>
  </r>
  <r>
    <x v="2"/>
    <n v="1"/>
  </r>
  <r>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0D3EE-28F8-4544-91BA-E330CAA1C98A}"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Education field">
  <location ref="Q18:R25" firstHeaderRow="1" firstDataRow="1" firstDataCol="1"/>
  <pivotFields count="2">
    <pivotField axis="axisRow" showAll="0">
      <items count="7">
        <item x="5"/>
        <item x="0"/>
        <item x="3"/>
        <item x="2"/>
        <item x="1"/>
        <item x="4"/>
        <item t="default"/>
      </items>
    </pivotField>
    <pivotField dataField="1" showAll="0"/>
  </pivotFields>
  <rowFields count="1">
    <field x="0"/>
  </rowFields>
  <rowItems count="7">
    <i>
      <x/>
    </i>
    <i>
      <x v="1"/>
    </i>
    <i>
      <x v="2"/>
    </i>
    <i>
      <x v="3"/>
    </i>
    <i>
      <x v="4"/>
    </i>
    <i>
      <x v="5"/>
    </i>
    <i t="grand">
      <x/>
    </i>
  </rowItems>
  <colItems count="1">
    <i/>
  </colItems>
  <dataFields count="1">
    <dataField name="Sum of EmployeeCount" fld="1" baseField="0" baseItem="0"/>
  </dataFields>
  <chartFormats count="4">
    <chartFormat chart="0"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AB1078-BE8E-4CEE-9B2F-83FC407DDEF5}"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usiness Travel">
  <location ref="Q2:R6" firstHeaderRow="1" firstDataRow="1" firstDataCol="1"/>
  <pivotFields count="35">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JobSatisfaction" fld="16" subtotal="average" baseField="2" baseItem="0"/>
  </dataFields>
  <formats count="2">
    <format dxfId="34">
      <pivotArea collapsedLevelsAreSubtotals="1" fieldPosition="0">
        <references count="1">
          <reference field="2" count="0"/>
        </references>
      </pivotArea>
    </format>
    <format dxfId="33">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F5B983-0245-4E94-A396-CEB7BAD2C7E4}"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M18:N21"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 of StockOptionLevel"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58F7D9-3A2E-40CD-BA9F-8AAE8687ACC4}"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M2:N5"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
  </rowFields>
  <rowItems count="3">
    <i>
      <x/>
    </i>
    <i>
      <x v="1"/>
    </i>
    <i t="grand">
      <x/>
    </i>
  </rowItems>
  <colItems count="1">
    <i/>
  </colItems>
  <dataFields count="1">
    <dataField name="Sum of TrainingTimesLastYear"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B694FF-BCD3-474E-B38C-582771148F2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arital status">
  <location ref="I18:J22" firstHeaderRow="1" firstDataRow="1" firstDataCol="1"/>
  <pivotFields count="35">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Attrition rate" fld="1" subtotal="count" showDataAs="percentOfTotal" baseField="0"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7"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2FC5E5-9902-4E22-B827-E381E231A59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
  <location ref="E2:F12"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3" numFmtId="2"/>
  </dataFields>
  <formats count="2">
    <format dxfId="35">
      <pivotArea collapsedLevelsAreSubtotals="1" fieldPosition="0">
        <references count="1">
          <reference field="15" count="0"/>
        </references>
      </pivotArea>
    </format>
    <format dxfId="3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35C71-452F-4ABF-A6DF-71EC6CEA869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location ref="A3:B7" firstHeaderRow="1" firstDataRow="1" firstDataCol="1"/>
  <pivotFields count="35">
    <pivotField showAll="0"/>
    <pivotField dataField="1"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v="1"/>
    </i>
    <i>
      <x v="2"/>
    </i>
    <i>
      <x/>
    </i>
    <i t="grand">
      <x/>
    </i>
  </rowItems>
  <colItems count="1">
    <i/>
  </colItems>
  <dataFields count="1">
    <dataField name="Attrition Rate" fld="1" subtotal="count" showDataAs="percentOfTotal" baseField="0" baseItem="0" numFmtId="1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14ACD0-DB82-4B54-8C8F-FD5C0D66D530}"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involvement">
  <location ref="E18:F23" firstHeaderRow="1" firstDataRow="1" firstDataCol="1"/>
  <pivotFields count="35">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Attrition"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B5B057-2BFB-48D7-B2A4-DAA9FE1770AA}"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erformance Rating">
  <location ref="A18:B21"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BB8B41-5860-4C0A-8DAE-8BF81AC2E2D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I4:J7" firstHeaderRow="1" firstDataRow="1" firstDataCol="1" rowPageCount="1" colPageCount="1"/>
  <pivotFields count="35">
    <pivotField showAll="0"/>
    <pivotField axis="axisPage"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1" item="1" hier="-1"/>
  </pageFields>
  <dataFields count="1">
    <dataField name="Attrition rate" fld="1"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644F0D-CD79-49AB-B733-3C7D1F95201B}" autoFormatId="16" applyNumberFormats="0" applyBorderFormats="0" applyFontFormats="0" applyPatternFormats="0" applyAlignmentFormats="0" applyWidthHeightFormats="0">
  <queryTableRefresh nextId="37">
    <queryTableFields count="36">
      <queryTableField id="1" name="Age" tableColumnId="1"/>
      <queryTableField id="36" dataBound="0" tableColumnId="36"/>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93515D5-67A0-4062-86BF-05C04D765CB9}" sourceName="Department">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s>
  <data>
    <tabular pivotCacheId="177698420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B0CB8F-BF4A-4BB8-AD23-193CF73E6982}" sourceName="Gender">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s>
  <data>
    <tabular pivotCacheId="177698420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2D926BA5-5787-4D9E-9F9B-DC2DD4D70079}" sourceName="PerformanceRating">
  <pivotTables>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s>
  <data>
    <tabular pivotCacheId="177698420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D9603D3-1996-4A4E-B817-C2B27040576D}" cache="Slicer_Department" caption="Department" rowHeight="241300"/>
  <slicer name="Gender" xr10:uid="{EC1F85A0-2494-4BDE-BE25-2A12A64E97F2}" cache="Slicer_Gender" caption="Gender" rowHeight="241300"/>
  <slicer name="PerformanceRating" xr10:uid="{4B72F56A-1A2A-4AAD-B325-F42D1DA50A5D}" cache="Slicer_PerformanceRating" caption="PerformanceRating"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1503E-CF3B-4571-9289-80B8A5850A88}" name="Adecco_India" displayName="Adecco_India" ref="A1:AJ1471" tableType="queryTable" totalsRowShown="0">
  <autoFilter ref="A1:AJ1471" xr:uid="{54A1503E-CF3B-4571-9289-80B8A5850A88}"/>
  <tableColumns count="36">
    <tableColumn id="1" xr3:uid="{900B04AA-09E8-4741-81EE-FDE0086183A1}" uniqueName="1" name="Age" queryTableFieldId="1"/>
    <tableColumn id="36" xr3:uid="{3DC5FCE7-4336-4350-9126-E01769EDE41C}" uniqueName="36" name="attrition_num" queryTableFieldId="36" dataDxfId="45">
      <calculatedColumnFormula>IF(Adecco_India[[#This Row],[Attrition]]="Yes",1,0)</calculatedColumnFormula>
    </tableColumn>
    <tableColumn id="2" xr3:uid="{4CE1258D-9DDB-4078-AB1F-1083621ADF0E}" uniqueName="2" name="Attrition" queryTableFieldId="2" dataDxfId="44"/>
    <tableColumn id="3" xr3:uid="{67B29636-8507-4F52-9A7F-B91ED1C43ABA}" uniqueName="3" name="BusinessTravel" queryTableFieldId="3" dataDxfId="43"/>
    <tableColumn id="4" xr3:uid="{61FE725D-6126-4FCC-A782-8BC63FE729ED}" uniqueName="4" name="DailyRate" queryTableFieldId="4"/>
    <tableColumn id="5" xr3:uid="{3785F38B-B51A-418B-A3BD-6E14BBD323C2}" uniqueName="5" name="Department" queryTableFieldId="5" dataDxfId="42"/>
    <tableColumn id="6" xr3:uid="{841883E4-EC50-40C9-87B2-DAE089C9FBBA}" uniqueName="6" name="DistanceFromHome" queryTableFieldId="6"/>
    <tableColumn id="7" xr3:uid="{20851F6A-67DE-4B7A-ADCD-463D26E47B52}" uniqueName="7" name="Education" queryTableFieldId="7"/>
    <tableColumn id="8" xr3:uid="{73769E66-AF56-4C3C-A7F0-B162135867C3}" uniqueName="8" name="EducationField" queryTableFieldId="8" dataDxfId="41"/>
    <tableColumn id="9" xr3:uid="{06391CCF-F1B4-409F-9A45-2160DC865BAC}" uniqueName="9" name="EmployeeCount" queryTableFieldId="9"/>
    <tableColumn id="10" xr3:uid="{1B97DEEC-BD93-4490-A19A-2B64C4EB7081}" uniqueName="10" name="EmployeeNumber" queryTableFieldId="10"/>
    <tableColumn id="11" xr3:uid="{D9F552F7-C77B-4DD6-9964-BD24E6F75FEB}" uniqueName="11" name="EnvironmentSatisfaction" queryTableFieldId="11"/>
    <tableColumn id="12" xr3:uid="{7C63AB9F-FA47-41C4-84FF-AE77E756BDCC}" uniqueName="12" name="Gender" queryTableFieldId="12" dataDxfId="40"/>
    <tableColumn id="13" xr3:uid="{E27B3B6C-74C9-46D4-B2F6-B06E5A9B3C56}" uniqueName="13" name="HourlyRate" queryTableFieldId="13"/>
    <tableColumn id="14" xr3:uid="{65F5B40F-719D-408A-A511-621998586D53}" uniqueName="14" name="JobInvolvement" queryTableFieldId="14"/>
    <tableColumn id="15" xr3:uid="{D9B27230-99F4-4C9E-881F-6E3CB45A13FF}" uniqueName="15" name="JobLevel" queryTableFieldId="15"/>
    <tableColumn id="16" xr3:uid="{23060B45-6E9D-49AD-8771-D3057FC4DE5E}" uniqueName="16" name="JobRole" queryTableFieldId="16" dataDxfId="39"/>
    <tableColumn id="17" xr3:uid="{036E7E02-DEA2-4BBD-9520-01F637B6F31C}" uniqueName="17" name="JobSatisfaction" queryTableFieldId="17"/>
    <tableColumn id="18" xr3:uid="{1896BCBF-7C84-4CC4-B3D3-5FFE67914A63}" uniqueName="18" name="MaritalStatus" queryTableFieldId="18" dataDxfId="38"/>
    <tableColumn id="19" xr3:uid="{0CC45A9D-AC5D-4DF1-80A0-0DF05DAFA333}" uniqueName="19" name="MonthlyIncome" queryTableFieldId="19"/>
    <tableColumn id="20" xr3:uid="{578759C1-1DD1-4735-989B-B69E0FFE55F9}" uniqueName="20" name="MonthlyRate" queryTableFieldId="20"/>
    <tableColumn id="21" xr3:uid="{74071288-F41E-4E1B-B5F0-16C512FC9A1E}" uniqueName="21" name="NumCompaniesWorked" queryTableFieldId="21"/>
    <tableColumn id="22" xr3:uid="{81DE5EDE-A2B4-422D-9869-C63115C3A92B}" uniqueName="22" name="Over18" queryTableFieldId="22" dataDxfId="37"/>
    <tableColumn id="23" xr3:uid="{0DBDB084-E851-40B1-ABA5-F096C199AB17}" uniqueName="23" name="OverTime" queryTableFieldId="23" dataDxfId="36"/>
    <tableColumn id="24" xr3:uid="{38924367-2903-46CE-8484-1323F9863DF7}" uniqueName="24" name="PercentSalaryHike" queryTableFieldId="24"/>
    <tableColumn id="25" xr3:uid="{7555877F-E86A-41E0-AE4A-6BF46E28E1C4}" uniqueName="25" name="PerformanceRating" queryTableFieldId="25"/>
    <tableColumn id="26" xr3:uid="{9DD833E1-48B4-4407-A593-96B0BB24FED9}" uniqueName="26" name="RelationshipSatisfaction" queryTableFieldId="26"/>
    <tableColumn id="27" xr3:uid="{7388CC08-0B77-4394-8151-CCBF5E852770}" uniqueName="27" name="StandardHours" queryTableFieldId="27"/>
    <tableColumn id="28" xr3:uid="{4EF8D5D4-1B34-4306-A02C-25C8608DA4F3}" uniqueName="28" name="StockOptionLevel" queryTableFieldId="28"/>
    <tableColumn id="29" xr3:uid="{248ABC8B-A0EB-4273-9DBA-563A4D6B561F}" uniqueName="29" name="TotalWorkingYears" queryTableFieldId="29"/>
    <tableColumn id="30" xr3:uid="{8C9EA7A2-A90E-4544-8EDD-C0EF96065CAA}" uniqueName="30" name="TrainingTimesLastYear" queryTableFieldId="30"/>
    <tableColumn id="31" xr3:uid="{9F0F3E36-0FC8-46F0-B966-33D5C8841145}" uniqueName="31" name="WorkLifeBalance" queryTableFieldId="31"/>
    <tableColumn id="32" xr3:uid="{74E5B380-F573-4AF0-8A7E-4C0CA6F449F2}" uniqueName="32" name="YearsAtCompany" queryTableFieldId="32"/>
    <tableColumn id="33" xr3:uid="{439DB5A9-273E-4D19-B06B-1B70DDAE4908}" uniqueName="33" name="YearsInCurrentRole" queryTableFieldId="33"/>
    <tableColumn id="34" xr3:uid="{7BB6DA61-98B9-4905-9445-37153F7D80D7}" uniqueName="34" name="YearsSinceLastPromotion" queryTableFieldId="34"/>
    <tableColumn id="35" xr3:uid="{FD271BA3-37A3-4CC1-B6A2-25CCE4DDE48B}" uniqueName="35" name="YearsWithCurrManager" queryTableFieldId="35"/>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1502-32FE-4657-94D3-81EABBF59AD1}">
  <dimension ref="A1:AJ1471"/>
  <sheetViews>
    <sheetView topLeftCell="AD1" workbookViewId="0">
      <selection activeCell="AM10" sqref="AM10"/>
    </sheetView>
  </sheetViews>
  <sheetFormatPr defaultRowHeight="15" x14ac:dyDescent="0.25"/>
  <cols>
    <col min="1" max="1" width="6.7109375" bestFit="1" customWidth="1"/>
    <col min="2" max="2" width="15.7109375" bestFit="1" customWidth="1"/>
    <col min="3" max="3" width="10.85546875" bestFit="1" customWidth="1"/>
    <col min="4" max="4" width="17.42578125" bestFit="1" customWidth="1"/>
    <col min="5" max="5" width="11.7109375" bestFit="1" customWidth="1"/>
    <col min="6" max="6" width="23.85546875" bestFit="1" customWidth="1"/>
    <col min="7" max="7" width="21" bestFit="1" customWidth="1"/>
    <col min="8" max="8" width="12" bestFit="1" customWidth="1"/>
    <col min="9" max="9" width="16.85546875" bestFit="1" customWidth="1"/>
    <col min="10" max="10" width="17.5703125" bestFit="1" customWidth="1"/>
    <col min="11" max="11" width="19.7109375" bestFit="1" customWidth="1"/>
    <col min="12" max="12" width="25.42578125" bestFit="1" customWidth="1"/>
    <col min="13" max="13" width="10" bestFit="1" customWidth="1"/>
    <col min="14" max="14" width="13.140625" bestFit="1" customWidth="1"/>
    <col min="15" max="15" width="17.7109375" bestFit="1" customWidth="1"/>
    <col min="16" max="16" width="11" bestFit="1" customWidth="1"/>
    <col min="17" max="17" width="25" bestFit="1" customWidth="1"/>
    <col min="18" max="18" width="16.7109375" bestFit="1" customWidth="1"/>
    <col min="19" max="19" width="15.140625" bestFit="1" customWidth="1"/>
    <col min="20" max="20" width="17.5703125" bestFit="1" customWidth="1"/>
    <col min="21" max="21" width="14.85546875" bestFit="1" customWidth="1"/>
    <col min="22" max="22" width="25" bestFit="1" customWidth="1"/>
    <col min="23" max="23" width="9.5703125" bestFit="1" customWidth="1"/>
    <col min="24" max="24" width="12" bestFit="1" customWidth="1"/>
    <col min="25" max="25" width="19.7109375" bestFit="1" customWidth="1"/>
    <col min="26" max="26" width="20.5703125" bestFit="1" customWidth="1"/>
    <col min="27" max="27" width="25.140625" bestFit="1" customWidth="1"/>
    <col min="28" max="28" width="16.42578125" bestFit="1" customWidth="1"/>
    <col min="29" max="29" width="19" bestFit="1" customWidth="1"/>
    <col min="30" max="30" width="20.42578125" bestFit="1" customWidth="1"/>
    <col min="31" max="31" width="23.42578125" bestFit="1" customWidth="1"/>
    <col min="32" max="32" width="18.42578125" bestFit="1" customWidth="1"/>
    <col min="33" max="33" width="18.5703125" bestFit="1" customWidth="1"/>
    <col min="34" max="34" width="20.85546875" bestFit="1" customWidth="1"/>
    <col min="35" max="35" width="26.140625" bestFit="1" customWidth="1"/>
    <col min="36" max="36" width="24.5703125" bestFit="1" customWidth="1"/>
  </cols>
  <sheetData>
    <row r="1" spans="1:36" x14ac:dyDescent="0.25">
      <c r="A1" t="s">
        <v>0</v>
      </c>
      <c r="B1" t="s">
        <v>78</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25">
      <c r="A2">
        <v>41</v>
      </c>
      <c r="B2">
        <f>IF(Adecco_India[[#This Row],[Attrition]]="Yes",1,0)</f>
        <v>1</v>
      </c>
      <c r="C2" t="s">
        <v>35</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36" x14ac:dyDescent="0.25">
      <c r="A3">
        <v>49</v>
      </c>
      <c r="B3">
        <f>IF(Adecco_India[[#This Row],[Attrition]]="Yes",1,0)</f>
        <v>0</v>
      </c>
      <c r="C3" t="s">
        <v>43</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row>
    <row r="4" spans="1:36" x14ac:dyDescent="0.25">
      <c r="A4">
        <v>37</v>
      </c>
      <c r="B4">
        <f>IF(Adecco_India[[#This Row],[Attrition]]="Yes",1,0)</f>
        <v>1</v>
      </c>
      <c r="C4" t="s">
        <v>35</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row>
    <row r="5" spans="1:36" x14ac:dyDescent="0.25">
      <c r="A5">
        <v>33</v>
      </c>
      <c r="B5">
        <f>IF(Adecco_India[[#This Row],[Attrition]]="Yes",1,0)</f>
        <v>0</v>
      </c>
      <c r="C5" t="s">
        <v>43</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row>
    <row r="6" spans="1:36" x14ac:dyDescent="0.25">
      <c r="A6">
        <v>27</v>
      </c>
      <c r="B6">
        <f>IF(Adecco_India[[#This Row],[Attrition]]="Yes",1,0)</f>
        <v>0</v>
      </c>
      <c r="C6" t="s">
        <v>43</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row>
    <row r="7" spans="1:36" x14ac:dyDescent="0.25">
      <c r="A7">
        <v>32</v>
      </c>
      <c r="B7">
        <f>IF(Adecco_India[[#This Row],[Attrition]]="Yes",1,0)</f>
        <v>0</v>
      </c>
      <c r="C7" t="s">
        <v>43</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row>
    <row r="8" spans="1:36" x14ac:dyDescent="0.25">
      <c r="A8">
        <v>59</v>
      </c>
      <c r="B8">
        <f>IF(Adecco_India[[#This Row],[Attrition]]="Yes",1,0)</f>
        <v>0</v>
      </c>
      <c r="C8" t="s">
        <v>43</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row>
    <row r="9" spans="1:36" x14ac:dyDescent="0.25">
      <c r="A9">
        <v>30</v>
      </c>
      <c r="B9">
        <f>IF(Adecco_India[[#This Row],[Attrition]]="Yes",1,0)</f>
        <v>0</v>
      </c>
      <c r="C9" t="s">
        <v>43</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row>
    <row r="10" spans="1:36" x14ac:dyDescent="0.25">
      <c r="A10">
        <v>38</v>
      </c>
      <c r="B10">
        <f>IF(Adecco_India[[#This Row],[Attrition]]="Yes",1,0)</f>
        <v>0</v>
      </c>
      <c r="C10" t="s">
        <v>43</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row>
    <row r="11" spans="1:36" x14ac:dyDescent="0.25">
      <c r="A11">
        <v>36</v>
      </c>
      <c r="B11">
        <f>IF(Adecco_India[[#This Row],[Attrition]]="Yes",1,0)</f>
        <v>0</v>
      </c>
      <c r="C11" t="s">
        <v>43</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36" x14ac:dyDescent="0.25">
      <c r="A12">
        <v>35</v>
      </c>
      <c r="B12">
        <f>IF(Adecco_India[[#This Row],[Attrition]]="Yes",1,0)</f>
        <v>0</v>
      </c>
      <c r="C12" t="s">
        <v>43</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36" x14ac:dyDescent="0.25">
      <c r="A13">
        <v>29</v>
      </c>
      <c r="B13">
        <f>IF(Adecco_India[[#This Row],[Attrition]]="Yes",1,0)</f>
        <v>0</v>
      </c>
      <c r="C13" t="s">
        <v>43</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36" x14ac:dyDescent="0.25">
      <c r="A14">
        <v>31</v>
      </c>
      <c r="B14">
        <f>IF(Adecco_India[[#This Row],[Attrition]]="Yes",1,0)</f>
        <v>0</v>
      </c>
      <c r="C14" t="s">
        <v>43</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36" x14ac:dyDescent="0.25">
      <c r="A15">
        <v>34</v>
      </c>
      <c r="B15">
        <f>IF(Adecco_India[[#This Row],[Attrition]]="Yes",1,0)</f>
        <v>0</v>
      </c>
      <c r="C15" t="s">
        <v>43</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36" x14ac:dyDescent="0.25">
      <c r="A16">
        <v>28</v>
      </c>
      <c r="B16">
        <f>IF(Adecco_India[[#This Row],[Attrition]]="Yes",1,0)</f>
        <v>1</v>
      </c>
      <c r="C16" t="s">
        <v>35</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25">
      <c r="A17">
        <v>29</v>
      </c>
      <c r="B17">
        <f>IF(Adecco_India[[#This Row],[Attrition]]="Yes",1,0)</f>
        <v>0</v>
      </c>
      <c r="C17" t="s">
        <v>43</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25">
      <c r="A18">
        <v>32</v>
      </c>
      <c r="B18">
        <f>IF(Adecco_India[[#This Row],[Attrition]]="Yes",1,0)</f>
        <v>0</v>
      </c>
      <c r="C18" t="s">
        <v>43</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25">
      <c r="A19">
        <v>22</v>
      </c>
      <c r="B19">
        <f>IF(Adecco_India[[#This Row],[Attrition]]="Yes",1,0)</f>
        <v>0</v>
      </c>
      <c r="C19" t="s">
        <v>43</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25">
      <c r="A20">
        <v>53</v>
      </c>
      <c r="B20">
        <f>IF(Adecco_India[[#This Row],[Attrition]]="Yes",1,0)</f>
        <v>0</v>
      </c>
      <c r="C20" t="s">
        <v>43</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25">
      <c r="A21">
        <v>38</v>
      </c>
      <c r="B21">
        <f>IF(Adecco_India[[#This Row],[Attrition]]="Yes",1,0)</f>
        <v>0</v>
      </c>
      <c r="C21" t="s">
        <v>43</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25">
      <c r="A22">
        <v>24</v>
      </c>
      <c r="B22">
        <f>IF(Adecco_India[[#This Row],[Attrition]]="Yes",1,0)</f>
        <v>0</v>
      </c>
      <c r="C22" t="s">
        <v>43</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25">
      <c r="A23">
        <v>36</v>
      </c>
      <c r="B23">
        <f>IF(Adecco_India[[#This Row],[Attrition]]="Yes",1,0)</f>
        <v>1</v>
      </c>
      <c r="C23" t="s">
        <v>35</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25">
      <c r="A24">
        <v>34</v>
      </c>
      <c r="B24">
        <f>IF(Adecco_India[[#This Row],[Attrition]]="Yes",1,0)</f>
        <v>0</v>
      </c>
      <c r="C24" t="s">
        <v>43</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25">
      <c r="A25">
        <v>21</v>
      </c>
      <c r="B25">
        <f>IF(Adecco_India[[#This Row],[Attrition]]="Yes",1,0)</f>
        <v>0</v>
      </c>
      <c r="C25" t="s">
        <v>43</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25">
      <c r="A26">
        <v>34</v>
      </c>
      <c r="B26">
        <f>IF(Adecco_India[[#This Row],[Attrition]]="Yes",1,0)</f>
        <v>1</v>
      </c>
      <c r="C26" t="s">
        <v>35</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25">
      <c r="A27">
        <v>53</v>
      </c>
      <c r="B27">
        <f>IF(Adecco_India[[#This Row],[Attrition]]="Yes",1,0)</f>
        <v>0</v>
      </c>
      <c r="C27" t="s">
        <v>43</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25">
      <c r="A28">
        <v>32</v>
      </c>
      <c r="B28">
        <f>IF(Adecco_India[[#This Row],[Attrition]]="Yes",1,0)</f>
        <v>1</v>
      </c>
      <c r="C28" t="s">
        <v>35</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25">
      <c r="A29">
        <v>42</v>
      </c>
      <c r="B29">
        <f>IF(Adecco_India[[#This Row],[Attrition]]="Yes",1,0)</f>
        <v>0</v>
      </c>
      <c r="C29" t="s">
        <v>43</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25">
      <c r="A30">
        <v>44</v>
      </c>
      <c r="B30">
        <f>IF(Adecco_India[[#This Row],[Attrition]]="Yes",1,0)</f>
        <v>0</v>
      </c>
      <c r="C30" t="s">
        <v>43</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25">
      <c r="A31">
        <v>46</v>
      </c>
      <c r="B31">
        <f>IF(Adecco_India[[#This Row],[Attrition]]="Yes",1,0)</f>
        <v>0</v>
      </c>
      <c r="C31" t="s">
        <v>43</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25">
      <c r="A32">
        <v>33</v>
      </c>
      <c r="B32">
        <f>IF(Adecco_India[[#This Row],[Attrition]]="Yes",1,0)</f>
        <v>0</v>
      </c>
      <c r="C32" t="s">
        <v>43</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25">
      <c r="A33">
        <v>44</v>
      </c>
      <c r="B33">
        <f>IF(Adecco_India[[#This Row],[Attrition]]="Yes",1,0)</f>
        <v>0</v>
      </c>
      <c r="C33" t="s">
        <v>43</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25">
      <c r="A34">
        <v>30</v>
      </c>
      <c r="B34">
        <f>IF(Adecco_India[[#This Row],[Attrition]]="Yes",1,0)</f>
        <v>0</v>
      </c>
      <c r="C34" t="s">
        <v>43</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25">
      <c r="A35">
        <v>39</v>
      </c>
      <c r="B35">
        <f>IF(Adecco_India[[#This Row],[Attrition]]="Yes",1,0)</f>
        <v>1</v>
      </c>
      <c r="C35" t="s">
        <v>35</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25">
      <c r="A36">
        <v>24</v>
      </c>
      <c r="B36">
        <f>IF(Adecco_India[[#This Row],[Attrition]]="Yes",1,0)</f>
        <v>1</v>
      </c>
      <c r="C36" t="s">
        <v>35</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25">
      <c r="A37">
        <v>43</v>
      </c>
      <c r="B37">
        <f>IF(Adecco_India[[#This Row],[Attrition]]="Yes",1,0)</f>
        <v>0</v>
      </c>
      <c r="C37" t="s">
        <v>43</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25">
      <c r="A38">
        <v>50</v>
      </c>
      <c r="B38">
        <f>IF(Adecco_India[[#This Row],[Attrition]]="Yes",1,0)</f>
        <v>1</v>
      </c>
      <c r="C38" t="s">
        <v>35</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25">
      <c r="A39">
        <v>35</v>
      </c>
      <c r="B39">
        <f>IF(Adecco_India[[#This Row],[Attrition]]="Yes",1,0)</f>
        <v>0</v>
      </c>
      <c r="C39" t="s">
        <v>43</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25">
      <c r="A40">
        <v>36</v>
      </c>
      <c r="B40">
        <f>IF(Adecco_India[[#This Row],[Attrition]]="Yes",1,0)</f>
        <v>0</v>
      </c>
      <c r="C40" t="s">
        <v>43</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25">
      <c r="A41">
        <v>33</v>
      </c>
      <c r="B41">
        <f>IF(Adecco_India[[#This Row],[Attrition]]="Yes",1,0)</f>
        <v>0</v>
      </c>
      <c r="C41" t="s">
        <v>43</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25">
      <c r="A42">
        <v>35</v>
      </c>
      <c r="B42">
        <f>IF(Adecco_India[[#This Row],[Attrition]]="Yes",1,0)</f>
        <v>0</v>
      </c>
      <c r="C42" t="s">
        <v>43</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25">
      <c r="A43">
        <v>27</v>
      </c>
      <c r="B43">
        <f>IF(Adecco_India[[#This Row],[Attrition]]="Yes",1,0)</f>
        <v>0</v>
      </c>
      <c r="C43" t="s">
        <v>43</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25">
      <c r="A44">
        <v>26</v>
      </c>
      <c r="B44">
        <f>IF(Adecco_India[[#This Row],[Attrition]]="Yes",1,0)</f>
        <v>1</v>
      </c>
      <c r="C44" t="s">
        <v>35</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25">
      <c r="A45">
        <v>27</v>
      </c>
      <c r="B45">
        <f>IF(Adecco_India[[#This Row],[Attrition]]="Yes",1,0)</f>
        <v>0</v>
      </c>
      <c r="C45" t="s">
        <v>43</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25">
      <c r="A46">
        <v>30</v>
      </c>
      <c r="B46">
        <f>IF(Adecco_India[[#This Row],[Attrition]]="Yes",1,0)</f>
        <v>0</v>
      </c>
      <c r="C46" t="s">
        <v>43</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25">
      <c r="A47">
        <v>41</v>
      </c>
      <c r="B47">
        <f>IF(Adecco_India[[#This Row],[Attrition]]="Yes",1,0)</f>
        <v>1</v>
      </c>
      <c r="C47" t="s">
        <v>35</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25">
      <c r="A48">
        <v>34</v>
      </c>
      <c r="B48">
        <f>IF(Adecco_India[[#This Row],[Attrition]]="Yes",1,0)</f>
        <v>0</v>
      </c>
      <c r="C48" t="s">
        <v>43</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25">
      <c r="A49">
        <v>37</v>
      </c>
      <c r="B49">
        <f>IF(Adecco_India[[#This Row],[Attrition]]="Yes",1,0)</f>
        <v>0</v>
      </c>
      <c r="C49" t="s">
        <v>43</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25">
      <c r="A50">
        <v>46</v>
      </c>
      <c r="B50">
        <f>IF(Adecco_India[[#This Row],[Attrition]]="Yes",1,0)</f>
        <v>0</v>
      </c>
      <c r="C50" t="s">
        <v>43</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25">
      <c r="A51">
        <v>35</v>
      </c>
      <c r="B51">
        <f>IF(Adecco_India[[#This Row],[Attrition]]="Yes",1,0)</f>
        <v>0</v>
      </c>
      <c r="C51" t="s">
        <v>43</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25">
      <c r="A52">
        <v>48</v>
      </c>
      <c r="B52">
        <f>IF(Adecco_India[[#This Row],[Attrition]]="Yes",1,0)</f>
        <v>1</v>
      </c>
      <c r="C52" t="s">
        <v>35</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25">
      <c r="A53">
        <v>28</v>
      </c>
      <c r="B53">
        <f>IF(Adecco_India[[#This Row],[Attrition]]="Yes",1,0)</f>
        <v>1</v>
      </c>
      <c r="C53" t="s">
        <v>35</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25">
      <c r="A54">
        <v>44</v>
      </c>
      <c r="B54">
        <f>IF(Adecco_India[[#This Row],[Attrition]]="Yes",1,0)</f>
        <v>0</v>
      </c>
      <c r="C54" t="s">
        <v>43</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25">
      <c r="A55">
        <v>35</v>
      </c>
      <c r="B55">
        <f>IF(Adecco_India[[#This Row],[Attrition]]="Yes",1,0)</f>
        <v>0</v>
      </c>
      <c r="C55" t="s">
        <v>43</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25">
      <c r="A56">
        <v>26</v>
      </c>
      <c r="B56">
        <f>IF(Adecco_India[[#This Row],[Attrition]]="Yes",1,0)</f>
        <v>0</v>
      </c>
      <c r="C56" t="s">
        <v>43</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25">
      <c r="A57">
        <v>33</v>
      </c>
      <c r="B57">
        <f>IF(Adecco_India[[#This Row],[Attrition]]="Yes",1,0)</f>
        <v>0</v>
      </c>
      <c r="C57" t="s">
        <v>43</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25">
      <c r="A58">
        <v>35</v>
      </c>
      <c r="B58">
        <f>IF(Adecco_India[[#This Row],[Attrition]]="Yes",1,0)</f>
        <v>0</v>
      </c>
      <c r="C58" t="s">
        <v>43</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25">
      <c r="A59">
        <v>35</v>
      </c>
      <c r="B59">
        <f>IF(Adecco_India[[#This Row],[Attrition]]="Yes",1,0)</f>
        <v>0</v>
      </c>
      <c r="C59" t="s">
        <v>43</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25">
      <c r="A60">
        <v>31</v>
      </c>
      <c r="B60">
        <f>IF(Adecco_India[[#This Row],[Attrition]]="Yes",1,0)</f>
        <v>0</v>
      </c>
      <c r="C60" t="s">
        <v>43</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25">
      <c r="A61">
        <v>37</v>
      </c>
      <c r="B61">
        <f>IF(Adecco_India[[#This Row],[Attrition]]="Yes",1,0)</f>
        <v>0</v>
      </c>
      <c r="C61" t="s">
        <v>43</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25">
      <c r="A62">
        <v>32</v>
      </c>
      <c r="B62">
        <f>IF(Adecco_India[[#This Row],[Attrition]]="Yes",1,0)</f>
        <v>0</v>
      </c>
      <c r="C62" t="s">
        <v>43</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25">
      <c r="A63">
        <v>38</v>
      </c>
      <c r="B63">
        <f>IF(Adecco_India[[#This Row],[Attrition]]="Yes",1,0)</f>
        <v>0</v>
      </c>
      <c r="C63" t="s">
        <v>43</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25">
      <c r="A64">
        <v>50</v>
      </c>
      <c r="B64">
        <f>IF(Adecco_India[[#This Row],[Attrition]]="Yes",1,0)</f>
        <v>0</v>
      </c>
      <c r="C64" t="s">
        <v>43</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25">
      <c r="A65">
        <v>59</v>
      </c>
      <c r="B65">
        <f>IF(Adecco_India[[#This Row],[Attrition]]="Yes",1,0)</f>
        <v>0</v>
      </c>
      <c r="C65" t="s">
        <v>43</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25">
      <c r="A66">
        <v>36</v>
      </c>
      <c r="B66">
        <f>IF(Adecco_India[[#This Row],[Attrition]]="Yes",1,0)</f>
        <v>0</v>
      </c>
      <c r="C66" t="s">
        <v>43</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25">
      <c r="A67">
        <v>55</v>
      </c>
      <c r="B67">
        <f>IF(Adecco_India[[#This Row],[Attrition]]="Yes",1,0)</f>
        <v>0</v>
      </c>
      <c r="C67" t="s">
        <v>43</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25">
      <c r="A68">
        <v>36</v>
      </c>
      <c r="B68">
        <f>IF(Adecco_India[[#This Row],[Attrition]]="Yes",1,0)</f>
        <v>0</v>
      </c>
      <c r="C68" t="s">
        <v>43</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25">
      <c r="A69">
        <v>45</v>
      </c>
      <c r="B69">
        <f>IF(Adecco_India[[#This Row],[Attrition]]="Yes",1,0)</f>
        <v>0</v>
      </c>
      <c r="C69" t="s">
        <v>43</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25">
      <c r="A70">
        <v>35</v>
      </c>
      <c r="B70">
        <f>IF(Adecco_India[[#This Row],[Attrition]]="Yes",1,0)</f>
        <v>0</v>
      </c>
      <c r="C70" t="s">
        <v>43</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25">
      <c r="A71">
        <v>36</v>
      </c>
      <c r="B71">
        <f>IF(Adecco_India[[#This Row],[Attrition]]="Yes",1,0)</f>
        <v>1</v>
      </c>
      <c r="C71" t="s">
        <v>35</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25">
      <c r="A72">
        <v>59</v>
      </c>
      <c r="B72">
        <f>IF(Adecco_India[[#This Row],[Attrition]]="Yes",1,0)</f>
        <v>0</v>
      </c>
      <c r="C72" t="s">
        <v>43</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25">
      <c r="A73">
        <v>29</v>
      </c>
      <c r="B73">
        <f>IF(Adecco_India[[#This Row],[Attrition]]="Yes",1,0)</f>
        <v>0</v>
      </c>
      <c r="C73" t="s">
        <v>43</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25">
      <c r="A74">
        <v>31</v>
      </c>
      <c r="B74">
        <f>IF(Adecco_India[[#This Row],[Attrition]]="Yes",1,0)</f>
        <v>0</v>
      </c>
      <c r="C74" t="s">
        <v>43</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25">
      <c r="A75">
        <v>32</v>
      </c>
      <c r="B75">
        <f>IF(Adecco_India[[#This Row],[Attrition]]="Yes",1,0)</f>
        <v>0</v>
      </c>
      <c r="C75" t="s">
        <v>43</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25">
      <c r="A76">
        <v>36</v>
      </c>
      <c r="B76">
        <f>IF(Adecco_India[[#This Row],[Attrition]]="Yes",1,0)</f>
        <v>0</v>
      </c>
      <c r="C76" t="s">
        <v>43</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25">
      <c r="A77">
        <v>31</v>
      </c>
      <c r="B77">
        <f>IF(Adecco_India[[#This Row],[Attrition]]="Yes",1,0)</f>
        <v>0</v>
      </c>
      <c r="C77" t="s">
        <v>43</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25">
      <c r="A78">
        <v>35</v>
      </c>
      <c r="B78">
        <f>IF(Adecco_India[[#This Row],[Attrition]]="Yes",1,0)</f>
        <v>0</v>
      </c>
      <c r="C78" t="s">
        <v>43</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25">
      <c r="A79">
        <v>45</v>
      </c>
      <c r="B79">
        <f>IF(Adecco_India[[#This Row],[Attrition]]="Yes",1,0)</f>
        <v>0</v>
      </c>
      <c r="C79" t="s">
        <v>43</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25">
      <c r="A80">
        <v>37</v>
      </c>
      <c r="B80">
        <f>IF(Adecco_India[[#This Row],[Attrition]]="Yes",1,0)</f>
        <v>0</v>
      </c>
      <c r="C80" t="s">
        <v>43</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25">
      <c r="A81">
        <v>46</v>
      </c>
      <c r="B81">
        <f>IF(Adecco_India[[#This Row],[Attrition]]="Yes",1,0)</f>
        <v>0</v>
      </c>
      <c r="C81" t="s">
        <v>43</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25">
      <c r="A82">
        <v>30</v>
      </c>
      <c r="B82">
        <f>IF(Adecco_India[[#This Row],[Attrition]]="Yes",1,0)</f>
        <v>0</v>
      </c>
      <c r="C82" t="s">
        <v>43</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25">
      <c r="A83">
        <v>35</v>
      </c>
      <c r="B83">
        <f>IF(Adecco_India[[#This Row],[Attrition]]="Yes",1,0)</f>
        <v>0</v>
      </c>
      <c r="C83" t="s">
        <v>43</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25">
      <c r="A84">
        <v>55</v>
      </c>
      <c r="B84">
        <f>IF(Adecco_India[[#This Row],[Attrition]]="Yes",1,0)</f>
        <v>0</v>
      </c>
      <c r="C84" t="s">
        <v>43</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25">
      <c r="A85">
        <v>38</v>
      </c>
      <c r="B85">
        <f>IF(Adecco_India[[#This Row],[Attrition]]="Yes",1,0)</f>
        <v>0</v>
      </c>
      <c r="C85" t="s">
        <v>43</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25">
      <c r="A86">
        <v>34</v>
      </c>
      <c r="B86">
        <f>IF(Adecco_India[[#This Row],[Attrition]]="Yes",1,0)</f>
        <v>0</v>
      </c>
      <c r="C86" t="s">
        <v>43</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25">
      <c r="A87">
        <v>56</v>
      </c>
      <c r="B87">
        <f>IF(Adecco_India[[#This Row],[Attrition]]="Yes",1,0)</f>
        <v>0</v>
      </c>
      <c r="C87" t="s">
        <v>43</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25">
      <c r="A88">
        <v>23</v>
      </c>
      <c r="B88">
        <f>IF(Adecco_India[[#This Row],[Attrition]]="Yes",1,0)</f>
        <v>0</v>
      </c>
      <c r="C88" t="s">
        <v>43</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25">
      <c r="A89">
        <v>51</v>
      </c>
      <c r="B89">
        <f>IF(Adecco_India[[#This Row],[Attrition]]="Yes",1,0)</f>
        <v>0</v>
      </c>
      <c r="C89" t="s">
        <v>43</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25">
      <c r="A90">
        <v>30</v>
      </c>
      <c r="B90">
        <f>IF(Adecco_India[[#This Row],[Attrition]]="Yes",1,0)</f>
        <v>0</v>
      </c>
      <c r="C90" t="s">
        <v>43</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25">
      <c r="A91">
        <v>46</v>
      </c>
      <c r="B91">
        <f>IF(Adecco_India[[#This Row],[Attrition]]="Yes",1,0)</f>
        <v>1</v>
      </c>
      <c r="C91" t="s">
        <v>35</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25">
      <c r="A92">
        <v>40</v>
      </c>
      <c r="B92">
        <f>IF(Adecco_India[[#This Row],[Attrition]]="Yes",1,0)</f>
        <v>0</v>
      </c>
      <c r="C92" t="s">
        <v>43</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25">
      <c r="A93">
        <v>51</v>
      </c>
      <c r="B93">
        <f>IF(Adecco_India[[#This Row],[Attrition]]="Yes",1,0)</f>
        <v>0</v>
      </c>
      <c r="C93" t="s">
        <v>43</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25">
      <c r="A94">
        <v>30</v>
      </c>
      <c r="B94">
        <f>IF(Adecco_India[[#This Row],[Attrition]]="Yes",1,0)</f>
        <v>0</v>
      </c>
      <c r="C94" t="s">
        <v>43</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25">
      <c r="A95">
        <v>46</v>
      </c>
      <c r="B95">
        <f>IF(Adecco_India[[#This Row],[Attrition]]="Yes",1,0)</f>
        <v>0</v>
      </c>
      <c r="C95" t="s">
        <v>43</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25">
      <c r="A96">
        <v>32</v>
      </c>
      <c r="B96">
        <f>IF(Adecco_India[[#This Row],[Attrition]]="Yes",1,0)</f>
        <v>0</v>
      </c>
      <c r="C96" t="s">
        <v>43</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25">
      <c r="A97">
        <v>54</v>
      </c>
      <c r="B97">
        <f>IF(Adecco_India[[#This Row],[Attrition]]="Yes",1,0)</f>
        <v>0</v>
      </c>
      <c r="C97" t="s">
        <v>43</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25">
      <c r="A98">
        <v>24</v>
      </c>
      <c r="B98">
        <f>IF(Adecco_India[[#This Row],[Attrition]]="Yes",1,0)</f>
        <v>0</v>
      </c>
      <c r="C98" t="s">
        <v>43</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25">
      <c r="A99">
        <v>28</v>
      </c>
      <c r="B99">
        <f>IF(Adecco_India[[#This Row],[Attrition]]="Yes",1,0)</f>
        <v>0</v>
      </c>
      <c r="C99" t="s">
        <v>43</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25">
      <c r="A100">
        <v>58</v>
      </c>
      <c r="B100">
        <f>IF(Adecco_India[[#This Row],[Attrition]]="Yes",1,0)</f>
        <v>0</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25">
      <c r="A101">
        <v>44</v>
      </c>
      <c r="B101">
        <f>IF(Adecco_India[[#This Row],[Attrition]]="Yes",1,0)</f>
        <v>0</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25">
      <c r="A102">
        <v>37</v>
      </c>
      <c r="B102">
        <f>IF(Adecco_India[[#This Row],[Attrition]]="Yes",1,0)</f>
        <v>1</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25">
      <c r="A103">
        <v>32</v>
      </c>
      <c r="B103">
        <f>IF(Adecco_India[[#This Row],[Attrition]]="Yes",1,0)</f>
        <v>0</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25">
      <c r="A104">
        <v>20</v>
      </c>
      <c r="B104">
        <f>IF(Adecco_India[[#This Row],[Attrition]]="Yes",1,0)</f>
        <v>1</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25">
      <c r="A105">
        <v>34</v>
      </c>
      <c r="B105">
        <f>IF(Adecco_India[[#This Row],[Attrition]]="Yes",1,0)</f>
        <v>0</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25">
      <c r="A106">
        <v>37</v>
      </c>
      <c r="B106">
        <f>IF(Adecco_India[[#This Row],[Attrition]]="Yes",1,0)</f>
        <v>0</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25">
      <c r="A107">
        <v>59</v>
      </c>
      <c r="B107">
        <f>IF(Adecco_India[[#This Row],[Attrition]]="Yes",1,0)</f>
        <v>0</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25">
      <c r="A108">
        <v>50</v>
      </c>
      <c r="B108">
        <f>IF(Adecco_India[[#This Row],[Attrition]]="Yes",1,0)</f>
        <v>0</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25">
      <c r="A109">
        <v>25</v>
      </c>
      <c r="B109">
        <f>IF(Adecco_India[[#This Row],[Attrition]]="Yes",1,0)</f>
        <v>1</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25">
      <c r="A110">
        <v>25</v>
      </c>
      <c r="B110">
        <f>IF(Adecco_India[[#This Row],[Attrition]]="Yes",1,0)</f>
        <v>0</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25">
      <c r="A111">
        <v>22</v>
      </c>
      <c r="B111">
        <f>IF(Adecco_India[[#This Row],[Attrition]]="Yes",1,0)</f>
        <v>0</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25">
      <c r="A112">
        <v>51</v>
      </c>
      <c r="B112">
        <f>IF(Adecco_India[[#This Row],[Attrition]]="Yes",1,0)</f>
        <v>0</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25">
      <c r="A113">
        <v>34</v>
      </c>
      <c r="B113">
        <f>IF(Adecco_India[[#This Row],[Attrition]]="Yes",1,0)</f>
        <v>1</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25">
      <c r="A114">
        <v>54</v>
      </c>
      <c r="B114">
        <f>IF(Adecco_India[[#This Row],[Attrition]]="Yes",1,0)</f>
        <v>0</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25">
      <c r="A115">
        <v>24</v>
      </c>
      <c r="B115">
        <f>IF(Adecco_India[[#This Row],[Attrition]]="Yes",1,0)</f>
        <v>0</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25">
      <c r="A116">
        <v>34</v>
      </c>
      <c r="B116">
        <f>IF(Adecco_India[[#This Row],[Attrition]]="Yes",1,0)</f>
        <v>0</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25">
      <c r="A117">
        <v>37</v>
      </c>
      <c r="B117">
        <f>IF(Adecco_India[[#This Row],[Attrition]]="Yes",1,0)</f>
        <v>0</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25">
      <c r="A118">
        <v>34</v>
      </c>
      <c r="B118">
        <f>IF(Adecco_India[[#This Row],[Attrition]]="Yes",1,0)</f>
        <v>0</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25">
      <c r="A119">
        <v>36</v>
      </c>
      <c r="B119">
        <f>IF(Adecco_India[[#This Row],[Attrition]]="Yes",1,0)</f>
        <v>0</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25">
      <c r="A120">
        <v>36</v>
      </c>
      <c r="B120">
        <f>IF(Adecco_India[[#This Row],[Attrition]]="Yes",1,0)</f>
        <v>0</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25">
      <c r="A121">
        <v>43</v>
      </c>
      <c r="B121">
        <f>IF(Adecco_India[[#This Row],[Attrition]]="Yes",1,0)</f>
        <v>0</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25">
      <c r="A122">
        <v>30</v>
      </c>
      <c r="B122">
        <f>IF(Adecco_India[[#This Row],[Attrition]]="Yes",1,0)</f>
        <v>0</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25">
      <c r="A123">
        <v>33</v>
      </c>
      <c r="B123">
        <f>IF(Adecco_India[[#This Row],[Attrition]]="Yes",1,0)</f>
        <v>0</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25">
      <c r="A124">
        <v>56</v>
      </c>
      <c r="B124">
        <f>IF(Adecco_India[[#This Row],[Attrition]]="Yes",1,0)</f>
        <v>1</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25">
      <c r="A125">
        <v>51</v>
      </c>
      <c r="B125">
        <f>IF(Adecco_India[[#This Row],[Attrition]]="Yes",1,0)</f>
        <v>0</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25">
      <c r="A126">
        <v>31</v>
      </c>
      <c r="B126">
        <f>IF(Adecco_India[[#This Row],[Attrition]]="Yes",1,0)</f>
        <v>1</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25">
      <c r="A127">
        <v>26</v>
      </c>
      <c r="B127">
        <f>IF(Adecco_India[[#This Row],[Attrition]]="Yes",1,0)</f>
        <v>0</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25">
      <c r="A128">
        <v>58</v>
      </c>
      <c r="B128">
        <f>IF(Adecco_India[[#This Row],[Attrition]]="Yes",1,0)</f>
        <v>1</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25">
      <c r="A129">
        <v>19</v>
      </c>
      <c r="B129">
        <f>IF(Adecco_India[[#This Row],[Attrition]]="Yes",1,0)</f>
        <v>1</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25">
      <c r="A130">
        <v>22</v>
      </c>
      <c r="B130">
        <f>IF(Adecco_India[[#This Row],[Attrition]]="Yes",1,0)</f>
        <v>0</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25">
      <c r="A131">
        <v>49</v>
      </c>
      <c r="B131">
        <f>IF(Adecco_India[[#This Row],[Attrition]]="Yes",1,0)</f>
        <v>0</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25">
      <c r="A132">
        <v>43</v>
      </c>
      <c r="B132">
        <f>IF(Adecco_India[[#This Row],[Attrition]]="Yes",1,0)</f>
        <v>0</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25">
      <c r="A133">
        <v>50</v>
      </c>
      <c r="B133">
        <f>IF(Adecco_India[[#This Row],[Attrition]]="Yes",1,0)</f>
        <v>0</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25">
      <c r="A134">
        <v>31</v>
      </c>
      <c r="B134">
        <f>IF(Adecco_India[[#This Row],[Attrition]]="Yes",1,0)</f>
        <v>1</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25">
      <c r="A135">
        <v>41</v>
      </c>
      <c r="B135">
        <f>IF(Adecco_India[[#This Row],[Attrition]]="Yes",1,0)</f>
        <v>0</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25">
      <c r="A136">
        <v>26</v>
      </c>
      <c r="B136">
        <f>IF(Adecco_India[[#This Row],[Attrition]]="Yes",1,0)</f>
        <v>0</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25">
      <c r="A137">
        <v>36</v>
      </c>
      <c r="B137">
        <f>IF(Adecco_India[[#This Row],[Attrition]]="Yes",1,0)</f>
        <v>0</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25">
      <c r="A138">
        <v>51</v>
      </c>
      <c r="B138">
        <f>IF(Adecco_India[[#This Row],[Attrition]]="Yes",1,0)</f>
        <v>1</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25">
      <c r="A139">
        <v>39</v>
      </c>
      <c r="B139">
        <f>IF(Adecco_India[[#This Row],[Attrition]]="Yes",1,0)</f>
        <v>0</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25">
      <c r="A140">
        <v>25</v>
      </c>
      <c r="B140">
        <f>IF(Adecco_India[[#This Row],[Attrition]]="Yes",1,0)</f>
        <v>0</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25">
      <c r="A141">
        <v>30</v>
      </c>
      <c r="B141">
        <f>IF(Adecco_India[[#This Row],[Attrition]]="Yes",1,0)</f>
        <v>0</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25">
      <c r="A142">
        <v>32</v>
      </c>
      <c r="B142">
        <f>IF(Adecco_India[[#This Row],[Attrition]]="Yes",1,0)</f>
        <v>1</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25">
      <c r="A143">
        <v>45</v>
      </c>
      <c r="B143">
        <f>IF(Adecco_India[[#This Row],[Attrition]]="Yes",1,0)</f>
        <v>0</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25">
      <c r="A144">
        <v>38</v>
      </c>
      <c r="B144">
        <f>IF(Adecco_India[[#This Row],[Attrition]]="Yes",1,0)</f>
        <v>0</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25">
      <c r="A145">
        <v>30</v>
      </c>
      <c r="B145">
        <f>IF(Adecco_India[[#This Row],[Attrition]]="Yes",1,0)</f>
        <v>0</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25">
      <c r="A146">
        <v>32</v>
      </c>
      <c r="B146">
        <f>IF(Adecco_India[[#This Row],[Attrition]]="Yes",1,0)</f>
        <v>0</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25">
      <c r="A147">
        <v>30</v>
      </c>
      <c r="B147">
        <f>IF(Adecco_India[[#This Row],[Attrition]]="Yes",1,0)</f>
        <v>0</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25">
      <c r="A148">
        <v>30</v>
      </c>
      <c r="B148">
        <f>IF(Adecco_India[[#This Row],[Attrition]]="Yes",1,0)</f>
        <v>0</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25">
      <c r="A149">
        <v>41</v>
      </c>
      <c r="B149">
        <f>IF(Adecco_India[[#This Row],[Attrition]]="Yes",1,0)</f>
        <v>0</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25">
      <c r="A150">
        <v>41</v>
      </c>
      <c r="B150">
        <f>IF(Adecco_India[[#This Row],[Attrition]]="Yes",1,0)</f>
        <v>0</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25">
      <c r="A151">
        <v>19</v>
      </c>
      <c r="B151">
        <f>IF(Adecco_India[[#This Row],[Attrition]]="Yes",1,0)</f>
        <v>0</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25">
      <c r="A152">
        <v>40</v>
      </c>
      <c r="B152">
        <f>IF(Adecco_India[[#This Row],[Attrition]]="Yes",1,0)</f>
        <v>0</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25">
      <c r="A153">
        <v>35</v>
      </c>
      <c r="B153">
        <f>IF(Adecco_India[[#This Row],[Attrition]]="Yes",1,0)</f>
        <v>0</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25">
      <c r="A154">
        <v>53</v>
      </c>
      <c r="B154">
        <f>IF(Adecco_India[[#This Row],[Attrition]]="Yes",1,0)</f>
        <v>0</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25">
      <c r="A155">
        <v>45</v>
      </c>
      <c r="B155">
        <f>IF(Adecco_India[[#This Row],[Attrition]]="Yes",1,0)</f>
        <v>0</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25">
      <c r="A156">
        <v>32</v>
      </c>
      <c r="B156">
        <f>IF(Adecco_India[[#This Row],[Attrition]]="Yes",1,0)</f>
        <v>0</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25">
      <c r="A157">
        <v>29</v>
      </c>
      <c r="B157">
        <f>IF(Adecco_India[[#This Row],[Attrition]]="Yes",1,0)</f>
        <v>0</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25">
      <c r="A158">
        <v>51</v>
      </c>
      <c r="B158">
        <f>IF(Adecco_India[[#This Row],[Attrition]]="Yes",1,0)</f>
        <v>0</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25">
      <c r="A159">
        <v>58</v>
      </c>
      <c r="B159">
        <f>IF(Adecco_India[[#This Row],[Attrition]]="Yes",1,0)</f>
        <v>0</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25">
      <c r="A160">
        <v>40</v>
      </c>
      <c r="B160">
        <f>IF(Adecco_India[[#This Row],[Attrition]]="Yes",1,0)</f>
        <v>0</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25">
      <c r="A161">
        <v>34</v>
      </c>
      <c r="B161">
        <f>IF(Adecco_India[[#This Row],[Attrition]]="Yes",1,0)</f>
        <v>0</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25">
      <c r="A162">
        <v>22</v>
      </c>
      <c r="B162">
        <f>IF(Adecco_India[[#This Row],[Attrition]]="Yes",1,0)</f>
        <v>0</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25">
      <c r="A163">
        <v>27</v>
      </c>
      <c r="B163">
        <f>IF(Adecco_India[[#This Row],[Attrition]]="Yes",1,0)</f>
        <v>0</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25">
      <c r="A164">
        <v>28</v>
      </c>
      <c r="B164">
        <f>IF(Adecco_India[[#This Row],[Attrition]]="Yes",1,0)</f>
        <v>0</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25">
      <c r="A165">
        <v>57</v>
      </c>
      <c r="B165">
        <f>IF(Adecco_India[[#This Row],[Attrition]]="Yes",1,0)</f>
        <v>0</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25">
      <c r="A166">
        <v>27</v>
      </c>
      <c r="B166">
        <f>IF(Adecco_India[[#This Row],[Attrition]]="Yes",1,0)</f>
        <v>0</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25">
      <c r="A167">
        <v>50</v>
      </c>
      <c r="B167">
        <f>IF(Adecco_India[[#This Row],[Attrition]]="Yes",1,0)</f>
        <v>0</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25">
      <c r="A168">
        <v>41</v>
      </c>
      <c r="B168">
        <f>IF(Adecco_India[[#This Row],[Attrition]]="Yes",1,0)</f>
        <v>0</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25">
      <c r="A169">
        <v>30</v>
      </c>
      <c r="B169">
        <f>IF(Adecco_India[[#This Row],[Attrition]]="Yes",1,0)</f>
        <v>0</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25">
      <c r="A170">
        <v>38</v>
      </c>
      <c r="B170">
        <f>IF(Adecco_India[[#This Row],[Attrition]]="Yes",1,0)</f>
        <v>0</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25">
      <c r="A171">
        <v>32</v>
      </c>
      <c r="B171">
        <f>IF(Adecco_India[[#This Row],[Attrition]]="Yes",1,0)</f>
        <v>0</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25">
      <c r="A172">
        <v>27</v>
      </c>
      <c r="B172">
        <f>IF(Adecco_India[[#This Row],[Attrition]]="Yes",1,0)</f>
        <v>0</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25">
      <c r="A173">
        <v>19</v>
      </c>
      <c r="B173">
        <f>IF(Adecco_India[[#This Row],[Attrition]]="Yes",1,0)</f>
        <v>1</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25">
      <c r="A174">
        <v>36</v>
      </c>
      <c r="B174">
        <f>IF(Adecco_India[[#This Row],[Attrition]]="Yes",1,0)</f>
        <v>0</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25">
      <c r="A175">
        <v>30</v>
      </c>
      <c r="B175">
        <f>IF(Adecco_India[[#This Row],[Attrition]]="Yes",1,0)</f>
        <v>0</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25">
      <c r="A176">
        <v>45</v>
      </c>
      <c r="B176">
        <f>IF(Adecco_India[[#This Row],[Attrition]]="Yes",1,0)</f>
        <v>0</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25">
      <c r="A177">
        <v>56</v>
      </c>
      <c r="B177">
        <f>IF(Adecco_India[[#This Row],[Attrition]]="Yes",1,0)</f>
        <v>0</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25">
      <c r="A178">
        <v>33</v>
      </c>
      <c r="B178">
        <f>IF(Adecco_India[[#This Row],[Attrition]]="Yes",1,0)</f>
        <v>0</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25">
      <c r="A179">
        <v>19</v>
      </c>
      <c r="B179">
        <f>IF(Adecco_India[[#This Row],[Attrition]]="Yes",1,0)</f>
        <v>1</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25">
      <c r="A180">
        <v>46</v>
      </c>
      <c r="B180">
        <f>IF(Adecco_India[[#This Row],[Attrition]]="Yes",1,0)</f>
        <v>0</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25">
      <c r="A181">
        <v>38</v>
      </c>
      <c r="B181">
        <f>IF(Adecco_India[[#This Row],[Attrition]]="Yes",1,0)</f>
        <v>0</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25">
      <c r="A182">
        <v>31</v>
      </c>
      <c r="B182">
        <f>IF(Adecco_India[[#This Row],[Attrition]]="Yes",1,0)</f>
        <v>0</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25">
      <c r="A183">
        <v>34</v>
      </c>
      <c r="B183">
        <f>IF(Adecco_India[[#This Row],[Attrition]]="Yes",1,0)</f>
        <v>0</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25">
      <c r="A184">
        <v>41</v>
      </c>
      <c r="B184">
        <f>IF(Adecco_India[[#This Row],[Attrition]]="Yes",1,0)</f>
        <v>1</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25">
      <c r="A185">
        <v>50</v>
      </c>
      <c r="B185">
        <f>IF(Adecco_India[[#This Row],[Attrition]]="Yes",1,0)</f>
        <v>0</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25">
      <c r="A186">
        <v>53</v>
      </c>
      <c r="B186">
        <f>IF(Adecco_India[[#This Row],[Attrition]]="Yes",1,0)</f>
        <v>0</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25">
      <c r="A187">
        <v>33</v>
      </c>
      <c r="B187">
        <f>IF(Adecco_India[[#This Row],[Attrition]]="Yes",1,0)</f>
        <v>0</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25">
      <c r="A188">
        <v>40</v>
      </c>
      <c r="B188">
        <f>IF(Adecco_India[[#This Row],[Attrition]]="Yes",1,0)</f>
        <v>0</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25">
      <c r="A189">
        <v>55</v>
      </c>
      <c r="B189">
        <f>IF(Adecco_India[[#This Row],[Attrition]]="Yes",1,0)</f>
        <v>0</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25">
      <c r="A190">
        <v>34</v>
      </c>
      <c r="B190">
        <f>IF(Adecco_India[[#This Row],[Attrition]]="Yes",1,0)</f>
        <v>0</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25">
      <c r="A191">
        <v>51</v>
      </c>
      <c r="B191">
        <f>IF(Adecco_India[[#This Row],[Attrition]]="Yes",1,0)</f>
        <v>0</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25">
      <c r="A192">
        <v>52</v>
      </c>
      <c r="B192">
        <f>IF(Adecco_India[[#This Row],[Attrition]]="Yes",1,0)</f>
        <v>0</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25">
      <c r="A193">
        <v>27</v>
      </c>
      <c r="B193">
        <f>IF(Adecco_India[[#This Row],[Attrition]]="Yes",1,0)</f>
        <v>0</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25">
      <c r="A194">
        <v>35</v>
      </c>
      <c r="B194">
        <f>IF(Adecco_India[[#This Row],[Attrition]]="Yes",1,0)</f>
        <v>1</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25">
      <c r="A195">
        <v>43</v>
      </c>
      <c r="B195">
        <f>IF(Adecco_India[[#This Row],[Attrition]]="Yes",1,0)</f>
        <v>0</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25">
      <c r="A196">
        <v>45</v>
      </c>
      <c r="B196">
        <f>IF(Adecco_India[[#This Row],[Attrition]]="Yes",1,0)</f>
        <v>0</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25">
      <c r="A197">
        <v>37</v>
      </c>
      <c r="B197">
        <f>IF(Adecco_India[[#This Row],[Attrition]]="Yes",1,0)</f>
        <v>0</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25">
      <c r="A198">
        <v>35</v>
      </c>
      <c r="B198">
        <f>IF(Adecco_India[[#This Row],[Attrition]]="Yes",1,0)</f>
        <v>0</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25">
      <c r="A199">
        <v>42</v>
      </c>
      <c r="B199">
        <f>IF(Adecco_India[[#This Row],[Attrition]]="Yes",1,0)</f>
        <v>0</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25">
      <c r="A200">
        <v>38</v>
      </c>
      <c r="B200">
        <f>IF(Adecco_India[[#This Row],[Attrition]]="Yes",1,0)</f>
        <v>0</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25">
      <c r="A201">
        <v>38</v>
      </c>
      <c r="B201">
        <f>IF(Adecco_India[[#This Row],[Attrition]]="Yes",1,0)</f>
        <v>0</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25">
      <c r="A202">
        <v>27</v>
      </c>
      <c r="B202">
        <f>IF(Adecco_India[[#This Row],[Attrition]]="Yes",1,0)</f>
        <v>0</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25">
      <c r="A203">
        <v>49</v>
      </c>
      <c r="B203">
        <f>IF(Adecco_India[[#This Row],[Attrition]]="Yes",1,0)</f>
        <v>0</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25">
      <c r="A204">
        <v>34</v>
      </c>
      <c r="B204">
        <f>IF(Adecco_India[[#This Row],[Attrition]]="Yes",1,0)</f>
        <v>0</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25">
      <c r="A205">
        <v>40</v>
      </c>
      <c r="B205">
        <f>IF(Adecco_India[[#This Row],[Attrition]]="Yes",1,0)</f>
        <v>0</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25">
      <c r="A206">
        <v>38</v>
      </c>
      <c r="B206">
        <f>IF(Adecco_India[[#This Row],[Attrition]]="Yes",1,0)</f>
        <v>1</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25">
      <c r="A207">
        <v>29</v>
      </c>
      <c r="B207">
        <f>IF(Adecco_India[[#This Row],[Attrition]]="Yes",1,0)</f>
        <v>1</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25">
      <c r="A208">
        <v>22</v>
      </c>
      <c r="B208">
        <f>IF(Adecco_India[[#This Row],[Attrition]]="Yes",1,0)</f>
        <v>0</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25">
      <c r="A209">
        <v>36</v>
      </c>
      <c r="B209">
        <f>IF(Adecco_India[[#This Row],[Attrition]]="Yes",1,0)</f>
        <v>0</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25">
      <c r="A210">
        <v>40</v>
      </c>
      <c r="B210">
        <f>IF(Adecco_India[[#This Row],[Attrition]]="Yes",1,0)</f>
        <v>0</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25">
      <c r="A211">
        <v>46</v>
      </c>
      <c r="B211">
        <f>IF(Adecco_India[[#This Row],[Attrition]]="Yes",1,0)</f>
        <v>0</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25">
      <c r="A212">
        <v>32</v>
      </c>
      <c r="B212">
        <f>IF(Adecco_India[[#This Row],[Attrition]]="Yes",1,0)</f>
        <v>1</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25">
      <c r="A213">
        <v>30</v>
      </c>
      <c r="B213">
        <f>IF(Adecco_India[[#This Row],[Attrition]]="Yes",1,0)</f>
        <v>0</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25">
      <c r="A214">
        <v>27</v>
      </c>
      <c r="B214">
        <f>IF(Adecco_India[[#This Row],[Attrition]]="Yes",1,0)</f>
        <v>0</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25">
      <c r="A215">
        <v>51</v>
      </c>
      <c r="B215">
        <f>IF(Adecco_India[[#This Row],[Attrition]]="Yes",1,0)</f>
        <v>0</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25">
      <c r="A216">
        <v>30</v>
      </c>
      <c r="B216">
        <f>IF(Adecco_India[[#This Row],[Attrition]]="Yes",1,0)</f>
        <v>1</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25">
      <c r="A217">
        <v>41</v>
      </c>
      <c r="B217">
        <f>IF(Adecco_India[[#This Row],[Attrition]]="Yes",1,0)</f>
        <v>0</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25">
      <c r="A218">
        <v>30</v>
      </c>
      <c r="B218">
        <f>IF(Adecco_India[[#This Row],[Attrition]]="Yes",1,0)</f>
        <v>1</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25">
      <c r="A219">
        <v>29</v>
      </c>
      <c r="B219">
        <f>IF(Adecco_India[[#This Row],[Attrition]]="Yes",1,0)</f>
        <v>1</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25">
      <c r="A220">
        <v>45</v>
      </c>
      <c r="B220">
        <f>IF(Adecco_India[[#This Row],[Attrition]]="Yes",1,0)</f>
        <v>0</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25">
      <c r="A221">
        <v>54</v>
      </c>
      <c r="B221">
        <f>IF(Adecco_India[[#This Row],[Attrition]]="Yes",1,0)</f>
        <v>0</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25">
      <c r="A222">
        <v>36</v>
      </c>
      <c r="B222">
        <f>IF(Adecco_India[[#This Row],[Attrition]]="Yes",1,0)</f>
        <v>0</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25">
      <c r="A223">
        <v>33</v>
      </c>
      <c r="B223">
        <f>IF(Adecco_India[[#This Row],[Attrition]]="Yes",1,0)</f>
        <v>0</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25">
      <c r="A224">
        <v>37</v>
      </c>
      <c r="B224">
        <f>IF(Adecco_India[[#This Row],[Attrition]]="Yes",1,0)</f>
        <v>0</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25">
      <c r="A225">
        <v>38</v>
      </c>
      <c r="B225">
        <f>IF(Adecco_India[[#This Row],[Attrition]]="Yes",1,0)</f>
        <v>0</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25">
      <c r="A226">
        <v>31</v>
      </c>
      <c r="B226">
        <f>IF(Adecco_India[[#This Row],[Attrition]]="Yes",1,0)</f>
        <v>0</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25">
      <c r="A227">
        <v>59</v>
      </c>
      <c r="B227">
        <f>IF(Adecco_India[[#This Row],[Attrition]]="Yes",1,0)</f>
        <v>0</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25">
      <c r="A228">
        <v>37</v>
      </c>
      <c r="B228">
        <f>IF(Adecco_India[[#This Row],[Attrition]]="Yes",1,0)</f>
        <v>0</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25">
      <c r="A229">
        <v>29</v>
      </c>
      <c r="B229">
        <f>IF(Adecco_India[[#This Row],[Attrition]]="Yes",1,0)</f>
        <v>0</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25">
      <c r="A230">
        <v>35</v>
      </c>
      <c r="B230">
        <f>IF(Adecco_India[[#This Row],[Attrition]]="Yes",1,0)</f>
        <v>0</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25">
      <c r="A231">
        <v>29</v>
      </c>
      <c r="B231">
        <f>IF(Adecco_India[[#This Row],[Attrition]]="Yes",1,0)</f>
        <v>1</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25">
      <c r="A232">
        <v>52</v>
      </c>
      <c r="B232">
        <f>IF(Adecco_India[[#This Row],[Attrition]]="Yes",1,0)</f>
        <v>0</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25">
      <c r="A233">
        <v>42</v>
      </c>
      <c r="B233">
        <f>IF(Adecco_India[[#This Row],[Attrition]]="Yes",1,0)</f>
        <v>0</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25">
      <c r="A234">
        <v>59</v>
      </c>
      <c r="B234">
        <f>IF(Adecco_India[[#This Row],[Attrition]]="Yes",1,0)</f>
        <v>0</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25">
      <c r="A235">
        <v>50</v>
      </c>
      <c r="B235">
        <f>IF(Adecco_India[[#This Row],[Attrition]]="Yes",1,0)</f>
        <v>0</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25">
      <c r="A236">
        <v>33</v>
      </c>
      <c r="B236">
        <f>IF(Adecco_India[[#This Row],[Attrition]]="Yes",1,0)</f>
        <v>1</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25">
      <c r="A237">
        <v>43</v>
      </c>
      <c r="B237">
        <f>IF(Adecco_India[[#This Row],[Attrition]]="Yes",1,0)</f>
        <v>0</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25">
      <c r="A238">
        <v>33</v>
      </c>
      <c r="B238">
        <f>IF(Adecco_India[[#This Row],[Attrition]]="Yes",1,0)</f>
        <v>1</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25">
      <c r="A239">
        <v>52</v>
      </c>
      <c r="B239">
        <f>IF(Adecco_India[[#This Row],[Attrition]]="Yes",1,0)</f>
        <v>0</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25">
      <c r="A240">
        <v>32</v>
      </c>
      <c r="B240">
        <f>IF(Adecco_India[[#This Row],[Attrition]]="Yes",1,0)</f>
        <v>0</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25">
      <c r="A241">
        <v>32</v>
      </c>
      <c r="B241">
        <f>IF(Adecco_India[[#This Row],[Attrition]]="Yes",1,0)</f>
        <v>1</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25">
      <c r="A242">
        <v>39</v>
      </c>
      <c r="B242">
        <f>IF(Adecco_India[[#This Row],[Attrition]]="Yes",1,0)</f>
        <v>0</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25">
      <c r="A243">
        <v>32</v>
      </c>
      <c r="B243">
        <f>IF(Adecco_India[[#This Row],[Attrition]]="Yes",1,0)</f>
        <v>0</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25">
      <c r="A244">
        <v>41</v>
      </c>
      <c r="B244">
        <f>IF(Adecco_India[[#This Row],[Attrition]]="Yes",1,0)</f>
        <v>0</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25">
      <c r="A245">
        <v>40</v>
      </c>
      <c r="B245">
        <f>IF(Adecco_India[[#This Row],[Attrition]]="Yes",1,0)</f>
        <v>0</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25">
      <c r="A246">
        <v>45</v>
      </c>
      <c r="B246">
        <f>IF(Adecco_India[[#This Row],[Attrition]]="Yes",1,0)</f>
        <v>0</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25">
      <c r="A247">
        <v>31</v>
      </c>
      <c r="B247">
        <f>IF(Adecco_India[[#This Row],[Attrition]]="Yes",1,0)</f>
        <v>0</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25">
      <c r="A248">
        <v>33</v>
      </c>
      <c r="B248">
        <f>IF(Adecco_India[[#This Row],[Attrition]]="Yes",1,0)</f>
        <v>0</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25">
      <c r="A249">
        <v>34</v>
      </c>
      <c r="B249">
        <f>IF(Adecco_India[[#This Row],[Attrition]]="Yes",1,0)</f>
        <v>0</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25">
      <c r="A250">
        <v>37</v>
      </c>
      <c r="B250">
        <f>IF(Adecco_India[[#This Row],[Attrition]]="Yes",1,0)</f>
        <v>0</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25">
      <c r="A251">
        <v>45</v>
      </c>
      <c r="B251">
        <f>IF(Adecco_India[[#This Row],[Attrition]]="Yes",1,0)</f>
        <v>0</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25">
      <c r="A252">
        <v>37</v>
      </c>
      <c r="B252">
        <f>IF(Adecco_India[[#This Row],[Attrition]]="Yes",1,0)</f>
        <v>1</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25">
      <c r="A253">
        <v>39</v>
      </c>
      <c r="B253">
        <f>IF(Adecco_India[[#This Row],[Attrition]]="Yes",1,0)</f>
        <v>0</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25">
      <c r="A254">
        <v>29</v>
      </c>
      <c r="B254">
        <f>IF(Adecco_India[[#This Row],[Attrition]]="Yes",1,0)</f>
        <v>0</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25">
      <c r="A255">
        <v>42</v>
      </c>
      <c r="B255">
        <f>IF(Adecco_India[[#This Row],[Attrition]]="Yes",1,0)</f>
        <v>0</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25">
      <c r="A256">
        <v>29</v>
      </c>
      <c r="B256">
        <f>IF(Adecco_India[[#This Row],[Attrition]]="Yes",1,0)</f>
        <v>0</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25">
      <c r="A257">
        <v>25</v>
      </c>
      <c r="B257">
        <f>IF(Adecco_India[[#This Row],[Attrition]]="Yes",1,0)</f>
        <v>0</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25">
      <c r="A258">
        <v>42</v>
      </c>
      <c r="B258">
        <f>IF(Adecco_India[[#This Row],[Attrition]]="Yes",1,0)</f>
        <v>0</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25">
      <c r="A259">
        <v>40</v>
      </c>
      <c r="B259">
        <f>IF(Adecco_India[[#This Row],[Attrition]]="Yes",1,0)</f>
        <v>0</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25">
      <c r="A260">
        <v>51</v>
      </c>
      <c r="B260">
        <f>IF(Adecco_India[[#This Row],[Attrition]]="Yes",1,0)</f>
        <v>0</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25">
      <c r="A261">
        <v>31</v>
      </c>
      <c r="B261">
        <f>IF(Adecco_India[[#This Row],[Attrition]]="Yes",1,0)</f>
        <v>1</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25">
      <c r="A262">
        <v>32</v>
      </c>
      <c r="B262">
        <f>IF(Adecco_India[[#This Row],[Attrition]]="Yes",1,0)</f>
        <v>0</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25">
      <c r="A263">
        <v>38</v>
      </c>
      <c r="B263">
        <f>IF(Adecco_India[[#This Row],[Attrition]]="Yes",1,0)</f>
        <v>0</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25">
      <c r="A264">
        <v>32</v>
      </c>
      <c r="B264">
        <f>IF(Adecco_India[[#This Row],[Attrition]]="Yes",1,0)</f>
        <v>0</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25">
      <c r="A265">
        <v>46</v>
      </c>
      <c r="B265">
        <f>IF(Adecco_India[[#This Row],[Attrition]]="Yes",1,0)</f>
        <v>0</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25">
      <c r="A266">
        <v>28</v>
      </c>
      <c r="B266">
        <f>IF(Adecco_India[[#This Row],[Attrition]]="Yes",1,0)</f>
        <v>1</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25">
      <c r="A267">
        <v>29</v>
      </c>
      <c r="B267">
        <f>IF(Adecco_India[[#This Row],[Attrition]]="Yes",1,0)</f>
        <v>0</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25">
      <c r="A268">
        <v>31</v>
      </c>
      <c r="B268">
        <f>IF(Adecco_India[[#This Row],[Attrition]]="Yes",1,0)</f>
        <v>0</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25">
      <c r="A269">
        <v>25</v>
      </c>
      <c r="B269">
        <f>IF(Adecco_India[[#This Row],[Attrition]]="Yes",1,0)</f>
        <v>0</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25">
      <c r="A270">
        <v>45</v>
      </c>
      <c r="B270">
        <f>IF(Adecco_India[[#This Row],[Attrition]]="Yes",1,0)</f>
        <v>0</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25">
      <c r="A271">
        <v>36</v>
      </c>
      <c r="B271">
        <f>IF(Adecco_India[[#This Row],[Attrition]]="Yes",1,0)</f>
        <v>0</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25">
      <c r="A272">
        <v>55</v>
      </c>
      <c r="B272">
        <f>IF(Adecco_India[[#This Row],[Attrition]]="Yes",1,0)</f>
        <v>0</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25">
      <c r="A273">
        <v>47</v>
      </c>
      <c r="B273">
        <f>IF(Adecco_India[[#This Row],[Attrition]]="Yes",1,0)</f>
        <v>1</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25">
      <c r="A274">
        <v>28</v>
      </c>
      <c r="B274">
        <f>IF(Adecco_India[[#This Row],[Attrition]]="Yes",1,0)</f>
        <v>0</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25">
      <c r="A275">
        <v>37</v>
      </c>
      <c r="B275">
        <f>IF(Adecco_India[[#This Row],[Attrition]]="Yes",1,0)</f>
        <v>0</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25">
      <c r="A276">
        <v>21</v>
      </c>
      <c r="B276">
        <f>IF(Adecco_India[[#This Row],[Attrition]]="Yes",1,0)</f>
        <v>0</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25">
      <c r="A277">
        <v>37</v>
      </c>
      <c r="B277">
        <f>IF(Adecco_India[[#This Row],[Attrition]]="Yes",1,0)</f>
        <v>0</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25">
      <c r="A278">
        <v>35</v>
      </c>
      <c r="B278">
        <f>IF(Adecco_India[[#This Row],[Attrition]]="Yes",1,0)</f>
        <v>0</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25">
      <c r="A279">
        <v>38</v>
      </c>
      <c r="B279">
        <f>IF(Adecco_India[[#This Row],[Attrition]]="Yes",1,0)</f>
        <v>0</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25">
      <c r="A280">
        <v>26</v>
      </c>
      <c r="B280">
        <f>IF(Adecco_India[[#This Row],[Attrition]]="Yes",1,0)</f>
        <v>0</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25">
      <c r="A281">
        <v>50</v>
      </c>
      <c r="B281">
        <f>IF(Adecco_India[[#This Row],[Attrition]]="Yes",1,0)</f>
        <v>0</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25">
      <c r="A282">
        <v>53</v>
      </c>
      <c r="B282">
        <f>IF(Adecco_India[[#This Row],[Attrition]]="Yes",1,0)</f>
        <v>0</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25">
      <c r="A283">
        <v>42</v>
      </c>
      <c r="B283">
        <f>IF(Adecco_India[[#This Row],[Attrition]]="Yes",1,0)</f>
        <v>0</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25">
      <c r="A284">
        <v>29</v>
      </c>
      <c r="B284">
        <f>IF(Adecco_India[[#This Row],[Attrition]]="Yes",1,0)</f>
        <v>0</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25">
      <c r="A285">
        <v>55</v>
      </c>
      <c r="B285">
        <f>IF(Adecco_India[[#This Row],[Attrition]]="Yes",1,0)</f>
        <v>0</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25">
      <c r="A286">
        <v>26</v>
      </c>
      <c r="B286">
        <f>IF(Adecco_India[[#This Row],[Attrition]]="Yes",1,0)</f>
        <v>0</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25">
      <c r="A287">
        <v>37</v>
      </c>
      <c r="B287">
        <f>IF(Adecco_India[[#This Row],[Attrition]]="Yes",1,0)</f>
        <v>0</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25">
      <c r="A288">
        <v>44</v>
      </c>
      <c r="B288">
        <f>IF(Adecco_India[[#This Row],[Attrition]]="Yes",1,0)</f>
        <v>1</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25">
      <c r="A289">
        <v>38</v>
      </c>
      <c r="B289">
        <f>IF(Adecco_India[[#This Row],[Attrition]]="Yes",1,0)</f>
        <v>0</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25">
      <c r="A290">
        <v>26</v>
      </c>
      <c r="B290">
        <f>IF(Adecco_India[[#This Row],[Attrition]]="Yes",1,0)</f>
        <v>1</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25">
      <c r="A291">
        <v>28</v>
      </c>
      <c r="B291">
        <f>IF(Adecco_India[[#This Row],[Attrition]]="Yes",1,0)</f>
        <v>0</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25">
      <c r="A292">
        <v>49</v>
      </c>
      <c r="B292">
        <f>IF(Adecco_India[[#This Row],[Attrition]]="Yes",1,0)</f>
        <v>0</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25">
      <c r="A293">
        <v>36</v>
      </c>
      <c r="B293">
        <f>IF(Adecco_India[[#This Row],[Attrition]]="Yes",1,0)</f>
        <v>0</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25">
      <c r="A294">
        <v>31</v>
      </c>
      <c r="B294">
        <f>IF(Adecco_India[[#This Row],[Attrition]]="Yes",1,0)</f>
        <v>0</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25">
      <c r="A295">
        <v>26</v>
      </c>
      <c r="B295">
        <f>IF(Adecco_India[[#This Row],[Attrition]]="Yes",1,0)</f>
        <v>1</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25">
      <c r="A296">
        <v>37</v>
      </c>
      <c r="B296">
        <f>IF(Adecco_India[[#This Row],[Attrition]]="Yes",1,0)</f>
        <v>0</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25">
      <c r="A297">
        <v>42</v>
      </c>
      <c r="B297">
        <f>IF(Adecco_India[[#This Row],[Attrition]]="Yes",1,0)</f>
        <v>0</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25">
      <c r="A298">
        <v>18</v>
      </c>
      <c r="B298">
        <f>IF(Adecco_India[[#This Row],[Attrition]]="Yes",1,0)</f>
        <v>1</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25">
      <c r="A299">
        <v>35</v>
      </c>
      <c r="B299">
        <f>IF(Adecco_India[[#This Row],[Attrition]]="Yes",1,0)</f>
        <v>0</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25">
      <c r="A300">
        <v>36</v>
      </c>
      <c r="B300">
        <f>IF(Adecco_India[[#This Row],[Attrition]]="Yes",1,0)</f>
        <v>0</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25">
      <c r="A301">
        <v>51</v>
      </c>
      <c r="B301">
        <f>IF(Adecco_India[[#This Row],[Attrition]]="Yes",1,0)</f>
        <v>0</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25">
      <c r="A302">
        <v>41</v>
      </c>
      <c r="B302">
        <f>IF(Adecco_India[[#This Row],[Attrition]]="Yes",1,0)</f>
        <v>0</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25">
      <c r="A303">
        <v>18</v>
      </c>
      <c r="B303">
        <f>IF(Adecco_India[[#This Row],[Attrition]]="Yes",1,0)</f>
        <v>0</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25">
      <c r="A304">
        <v>28</v>
      </c>
      <c r="B304">
        <f>IF(Adecco_India[[#This Row],[Attrition]]="Yes",1,0)</f>
        <v>0</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25">
      <c r="A305">
        <v>31</v>
      </c>
      <c r="B305">
        <f>IF(Adecco_India[[#This Row],[Attrition]]="Yes",1,0)</f>
        <v>0</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25">
      <c r="A306">
        <v>39</v>
      </c>
      <c r="B306">
        <f>IF(Adecco_India[[#This Row],[Attrition]]="Yes",1,0)</f>
        <v>0</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25">
      <c r="A307">
        <v>36</v>
      </c>
      <c r="B307">
        <f>IF(Adecco_India[[#This Row],[Attrition]]="Yes",1,0)</f>
        <v>0</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25">
      <c r="A308">
        <v>32</v>
      </c>
      <c r="B308">
        <f>IF(Adecco_India[[#This Row],[Attrition]]="Yes",1,0)</f>
        <v>0</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25">
      <c r="A309">
        <v>38</v>
      </c>
      <c r="B309">
        <f>IF(Adecco_India[[#This Row],[Attrition]]="Yes",1,0)</f>
        <v>0</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25">
      <c r="A310">
        <v>58</v>
      </c>
      <c r="B310">
        <f>IF(Adecco_India[[#This Row],[Attrition]]="Yes",1,0)</f>
        <v>0</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25">
      <c r="A311">
        <v>31</v>
      </c>
      <c r="B311">
        <f>IF(Adecco_India[[#This Row],[Attrition]]="Yes",1,0)</f>
        <v>0</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25">
      <c r="A312">
        <v>31</v>
      </c>
      <c r="B312">
        <f>IF(Adecco_India[[#This Row],[Attrition]]="Yes",1,0)</f>
        <v>0</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25">
      <c r="A313">
        <v>45</v>
      </c>
      <c r="B313">
        <f>IF(Adecco_India[[#This Row],[Attrition]]="Yes",1,0)</f>
        <v>0</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25">
      <c r="A314">
        <v>31</v>
      </c>
      <c r="B314">
        <f>IF(Adecco_India[[#This Row],[Attrition]]="Yes",1,0)</f>
        <v>0</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25">
      <c r="A315">
        <v>33</v>
      </c>
      <c r="B315">
        <f>IF(Adecco_India[[#This Row],[Attrition]]="Yes",1,0)</f>
        <v>0</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25">
      <c r="A316">
        <v>39</v>
      </c>
      <c r="B316">
        <f>IF(Adecco_India[[#This Row],[Attrition]]="Yes",1,0)</f>
        <v>0</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25">
      <c r="A317">
        <v>43</v>
      </c>
      <c r="B317">
        <f>IF(Adecco_India[[#This Row],[Attrition]]="Yes",1,0)</f>
        <v>0</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25">
      <c r="A318">
        <v>49</v>
      </c>
      <c r="B318">
        <f>IF(Adecco_India[[#This Row],[Attrition]]="Yes",1,0)</f>
        <v>0</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25">
      <c r="A319">
        <v>52</v>
      </c>
      <c r="B319">
        <f>IF(Adecco_India[[#This Row],[Attrition]]="Yes",1,0)</f>
        <v>1</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25">
      <c r="A320">
        <v>27</v>
      </c>
      <c r="B320">
        <f>IF(Adecco_India[[#This Row],[Attrition]]="Yes",1,0)</f>
        <v>0</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25">
      <c r="A321">
        <v>32</v>
      </c>
      <c r="B321">
        <f>IF(Adecco_India[[#This Row],[Attrition]]="Yes",1,0)</f>
        <v>0</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25">
      <c r="A322">
        <v>27</v>
      </c>
      <c r="B322">
        <f>IF(Adecco_India[[#This Row],[Attrition]]="Yes",1,0)</f>
        <v>0</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25">
      <c r="A323">
        <v>31</v>
      </c>
      <c r="B323">
        <f>IF(Adecco_India[[#This Row],[Attrition]]="Yes",1,0)</f>
        <v>0</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25">
      <c r="A324">
        <v>32</v>
      </c>
      <c r="B324">
        <f>IF(Adecco_India[[#This Row],[Attrition]]="Yes",1,0)</f>
        <v>0</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25">
      <c r="A325">
        <v>28</v>
      </c>
      <c r="B325">
        <f>IF(Adecco_India[[#This Row],[Attrition]]="Yes",1,0)</f>
        <v>1</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25">
      <c r="A326">
        <v>30</v>
      </c>
      <c r="B326">
        <f>IF(Adecco_India[[#This Row],[Attrition]]="Yes",1,0)</f>
        <v>0</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25">
      <c r="A327">
        <v>31</v>
      </c>
      <c r="B327">
        <f>IF(Adecco_India[[#This Row],[Attrition]]="Yes",1,0)</f>
        <v>0</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25">
      <c r="A328">
        <v>39</v>
      </c>
      <c r="B328">
        <f>IF(Adecco_India[[#This Row],[Attrition]]="Yes",1,0)</f>
        <v>0</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25">
      <c r="A329">
        <v>39</v>
      </c>
      <c r="B329">
        <f>IF(Adecco_India[[#This Row],[Attrition]]="Yes",1,0)</f>
        <v>1</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25">
      <c r="A330">
        <v>33</v>
      </c>
      <c r="B330">
        <f>IF(Adecco_India[[#This Row],[Attrition]]="Yes",1,0)</f>
        <v>0</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25">
      <c r="A331">
        <v>47</v>
      </c>
      <c r="B331">
        <f>IF(Adecco_India[[#This Row],[Attrition]]="Yes",1,0)</f>
        <v>0</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25">
      <c r="A332">
        <v>43</v>
      </c>
      <c r="B332">
        <f>IF(Adecco_India[[#This Row],[Attrition]]="Yes",1,0)</f>
        <v>0</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25">
      <c r="A333">
        <v>27</v>
      </c>
      <c r="B333">
        <f>IF(Adecco_India[[#This Row],[Attrition]]="Yes",1,0)</f>
        <v>0</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25">
      <c r="A334">
        <v>54</v>
      </c>
      <c r="B334">
        <f>IF(Adecco_India[[#This Row],[Attrition]]="Yes",1,0)</f>
        <v>0</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25">
      <c r="A335">
        <v>43</v>
      </c>
      <c r="B335">
        <f>IF(Adecco_India[[#This Row],[Attrition]]="Yes",1,0)</f>
        <v>0</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25">
      <c r="A336">
        <v>45</v>
      </c>
      <c r="B336">
        <f>IF(Adecco_India[[#This Row],[Attrition]]="Yes",1,0)</f>
        <v>0</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25">
      <c r="A337">
        <v>40</v>
      </c>
      <c r="B337">
        <f>IF(Adecco_India[[#This Row],[Attrition]]="Yes",1,0)</f>
        <v>0</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25">
      <c r="A338">
        <v>29</v>
      </c>
      <c r="B338">
        <f>IF(Adecco_India[[#This Row],[Attrition]]="Yes",1,0)</f>
        <v>1</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25">
      <c r="A339">
        <v>29</v>
      </c>
      <c r="B339">
        <f>IF(Adecco_India[[#This Row],[Attrition]]="Yes",1,0)</f>
        <v>0</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25">
      <c r="A340">
        <v>30</v>
      </c>
      <c r="B340">
        <f>IF(Adecco_India[[#This Row],[Attrition]]="Yes",1,0)</f>
        <v>0</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25">
      <c r="A341">
        <v>27</v>
      </c>
      <c r="B341">
        <f>IF(Adecco_India[[#This Row],[Attrition]]="Yes",1,0)</f>
        <v>0</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25">
      <c r="A342">
        <v>37</v>
      </c>
      <c r="B342">
        <f>IF(Adecco_India[[#This Row],[Attrition]]="Yes",1,0)</f>
        <v>0</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25">
      <c r="A343">
        <v>38</v>
      </c>
      <c r="B343">
        <f>IF(Adecco_India[[#This Row],[Attrition]]="Yes",1,0)</f>
        <v>0</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25">
      <c r="A344">
        <v>31</v>
      </c>
      <c r="B344">
        <f>IF(Adecco_India[[#This Row],[Attrition]]="Yes",1,0)</f>
        <v>0</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25">
      <c r="A345">
        <v>29</v>
      </c>
      <c r="B345">
        <f>IF(Adecco_India[[#This Row],[Attrition]]="Yes",1,0)</f>
        <v>0</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25">
      <c r="A346">
        <v>35</v>
      </c>
      <c r="B346">
        <f>IF(Adecco_India[[#This Row],[Attrition]]="Yes",1,0)</f>
        <v>0</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25">
      <c r="A347">
        <v>23</v>
      </c>
      <c r="B347">
        <f>IF(Adecco_India[[#This Row],[Attrition]]="Yes",1,0)</f>
        <v>0</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25">
      <c r="A348">
        <v>41</v>
      </c>
      <c r="B348">
        <f>IF(Adecco_India[[#This Row],[Attrition]]="Yes",1,0)</f>
        <v>0</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25">
      <c r="A349">
        <v>47</v>
      </c>
      <c r="B349">
        <f>IF(Adecco_India[[#This Row],[Attrition]]="Yes",1,0)</f>
        <v>0</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25">
      <c r="A350">
        <v>42</v>
      </c>
      <c r="B350">
        <f>IF(Adecco_India[[#This Row],[Attrition]]="Yes",1,0)</f>
        <v>0</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25">
      <c r="A351">
        <v>29</v>
      </c>
      <c r="B351">
        <f>IF(Adecco_India[[#This Row],[Attrition]]="Yes",1,0)</f>
        <v>0</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25">
      <c r="A352">
        <v>42</v>
      </c>
      <c r="B352">
        <f>IF(Adecco_India[[#This Row],[Attrition]]="Yes",1,0)</f>
        <v>0</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25">
      <c r="A353">
        <v>32</v>
      </c>
      <c r="B353">
        <f>IF(Adecco_India[[#This Row],[Attrition]]="Yes",1,0)</f>
        <v>0</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25">
      <c r="A354">
        <v>48</v>
      </c>
      <c r="B354">
        <f>IF(Adecco_India[[#This Row],[Attrition]]="Yes",1,0)</f>
        <v>0</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25">
      <c r="A355">
        <v>37</v>
      </c>
      <c r="B355">
        <f>IF(Adecco_India[[#This Row],[Attrition]]="Yes",1,0)</f>
        <v>0</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25">
      <c r="A356">
        <v>30</v>
      </c>
      <c r="B356">
        <f>IF(Adecco_India[[#This Row],[Attrition]]="Yes",1,0)</f>
        <v>0</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25">
      <c r="A357">
        <v>26</v>
      </c>
      <c r="B357">
        <f>IF(Adecco_India[[#This Row],[Attrition]]="Yes",1,0)</f>
        <v>0</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25">
      <c r="A358">
        <v>42</v>
      </c>
      <c r="B358">
        <f>IF(Adecco_India[[#This Row],[Attrition]]="Yes",1,0)</f>
        <v>0</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25">
      <c r="A359">
        <v>21</v>
      </c>
      <c r="B359">
        <f>IF(Adecco_India[[#This Row],[Attrition]]="Yes",1,0)</f>
        <v>1</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25">
      <c r="A360">
        <v>36</v>
      </c>
      <c r="B360">
        <f>IF(Adecco_India[[#This Row],[Attrition]]="Yes",1,0)</f>
        <v>0</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25">
      <c r="A361">
        <v>36</v>
      </c>
      <c r="B361">
        <f>IF(Adecco_India[[#This Row],[Attrition]]="Yes",1,0)</f>
        <v>0</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25">
      <c r="A362">
        <v>57</v>
      </c>
      <c r="B362">
        <f>IF(Adecco_India[[#This Row],[Attrition]]="Yes",1,0)</f>
        <v>0</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25">
      <c r="A363">
        <v>40</v>
      </c>
      <c r="B363">
        <f>IF(Adecco_India[[#This Row],[Attrition]]="Yes",1,0)</f>
        <v>0</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25">
      <c r="A364">
        <v>21</v>
      </c>
      <c r="B364">
        <f>IF(Adecco_India[[#This Row],[Attrition]]="Yes",1,0)</f>
        <v>0</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25">
      <c r="A365">
        <v>33</v>
      </c>
      <c r="B365">
        <f>IF(Adecco_India[[#This Row],[Attrition]]="Yes",1,0)</f>
        <v>1</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25">
      <c r="A366">
        <v>37</v>
      </c>
      <c r="B366">
        <f>IF(Adecco_India[[#This Row],[Attrition]]="Yes",1,0)</f>
        <v>0</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25">
      <c r="A367">
        <v>46</v>
      </c>
      <c r="B367">
        <f>IF(Adecco_India[[#This Row],[Attrition]]="Yes",1,0)</f>
        <v>0</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25">
      <c r="A368">
        <v>41</v>
      </c>
      <c r="B368">
        <f>IF(Adecco_India[[#This Row],[Attrition]]="Yes",1,0)</f>
        <v>1</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25">
      <c r="A369">
        <v>50</v>
      </c>
      <c r="B369">
        <f>IF(Adecco_India[[#This Row],[Attrition]]="Yes",1,0)</f>
        <v>0</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25">
      <c r="A370">
        <v>40</v>
      </c>
      <c r="B370">
        <f>IF(Adecco_India[[#This Row],[Attrition]]="Yes",1,0)</f>
        <v>1</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25">
      <c r="A371">
        <v>31</v>
      </c>
      <c r="B371">
        <f>IF(Adecco_India[[#This Row],[Attrition]]="Yes",1,0)</f>
        <v>0</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25">
      <c r="A372">
        <v>21</v>
      </c>
      <c r="B372">
        <f>IF(Adecco_India[[#This Row],[Attrition]]="Yes",1,0)</f>
        <v>1</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25">
      <c r="A373">
        <v>29</v>
      </c>
      <c r="B373">
        <f>IF(Adecco_India[[#This Row],[Attrition]]="Yes",1,0)</f>
        <v>0</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25">
      <c r="A374">
        <v>35</v>
      </c>
      <c r="B374">
        <f>IF(Adecco_India[[#This Row],[Attrition]]="Yes",1,0)</f>
        <v>0</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25">
      <c r="A375">
        <v>27</v>
      </c>
      <c r="B375">
        <f>IF(Adecco_India[[#This Row],[Attrition]]="Yes",1,0)</f>
        <v>0</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25">
      <c r="A376">
        <v>28</v>
      </c>
      <c r="B376">
        <f>IF(Adecco_India[[#This Row],[Attrition]]="Yes",1,0)</f>
        <v>0</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25">
      <c r="A377">
        <v>49</v>
      </c>
      <c r="B377">
        <f>IF(Adecco_India[[#This Row],[Attrition]]="Yes",1,0)</f>
        <v>0</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25">
      <c r="A378">
        <v>51</v>
      </c>
      <c r="B378">
        <f>IF(Adecco_India[[#This Row],[Attrition]]="Yes",1,0)</f>
        <v>0</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25">
      <c r="A379">
        <v>36</v>
      </c>
      <c r="B379">
        <f>IF(Adecco_India[[#This Row],[Attrition]]="Yes",1,0)</f>
        <v>0</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25">
      <c r="A380">
        <v>34</v>
      </c>
      <c r="B380">
        <f>IF(Adecco_India[[#This Row],[Attrition]]="Yes",1,0)</f>
        <v>1</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25">
      <c r="A381">
        <v>55</v>
      </c>
      <c r="B381">
        <f>IF(Adecco_India[[#This Row],[Attrition]]="Yes",1,0)</f>
        <v>0</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25">
      <c r="A382">
        <v>24</v>
      </c>
      <c r="B382">
        <f>IF(Adecco_India[[#This Row],[Attrition]]="Yes",1,0)</f>
        <v>0</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25">
      <c r="A383">
        <v>30</v>
      </c>
      <c r="B383">
        <f>IF(Adecco_India[[#This Row],[Attrition]]="Yes",1,0)</f>
        <v>0</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25">
      <c r="A384">
        <v>26</v>
      </c>
      <c r="B384">
        <f>IF(Adecco_India[[#This Row],[Attrition]]="Yes",1,0)</f>
        <v>1</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25">
      <c r="A385">
        <v>22</v>
      </c>
      <c r="B385">
        <f>IF(Adecco_India[[#This Row],[Attrition]]="Yes",1,0)</f>
        <v>0</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25">
      <c r="A386">
        <v>36</v>
      </c>
      <c r="B386">
        <f>IF(Adecco_India[[#This Row],[Attrition]]="Yes",1,0)</f>
        <v>0</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25">
      <c r="A387">
        <v>30</v>
      </c>
      <c r="B387">
        <f>IF(Adecco_India[[#This Row],[Attrition]]="Yes",1,0)</f>
        <v>1</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25">
      <c r="A388">
        <v>37</v>
      </c>
      <c r="B388">
        <f>IF(Adecco_India[[#This Row],[Attrition]]="Yes",1,0)</f>
        <v>0</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25">
      <c r="A389">
        <v>40</v>
      </c>
      <c r="B389">
        <f>IF(Adecco_India[[#This Row],[Attrition]]="Yes",1,0)</f>
        <v>0</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25">
      <c r="A390">
        <v>42</v>
      </c>
      <c r="B390">
        <f>IF(Adecco_India[[#This Row],[Attrition]]="Yes",1,0)</f>
        <v>0</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25">
      <c r="A391">
        <v>37</v>
      </c>
      <c r="B391">
        <f>IF(Adecco_India[[#This Row],[Attrition]]="Yes",1,0)</f>
        <v>0</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25">
      <c r="A392">
        <v>43</v>
      </c>
      <c r="B392">
        <f>IF(Adecco_India[[#This Row],[Attrition]]="Yes",1,0)</f>
        <v>0</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25">
      <c r="A393">
        <v>40</v>
      </c>
      <c r="B393">
        <f>IF(Adecco_India[[#This Row],[Attrition]]="Yes",1,0)</f>
        <v>0</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25">
      <c r="A394">
        <v>54</v>
      </c>
      <c r="B394">
        <f>IF(Adecco_India[[#This Row],[Attrition]]="Yes",1,0)</f>
        <v>0</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25">
      <c r="A395">
        <v>34</v>
      </c>
      <c r="B395">
        <f>IF(Adecco_India[[#This Row],[Attrition]]="Yes",1,0)</f>
        <v>0</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25">
      <c r="A396">
        <v>31</v>
      </c>
      <c r="B396">
        <f>IF(Adecco_India[[#This Row],[Attrition]]="Yes",1,0)</f>
        <v>0</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25">
      <c r="A397">
        <v>43</v>
      </c>
      <c r="B397">
        <f>IF(Adecco_India[[#This Row],[Attrition]]="Yes",1,0)</f>
        <v>0</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25">
      <c r="A398">
        <v>43</v>
      </c>
      <c r="B398">
        <f>IF(Adecco_India[[#This Row],[Attrition]]="Yes",1,0)</f>
        <v>0</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25">
      <c r="A399">
        <v>25</v>
      </c>
      <c r="B399">
        <f>IF(Adecco_India[[#This Row],[Attrition]]="Yes",1,0)</f>
        <v>0</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25">
      <c r="A400">
        <v>37</v>
      </c>
      <c r="B400">
        <f>IF(Adecco_India[[#This Row],[Attrition]]="Yes",1,0)</f>
        <v>0</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25">
      <c r="A401">
        <v>31</v>
      </c>
      <c r="B401">
        <f>IF(Adecco_India[[#This Row],[Attrition]]="Yes",1,0)</f>
        <v>0</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25">
      <c r="A402">
        <v>39</v>
      </c>
      <c r="B402">
        <f>IF(Adecco_India[[#This Row],[Attrition]]="Yes",1,0)</f>
        <v>0</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25">
      <c r="A403">
        <v>56</v>
      </c>
      <c r="B403">
        <f>IF(Adecco_India[[#This Row],[Attrition]]="Yes",1,0)</f>
        <v>0</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25">
      <c r="A404">
        <v>30</v>
      </c>
      <c r="B404">
        <f>IF(Adecco_India[[#This Row],[Attrition]]="Yes",1,0)</f>
        <v>0</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25">
      <c r="A405">
        <v>41</v>
      </c>
      <c r="B405">
        <f>IF(Adecco_India[[#This Row],[Attrition]]="Yes",1,0)</f>
        <v>0</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25">
      <c r="A406">
        <v>28</v>
      </c>
      <c r="B406">
        <f>IF(Adecco_India[[#This Row],[Attrition]]="Yes",1,0)</f>
        <v>0</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25">
      <c r="A407">
        <v>25</v>
      </c>
      <c r="B407">
        <f>IF(Adecco_India[[#This Row],[Attrition]]="Yes",1,0)</f>
        <v>1</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25">
      <c r="A408">
        <v>52</v>
      </c>
      <c r="B408">
        <f>IF(Adecco_India[[#This Row],[Attrition]]="Yes",1,0)</f>
        <v>0</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25">
      <c r="A409">
        <v>45</v>
      </c>
      <c r="B409">
        <f>IF(Adecco_India[[#This Row],[Attrition]]="Yes",1,0)</f>
        <v>0</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25">
      <c r="A410">
        <v>52</v>
      </c>
      <c r="B410">
        <f>IF(Adecco_India[[#This Row],[Attrition]]="Yes",1,0)</f>
        <v>0</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25">
      <c r="A411">
        <v>42</v>
      </c>
      <c r="B411">
        <f>IF(Adecco_India[[#This Row],[Attrition]]="Yes",1,0)</f>
        <v>0</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25">
      <c r="A412">
        <v>30</v>
      </c>
      <c r="B412">
        <f>IF(Adecco_India[[#This Row],[Attrition]]="Yes",1,0)</f>
        <v>0</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25">
      <c r="A413">
        <v>60</v>
      </c>
      <c r="B413">
        <f>IF(Adecco_India[[#This Row],[Attrition]]="Yes",1,0)</f>
        <v>0</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25">
      <c r="A414">
        <v>46</v>
      </c>
      <c r="B414">
        <f>IF(Adecco_India[[#This Row],[Attrition]]="Yes",1,0)</f>
        <v>0</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25">
      <c r="A415">
        <v>42</v>
      </c>
      <c r="B415">
        <f>IF(Adecco_India[[#This Row],[Attrition]]="Yes",1,0)</f>
        <v>0</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25">
      <c r="A416">
        <v>24</v>
      </c>
      <c r="B416">
        <f>IF(Adecco_India[[#This Row],[Attrition]]="Yes",1,0)</f>
        <v>1</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25">
      <c r="A417">
        <v>34</v>
      </c>
      <c r="B417">
        <f>IF(Adecco_India[[#This Row],[Attrition]]="Yes",1,0)</f>
        <v>1</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25">
      <c r="A418">
        <v>38</v>
      </c>
      <c r="B418">
        <f>IF(Adecco_India[[#This Row],[Attrition]]="Yes",1,0)</f>
        <v>0</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25">
      <c r="A419">
        <v>40</v>
      </c>
      <c r="B419">
        <f>IF(Adecco_India[[#This Row],[Attrition]]="Yes",1,0)</f>
        <v>0</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25">
      <c r="A420">
        <v>26</v>
      </c>
      <c r="B420">
        <f>IF(Adecco_India[[#This Row],[Attrition]]="Yes",1,0)</f>
        <v>0</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25">
      <c r="A421">
        <v>30</v>
      </c>
      <c r="B421">
        <f>IF(Adecco_India[[#This Row],[Attrition]]="Yes",1,0)</f>
        <v>0</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25">
      <c r="A422">
        <v>29</v>
      </c>
      <c r="B422">
        <f>IF(Adecco_India[[#This Row],[Attrition]]="Yes",1,0)</f>
        <v>0</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25">
      <c r="A423">
        <v>29</v>
      </c>
      <c r="B423">
        <f>IF(Adecco_India[[#This Row],[Attrition]]="Yes",1,0)</f>
        <v>1</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25">
      <c r="A424">
        <v>19</v>
      </c>
      <c r="B424">
        <f>IF(Adecco_India[[#This Row],[Attrition]]="Yes",1,0)</f>
        <v>1</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25">
      <c r="A425">
        <v>30</v>
      </c>
      <c r="B425">
        <f>IF(Adecco_India[[#This Row],[Attrition]]="Yes",1,0)</f>
        <v>0</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25">
      <c r="A426">
        <v>57</v>
      </c>
      <c r="B426">
        <f>IF(Adecco_India[[#This Row],[Attrition]]="Yes",1,0)</f>
        <v>0</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25">
      <c r="A427">
        <v>50</v>
      </c>
      <c r="B427">
        <f>IF(Adecco_India[[#This Row],[Attrition]]="Yes",1,0)</f>
        <v>0</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25">
      <c r="A428">
        <v>30</v>
      </c>
      <c r="B428">
        <f>IF(Adecco_India[[#This Row],[Attrition]]="Yes",1,0)</f>
        <v>0</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25">
      <c r="A429">
        <v>60</v>
      </c>
      <c r="B429">
        <f>IF(Adecco_India[[#This Row],[Attrition]]="Yes",1,0)</f>
        <v>0</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25">
      <c r="A430">
        <v>47</v>
      </c>
      <c r="B430">
        <f>IF(Adecco_India[[#This Row],[Attrition]]="Yes",1,0)</f>
        <v>0</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25">
      <c r="A431">
        <v>46</v>
      </c>
      <c r="B431">
        <f>IF(Adecco_India[[#This Row],[Attrition]]="Yes",1,0)</f>
        <v>0</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25">
      <c r="A432">
        <v>35</v>
      </c>
      <c r="B432">
        <f>IF(Adecco_India[[#This Row],[Attrition]]="Yes",1,0)</f>
        <v>0</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25">
      <c r="A433">
        <v>54</v>
      </c>
      <c r="B433">
        <f>IF(Adecco_India[[#This Row],[Attrition]]="Yes",1,0)</f>
        <v>0</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25">
      <c r="A434">
        <v>34</v>
      </c>
      <c r="B434">
        <f>IF(Adecco_India[[#This Row],[Attrition]]="Yes",1,0)</f>
        <v>0</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25">
      <c r="A435">
        <v>46</v>
      </c>
      <c r="B435">
        <f>IF(Adecco_India[[#This Row],[Attrition]]="Yes",1,0)</f>
        <v>0</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25">
      <c r="A436">
        <v>31</v>
      </c>
      <c r="B436">
        <f>IF(Adecco_India[[#This Row],[Attrition]]="Yes",1,0)</f>
        <v>0</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25">
      <c r="A437">
        <v>33</v>
      </c>
      <c r="B437">
        <f>IF(Adecco_India[[#This Row],[Attrition]]="Yes",1,0)</f>
        <v>1</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25">
      <c r="A438">
        <v>33</v>
      </c>
      <c r="B438">
        <f>IF(Adecco_India[[#This Row],[Attrition]]="Yes",1,0)</f>
        <v>1</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25">
      <c r="A439">
        <v>30</v>
      </c>
      <c r="B439">
        <f>IF(Adecco_India[[#This Row],[Attrition]]="Yes",1,0)</f>
        <v>0</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25">
      <c r="A440">
        <v>35</v>
      </c>
      <c r="B440">
        <f>IF(Adecco_India[[#This Row],[Attrition]]="Yes",1,0)</f>
        <v>0</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25">
      <c r="A441">
        <v>31</v>
      </c>
      <c r="B441">
        <f>IF(Adecco_India[[#This Row],[Attrition]]="Yes",1,0)</f>
        <v>1</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25">
      <c r="A442">
        <v>34</v>
      </c>
      <c r="B442">
        <f>IF(Adecco_India[[#This Row],[Attrition]]="Yes",1,0)</f>
        <v>1</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25">
      <c r="A443">
        <v>42</v>
      </c>
      <c r="B443">
        <f>IF(Adecco_India[[#This Row],[Attrition]]="Yes",1,0)</f>
        <v>0</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25">
      <c r="A444">
        <v>36</v>
      </c>
      <c r="B444">
        <f>IF(Adecco_India[[#This Row],[Attrition]]="Yes",1,0)</f>
        <v>0</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25">
      <c r="A445">
        <v>22</v>
      </c>
      <c r="B445">
        <f>IF(Adecco_India[[#This Row],[Attrition]]="Yes",1,0)</f>
        <v>1</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25">
      <c r="A446">
        <v>48</v>
      </c>
      <c r="B446">
        <f>IF(Adecco_India[[#This Row],[Attrition]]="Yes",1,0)</f>
        <v>0</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25">
      <c r="A447">
        <v>55</v>
      </c>
      <c r="B447">
        <f>IF(Adecco_India[[#This Row],[Attrition]]="Yes",1,0)</f>
        <v>0</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25">
      <c r="A448">
        <v>41</v>
      </c>
      <c r="B448">
        <f>IF(Adecco_India[[#This Row],[Attrition]]="Yes",1,0)</f>
        <v>0</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25">
      <c r="A449">
        <v>35</v>
      </c>
      <c r="B449">
        <f>IF(Adecco_India[[#This Row],[Attrition]]="Yes",1,0)</f>
        <v>0</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25">
      <c r="A450">
        <v>40</v>
      </c>
      <c r="B450">
        <f>IF(Adecco_India[[#This Row],[Attrition]]="Yes",1,0)</f>
        <v>0</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25">
      <c r="A451">
        <v>39</v>
      </c>
      <c r="B451">
        <f>IF(Adecco_India[[#This Row],[Attrition]]="Yes",1,0)</f>
        <v>0</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25">
      <c r="A452">
        <v>31</v>
      </c>
      <c r="B452">
        <f>IF(Adecco_India[[#This Row],[Attrition]]="Yes",1,0)</f>
        <v>0</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25">
      <c r="A453">
        <v>42</v>
      </c>
      <c r="B453">
        <f>IF(Adecco_India[[#This Row],[Attrition]]="Yes",1,0)</f>
        <v>0</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25">
      <c r="A454">
        <v>45</v>
      </c>
      <c r="B454">
        <f>IF(Adecco_India[[#This Row],[Attrition]]="Yes",1,0)</f>
        <v>0</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25">
      <c r="A455">
        <v>26</v>
      </c>
      <c r="B455">
        <f>IF(Adecco_India[[#This Row],[Attrition]]="Yes",1,0)</f>
        <v>1</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25">
      <c r="A456">
        <v>29</v>
      </c>
      <c r="B456">
        <f>IF(Adecco_India[[#This Row],[Attrition]]="Yes",1,0)</f>
        <v>0</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25">
      <c r="A457">
        <v>33</v>
      </c>
      <c r="B457">
        <f>IF(Adecco_India[[#This Row],[Attrition]]="Yes",1,0)</f>
        <v>0</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25">
      <c r="A458">
        <v>31</v>
      </c>
      <c r="B458">
        <f>IF(Adecco_India[[#This Row],[Attrition]]="Yes",1,0)</f>
        <v>0</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25">
      <c r="A459">
        <v>18</v>
      </c>
      <c r="B459">
        <f>IF(Adecco_India[[#This Row],[Attrition]]="Yes",1,0)</f>
        <v>1</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25">
      <c r="A460">
        <v>40</v>
      </c>
      <c r="B460">
        <f>IF(Adecco_India[[#This Row],[Attrition]]="Yes",1,0)</f>
        <v>0</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25">
      <c r="A461">
        <v>41</v>
      </c>
      <c r="B461">
        <f>IF(Adecco_India[[#This Row],[Attrition]]="Yes",1,0)</f>
        <v>0</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25">
      <c r="A462">
        <v>26</v>
      </c>
      <c r="B462">
        <f>IF(Adecco_India[[#This Row],[Attrition]]="Yes",1,0)</f>
        <v>0</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25">
      <c r="A463">
        <v>35</v>
      </c>
      <c r="B463">
        <f>IF(Adecco_India[[#This Row],[Attrition]]="Yes",1,0)</f>
        <v>0</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25">
      <c r="A464">
        <v>34</v>
      </c>
      <c r="B464">
        <f>IF(Adecco_India[[#This Row],[Attrition]]="Yes",1,0)</f>
        <v>0</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25">
      <c r="A465">
        <v>26</v>
      </c>
      <c r="B465">
        <f>IF(Adecco_India[[#This Row],[Attrition]]="Yes",1,0)</f>
        <v>1</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25">
      <c r="A466">
        <v>37</v>
      </c>
      <c r="B466">
        <f>IF(Adecco_India[[#This Row],[Attrition]]="Yes",1,0)</f>
        <v>0</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25">
      <c r="A467">
        <v>46</v>
      </c>
      <c r="B467">
        <f>IF(Adecco_India[[#This Row],[Attrition]]="Yes",1,0)</f>
        <v>0</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25">
      <c r="A468">
        <v>41</v>
      </c>
      <c r="B468">
        <f>IF(Adecco_India[[#This Row],[Attrition]]="Yes",1,0)</f>
        <v>0</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25">
      <c r="A469">
        <v>37</v>
      </c>
      <c r="B469">
        <f>IF(Adecco_India[[#This Row],[Attrition]]="Yes",1,0)</f>
        <v>0</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25">
      <c r="A470">
        <v>52</v>
      </c>
      <c r="B470">
        <f>IF(Adecco_India[[#This Row],[Attrition]]="Yes",1,0)</f>
        <v>0</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25">
      <c r="A471">
        <v>32</v>
      </c>
      <c r="B471">
        <f>IF(Adecco_India[[#This Row],[Attrition]]="Yes",1,0)</f>
        <v>1</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25">
      <c r="A472">
        <v>24</v>
      </c>
      <c r="B472">
        <f>IF(Adecco_India[[#This Row],[Attrition]]="Yes",1,0)</f>
        <v>0</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25">
      <c r="A473">
        <v>38</v>
      </c>
      <c r="B473">
        <f>IF(Adecco_India[[#This Row],[Attrition]]="Yes",1,0)</f>
        <v>0</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25">
      <c r="A474">
        <v>37</v>
      </c>
      <c r="B474">
        <f>IF(Adecco_India[[#This Row],[Attrition]]="Yes",1,0)</f>
        <v>0</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25">
      <c r="A475">
        <v>49</v>
      </c>
      <c r="B475">
        <f>IF(Adecco_India[[#This Row],[Attrition]]="Yes",1,0)</f>
        <v>0</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25">
      <c r="A476">
        <v>24</v>
      </c>
      <c r="B476">
        <f>IF(Adecco_India[[#This Row],[Attrition]]="Yes",1,0)</f>
        <v>0</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25">
      <c r="A477">
        <v>26</v>
      </c>
      <c r="B477">
        <f>IF(Adecco_India[[#This Row],[Attrition]]="Yes",1,0)</f>
        <v>0</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25">
      <c r="A478">
        <v>24</v>
      </c>
      <c r="B478">
        <f>IF(Adecco_India[[#This Row],[Attrition]]="Yes",1,0)</f>
        <v>0</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25">
      <c r="A479">
        <v>50</v>
      </c>
      <c r="B479">
        <f>IF(Adecco_India[[#This Row],[Attrition]]="Yes",1,0)</f>
        <v>0</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25">
      <c r="A480">
        <v>25</v>
      </c>
      <c r="B480">
        <f>IF(Adecco_India[[#This Row],[Attrition]]="Yes",1,0)</f>
        <v>0</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25">
      <c r="A481">
        <v>24</v>
      </c>
      <c r="B481">
        <f>IF(Adecco_India[[#This Row],[Attrition]]="Yes",1,0)</f>
        <v>1</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25">
      <c r="A482">
        <v>30</v>
      </c>
      <c r="B482">
        <f>IF(Adecco_India[[#This Row],[Attrition]]="Yes",1,0)</f>
        <v>1</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25">
      <c r="A483">
        <v>34</v>
      </c>
      <c r="B483">
        <f>IF(Adecco_India[[#This Row],[Attrition]]="Yes",1,0)</f>
        <v>0</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25">
      <c r="A484">
        <v>31</v>
      </c>
      <c r="B484">
        <f>IF(Adecco_India[[#This Row],[Attrition]]="Yes",1,0)</f>
        <v>1</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25">
      <c r="A485">
        <v>35</v>
      </c>
      <c r="B485">
        <f>IF(Adecco_India[[#This Row],[Attrition]]="Yes",1,0)</f>
        <v>0</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25">
      <c r="A486">
        <v>31</v>
      </c>
      <c r="B486">
        <f>IF(Adecco_India[[#This Row],[Attrition]]="Yes",1,0)</f>
        <v>0</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25">
      <c r="A487">
        <v>27</v>
      </c>
      <c r="B487">
        <f>IF(Adecco_India[[#This Row],[Attrition]]="Yes",1,0)</f>
        <v>0</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25">
      <c r="A488">
        <v>37</v>
      </c>
      <c r="B488">
        <f>IF(Adecco_India[[#This Row],[Attrition]]="Yes",1,0)</f>
        <v>0</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25">
      <c r="A489">
        <v>20</v>
      </c>
      <c r="B489">
        <f>IF(Adecco_India[[#This Row],[Attrition]]="Yes",1,0)</f>
        <v>0</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25">
      <c r="A490">
        <v>42</v>
      </c>
      <c r="B490">
        <f>IF(Adecco_India[[#This Row],[Attrition]]="Yes",1,0)</f>
        <v>0</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25">
      <c r="A491">
        <v>43</v>
      </c>
      <c r="B491">
        <f>IF(Adecco_India[[#This Row],[Attrition]]="Yes",1,0)</f>
        <v>0</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25">
      <c r="A492">
        <v>38</v>
      </c>
      <c r="B492">
        <f>IF(Adecco_India[[#This Row],[Attrition]]="Yes",1,0)</f>
        <v>0</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25">
      <c r="A493">
        <v>43</v>
      </c>
      <c r="B493">
        <f>IF(Adecco_India[[#This Row],[Attrition]]="Yes",1,0)</f>
        <v>0</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25">
      <c r="A494">
        <v>48</v>
      </c>
      <c r="B494">
        <f>IF(Adecco_India[[#This Row],[Attrition]]="Yes",1,0)</f>
        <v>0</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25">
      <c r="A495">
        <v>44</v>
      </c>
      <c r="B495">
        <f>IF(Adecco_India[[#This Row],[Attrition]]="Yes",1,0)</f>
        <v>0</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25">
      <c r="A496">
        <v>34</v>
      </c>
      <c r="B496">
        <f>IF(Adecco_India[[#This Row],[Attrition]]="Yes",1,0)</f>
        <v>0</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25">
      <c r="A497">
        <v>27</v>
      </c>
      <c r="B497">
        <f>IF(Adecco_India[[#This Row],[Attrition]]="Yes",1,0)</f>
        <v>1</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25">
      <c r="A498">
        <v>21</v>
      </c>
      <c r="B498">
        <f>IF(Adecco_India[[#This Row],[Attrition]]="Yes",1,0)</f>
        <v>0</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25">
      <c r="A499">
        <v>44</v>
      </c>
      <c r="B499">
        <f>IF(Adecco_India[[#This Row],[Attrition]]="Yes",1,0)</f>
        <v>0</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25">
      <c r="A500">
        <v>22</v>
      </c>
      <c r="B500">
        <f>IF(Adecco_India[[#This Row],[Attrition]]="Yes",1,0)</f>
        <v>0</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25">
      <c r="A501">
        <v>33</v>
      </c>
      <c r="B501">
        <f>IF(Adecco_India[[#This Row],[Attrition]]="Yes",1,0)</f>
        <v>0</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25">
      <c r="A502">
        <v>32</v>
      </c>
      <c r="B502">
        <f>IF(Adecco_India[[#This Row],[Attrition]]="Yes",1,0)</f>
        <v>0</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25">
      <c r="A503">
        <v>30</v>
      </c>
      <c r="B503">
        <f>IF(Adecco_India[[#This Row],[Attrition]]="Yes",1,0)</f>
        <v>0</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25">
      <c r="A504">
        <v>53</v>
      </c>
      <c r="B504">
        <f>IF(Adecco_India[[#This Row],[Attrition]]="Yes",1,0)</f>
        <v>0</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25">
      <c r="A505">
        <v>34</v>
      </c>
      <c r="B505">
        <f>IF(Adecco_India[[#This Row],[Attrition]]="Yes",1,0)</f>
        <v>0</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25">
      <c r="A506">
        <v>45</v>
      </c>
      <c r="B506">
        <f>IF(Adecco_India[[#This Row],[Attrition]]="Yes",1,0)</f>
        <v>1</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25">
      <c r="A507">
        <v>26</v>
      </c>
      <c r="B507">
        <f>IF(Adecco_India[[#This Row],[Attrition]]="Yes",1,0)</f>
        <v>0</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25">
      <c r="A508">
        <v>37</v>
      </c>
      <c r="B508">
        <f>IF(Adecco_India[[#This Row],[Attrition]]="Yes",1,0)</f>
        <v>0</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25">
      <c r="A509">
        <v>29</v>
      </c>
      <c r="B509">
        <f>IF(Adecco_India[[#This Row],[Attrition]]="Yes",1,0)</f>
        <v>0</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25">
      <c r="A510">
        <v>35</v>
      </c>
      <c r="B510">
        <f>IF(Adecco_India[[#This Row],[Attrition]]="Yes",1,0)</f>
        <v>0</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25">
      <c r="A511">
        <v>33</v>
      </c>
      <c r="B511">
        <f>IF(Adecco_India[[#This Row],[Attrition]]="Yes",1,0)</f>
        <v>0</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25">
      <c r="A512">
        <v>54</v>
      </c>
      <c r="B512">
        <f>IF(Adecco_India[[#This Row],[Attrition]]="Yes",1,0)</f>
        <v>0</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25">
      <c r="A513">
        <v>36</v>
      </c>
      <c r="B513">
        <f>IF(Adecco_India[[#This Row],[Attrition]]="Yes",1,0)</f>
        <v>0</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25">
      <c r="A514">
        <v>27</v>
      </c>
      <c r="B514">
        <f>IF(Adecco_India[[#This Row],[Attrition]]="Yes",1,0)</f>
        <v>0</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25">
      <c r="A515">
        <v>20</v>
      </c>
      <c r="B515">
        <f>IF(Adecco_India[[#This Row],[Attrition]]="Yes",1,0)</f>
        <v>1</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25">
      <c r="A516">
        <v>33</v>
      </c>
      <c r="B516">
        <f>IF(Adecco_India[[#This Row],[Attrition]]="Yes",1,0)</f>
        <v>1</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25">
      <c r="A517">
        <v>35</v>
      </c>
      <c r="B517">
        <f>IF(Adecco_India[[#This Row],[Attrition]]="Yes",1,0)</f>
        <v>0</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25">
      <c r="A518">
        <v>23</v>
      </c>
      <c r="B518">
        <f>IF(Adecco_India[[#This Row],[Attrition]]="Yes",1,0)</f>
        <v>0</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25">
      <c r="A519">
        <v>25</v>
      </c>
      <c r="B519">
        <f>IF(Adecco_India[[#This Row],[Attrition]]="Yes",1,0)</f>
        <v>0</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25">
      <c r="A520">
        <v>38</v>
      </c>
      <c r="B520">
        <f>IF(Adecco_India[[#This Row],[Attrition]]="Yes",1,0)</f>
        <v>0</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25">
      <c r="A521">
        <v>29</v>
      </c>
      <c r="B521">
        <f>IF(Adecco_India[[#This Row],[Attrition]]="Yes",1,0)</f>
        <v>0</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25">
      <c r="A522">
        <v>48</v>
      </c>
      <c r="B522">
        <f>IF(Adecco_India[[#This Row],[Attrition]]="Yes",1,0)</f>
        <v>0</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25">
      <c r="A523">
        <v>27</v>
      </c>
      <c r="B523">
        <f>IF(Adecco_India[[#This Row],[Attrition]]="Yes",1,0)</f>
        <v>0</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25">
      <c r="A524">
        <v>37</v>
      </c>
      <c r="B524">
        <f>IF(Adecco_India[[#This Row],[Attrition]]="Yes",1,0)</f>
        <v>0</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25">
      <c r="A525">
        <v>50</v>
      </c>
      <c r="B525">
        <f>IF(Adecco_India[[#This Row],[Attrition]]="Yes",1,0)</f>
        <v>0</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25">
      <c r="A526">
        <v>34</v>
      </c>
      <c r="B526">
        <f>IF(Adecco_India[[#This Row],[Attrition]]="Yes",1,0)</f>
        <v>0</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25">
      <c r="A527">
        <v>24</v>
      </c>
      <c r="B527">
        <f>IF(Adecco_India[[#This Row],[Attrition]]="Yes",1,0)</f>
        <v>1</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25">
      <c r="A528">
        <v>39</v>
      </c>
      <c r="B528">
        <f>IF(Adecco_India[[#This Row],[Attrition]]="Yes",1,0)</f>
        <v>0</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25">
      <c r="A529">
        <v>32</v>
      </c>
      <c r="B529">
        <f>IF(Adecco_India[[#This Row],[Attrition]]="Yes",1,0)</f>
        <v>0</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25">
      <c r="A530">
        <v>50</v>
      </c>
      <c r="B530">
        <f>IF(Adecco_India[[#This Row],[Attrition]]="Yes",1,0)</f>
        <v>1</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25">
      <c r="A531">
        <v>38</v>
      </c>
      <c r="B531">
        <f>IF(Adecco_India[[#This Row],[Attrition]]="Yes",1,0)</f>
        <v>0</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25">
      <c r="A532">
        <v>27</v>
      </c>
      <c r="B532">
        <f>IF(Adecco_India[[#This Row],[Attrition]]="Yes",1,0)</f>
        <v>0</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25">
      <c r="A533">
        <v>32</v>
      </c>
      <c r="B533">
        <f>IF(Adecco_India[[#This Row],[Attrition]]="Yes",1,0)</f>
        <v>0</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25">
      <c r="A534">
        <v>47</v>
      </c>
      <c r="B534">
        <f>IF(Adecco_India[[#This Row],[Attrition]]="Yes",1,0)</f>
        <v>0</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25">
      <c r="A535">
        <v>40</v>
      </c>
      <c r="B535">
        <f>IF(Adecco_India[[#This Row],[Attrition]]="Yes",1,0)</f>
        <v>0</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25">
      <c r="A536">
        <v>53</v>
      </c>
      <c r="B536">
        <f>IF(Adecco_India[[#This Row],[Attrition]]="Yes",1,0)</f>
        <v>0</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25">
      <c r="A537">
        <v>41</v>
      </c>
      <c r="B537">
        <f>IF(Adecco_India[[#This Row],[Attrition]]="Yes",1,0)</f>
        <v>0</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25">
      <c r="A538">
        <v>60</v>
      </c>
      <c r="B538">
        <f>IF(Adecco_India[[#This Row],[Attrition]]="Yes",1,0)</f>
        <v>0</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25">
      <c r="A539">
        <v>27</v>
      </c>
      <c r="B539">
        <f>IF(Adecco_India[[#This Row],[Attrition]]="Yes",1,0)</f>
        <v>0</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25">
      <c r="A540">
        <v>41</v>
      </c>
      <c r="B540">
        <f>IF(Adecco_India[[#This Row],[Attrition]]="Yes",1,0)</f>
        <v>0</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25">
      <c r="A541">
        <v>50</v>
      </c>
      <c r="B541">
        <f>IF(Adecco_India[[#This Row],[Attrition]]="Yes",1,0)</f>
        <v>0</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25">
      <c r="A542">
        <v>28</v>
      </c>
      <c r="B542">
        <f>IF(Adecco_India[[#This Row],[Attrition]]="Yes",1,0)</f>
        <v>1</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25">
      <c r="A543">
        <v>36</v>
      </c>
      <c r="B543">
        <f>IF(Adecco_India[[#This Row],[Attrition]]="Yes",1,0)</f>
        <v>0</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25">
      <c r="A544">
        <v>38</v>
      </c>
      <c r="B544">
        <f>IF(Adecco_India[[#This Row],[Attrition]]="Yes",1,0)</f>
        <v>0</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25">
      <c r="A545">
        <v>44</v>
      </c>
      <c r="B545">
        <f>IF(Adecco_India[[#This Row],[Attrition]]="Yes",1,0)</f>
        <v>0</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25">
      <c r="A546">
        <v>47</v>
      </c>
      <c r="B546">
        <f>IF(Adecco_India[[#This Row],[Attrition]]="Yes",1,0)</f>
        <v>0</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25">
      <c r="A547">
        <v>30</v>
      </c>
      <c r="B547">
        <f>IF(Adecco_India[[#This Row],[Attrition]]="Yes",1,0)</f>
        <v>0</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25">
      <c r="A548">
        <v>29</v>
      </c>
      <c r="B548">
        <f>IF(Adecco_India[[#This Row],[Attrition]]="Yes",1,0)</f>
        <v>0</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25">
      <c r="A549">
        <v>42</v>
      </c>
      <c r="B549">
        <f>IF(Adecco_India[[#This Row],[Attrition]]="Yes",1,0)</f>
        <v>1</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25">
      <c r="A550">
        <v>43</v>
      </c>
      <c r="B550">
        <f>IF(Adecco_India[[#This Row],[Attrition]]="Yes",1,0)</f>
        <v>0</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25">
      <c r="A551">
        <v>34</v>
      </c>
      <c r="B551">
        <f>IF(Adecco_India[[#This Row],[Attrition]]="Yes",1,0)</f>
        <v>0</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25">
      <c r="A552">
        <v>23</v>
      </c>
      <c r="B552">
        <f>IF(Adecco_India[[#This Row],[Attrition]]="Yes",1,0)</f>
        <v>0</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25">
      <c r="A553">
        <v>39</v>
      </c>
      <c r="B553">
        <f>IF(Adecco_India[[#This Row],[Attrition]]="Yes",1,0)</f>
        <v>0</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25">
      <c r="A554">
        <v>56</v>
      </c>
      <c r="B554">
        <f>IF(Adecco_India[[#This Row],[Attrition]]="Yes",1,0)</f>
        <v>0</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25">
      <c r="A555">
        <v>40</v>
      </c>
      <c r="B555">
        <f>IF(Adecco_India[[#This Row],[Attrition]]="Yes",1,0)</f>
        <v>0</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25">
      <c r="A556">
        <v>27</v>
      </c>
      <c r="B556">
        <f>IF(Adecco_India[[#This Row],[Attrition]]="Yes",1,0)</f>
        <v>0</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25">
      <c r="A557">
        <v>29</v>
      </c>
      <c r="B557">
        <f>IF(Adecco_India[[#This Row],[Attrition]]="Yes",1,0)</f>
        <v>0</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25">
      <c r="A558">
        <v>53</v>
      </c>
      <c r="B558">
        <f>IF(Adecco_India[[#This Row],[Attrition]]="Yes",1,0)</f>
        <v>0</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25">
      <c r="A559">
        <v>35</v>
      </c>
      <c r="B559">
        <f>IF(Adecco_India[[#This Row],[Attrition]]="Yes",1,0)</f>
        <v>0</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25">
      <c r="A560">
        <v>32</v>
      </c>
      <c r="B560">
        <f>IF(Adecco_India[[#This Row],[Attrition]]="Yes",1,0)</f>
        <v>0</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25">
      <c r="A561">
        <v>38</v>
      </c>
      <c r="B561">
        <f>IF(Adecco_India[[#This Row],[Attrition]]="Yes",1,0)</f>
        <v>0</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25">
      <c r="A562">
        <v>34</v>
      </c>
      <c r="B562">
        <f>IF(Adecco_India[[#This Row],[Attrition]]="Yes",1,0)</f>
        <v>0</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25">
      <c r="A563">
        <v>52</v>
      </c>
      <c r="B563">
        <f>IF(Adecco_India[[#This Row],[Attrition]]="Yes",1,0)</f>
        <v>0</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25">
      <c r="A564">
        <v>33</v>
      </c>
      <c r="B564">
        <f>IF(Adecco_India[[#This Row],[Attrition]]="Yes",1,0)</f>
        <v>1</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25">
      <c r="A565">
        <v>25</v>
      </c>
      <c r="B565">
        <f>IF(Adecco_India[[#This Row],[Attrition]]="Yes",1,0)</f>
        <v>0</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25">
      <c r="A566">
        <v>45</v>
      </c>
      <c r="B566">
        <f>IF(Adecco_India[[#This Row],[Attrition]]="Yes",1,0)</f>
        <v>0</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25">
      <c r="A567">
        <v>23</v>
      </c>
      <c r="B567">
        <f>IF(Adecco_India[[#This Row],[Attrition]]="Yes",1,0)</f>
        <v>0</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25">
      <c r="A568">
        <v>47</v>
      </c>
      <c r="B568">
        <f>IF(Adecco_India[[#This Row],[Attrition]]="Yes",1,0)</f>
        <v>1</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25">
      <c r="A569">
        <v>34</v>
      </c>
      <c r="B569">
        <f>IF(Adecco_India[[#This Row],[Attrition]]="Yes",1,0)</f>
        <v>0</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25">
      <c r="A570">
        <v>55</v>
      </c>
      <c r="B570">
        <f>IF(Adecco_India[[#This Row],[Attrition]]="Yes",1,0)</f>
        <v>1</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25">
      <c r="A571">
        <v>36</v>
      </c>
      <c r="B571">
        <f>IF(Adecco_India[[#This Row],[Attrition]]="Yes",1,0)</f>
        <v>0</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25">
      <c r="A572">
        <v>52</v>
      </c>
      <c r="B572">
        <f>IF(Adecco_India[[#This Row],[Attrition]]="Yes",1,0)</f>
        <v>0</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25">
      <c r="A573">
        <v>26</v>
      </c>
      <c r="B573">
        <f>IF(Adecco_India[[#This Row],[Attrition]]="Yes",1,0)</f>
        <v>0</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25">
      <c r="A574">
        <v>29</v>
      </c>
      <c r="B574">
        <f>IF(Adecco_India[[#This Row],[Attrition]]="Yes",1,0)</f>
        <v>0</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25">
      <c r="A575">
        <v>26</v>
      </c>
      <c r="B575">
        <f>IF(Adecco_India[[#This Row],[Attrition]]="Yes",1,0)</f>
        <v>1</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25">
      <c r="A576">
        <v>34</v>
      </c>
      <c r="B576">
        <f>IF(Adecco_India[[#This Row],[Attrition]]="Yes",1,0)</f>
        <v>0</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25">
      <c r="A577">
        <v>54</v>
      </c>
      <c r="B577">
        <f>IF(Adecco_India[[#This Row],[Attrition]]="Yes",1,0)</f>
        <v>0</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25">
      <c r="A578">
        <v>27</v>
      </c>
      <c r="B578">
        <f>IF(Adecco_India[[#This Row],[Attrition]]="Yes",1,0)</f>
        <v>0</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25">
      <c r="A579">
        <v>37</v>
      </c>
      <c r="B579">
        <f>IF(Adecco_India[[#This Row],[Attrition]]="Yes",1,0)</f>
        <v>0</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25">
      <c r="A580">
        <v>38</v>
      </c>
      <c r="B580">
        <f>IF(Adecco_India[[#This Row],[Attrition]]="Yes",1,0)</f>
        <v>0</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25">
      <c r="A581">
        <v>34</v>
      </c>
      <c r="B581">
        <f>IF(Adecco_India[[#This Row],[Attrition]]="Yes",1,0)</f>
        <v>0</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25">
      <c r="A582">
        <v>35</v>
      </c>
      <c r="B582">
        <f>IF(Adecco_India[[#This Row],[Attrition]]="Yes",1,0)</f>
        <v>0</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25">
      <c r="A583">
        <v>30</v>
      </c>
      <c r="B583">
        <f>IF(Adecco_India[[#This Row],[Attrition]]="Yes",1,0)</f>
        <v>0</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25">
      <c r="A584">
        <v>40</v>
      </c>
      <c r="B584">
        <f>IF(Adecco_India[[#This Row],[Attrition]]="Yes",1,0)</f>
        <v>0</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25">
      <c r="A585">
        <v>34</v>
      </c>
      <c r="B585">
        <f>IF(Adecco_India[[#This Row],[Attrition]]="Yes",1,0)</f>
        <v>0</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25">
      <c r="A586">
        <v>42</v>
      </c>
      <c r="B586">
        <f>IF(Adecco_India[[#This Row],[Attrition]]="Yes",1,0)</f>
        <v>0</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25">
      <c r="A587">
        <v>23</v>
      </c>
      <c r="B587">
        <f>IF(Adecco_India[[#This Row],[Attrition]]="Yes",1,0)</f>
        <v>1</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25">
      <c r="A588">
        <v>24</v>
      </c>
      <c r="B588">
        <f>IF(Adecco_India[[#This Row],[Attrition]]="Yes",1,0)</f>
        <v>0</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25">
      <c r="A589">
        <v>52</v>
      </c>
      <c r="B589">
        <f>IF(Adecco_India[[#This Row],[Attrition]]="Yes",1,0)</f>
        <v>0</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25">
      <c r="A590">
        <v>50</v>
      </c>
      <c r="B590">
        <f>IF(Adecco_India[[#This Row],[Attrition]]="Yes",1,0)</f>
        <v>0</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25">
      <c r="A591">
        <v>29</v>
      </c>
      <c r="B591">
        <f>IF(Adecco_India[[#This Row],[Attrition]]="Yes",1,0)</f>
        <v>1</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25">
      <c r="A592">
        <v>33</v>
      </c>
      <c r="B592">
        <f>IF(Adecco_India[[#This Row],[Attrition]]="Yes",1,0)</f>
        <v>0</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25">
      <c r="A593">
        <v>33</v>
      </c>
      <c r="B593">
        <f>IF(Adecco_India[[#This Row],[Attrition]]="Yes",1,0)</f>
        <v>1</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25">
      <c r="A594">
        <v>47</v>
      </c>
      <c r="B594">
        <f>IF(Adecco_India[[#This Row],[Attrition]]="Yes",1,0)</f>
        <v>0</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25">
      <c r="A595">
        <v>36</v>
      </c>
      <c r="B595">
        <f>IF(Adecco_India[[#This Row],[Attrition]]="Yes",1,0)</f>
        <v>0</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25">
      <c r="A596">
        <v>29</v>
      </c>
      <c r="B596">
        <f>IF(Adecco_India[[#This Row],[Attrition]]="Yes",1,0)</f>
        <v>0</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25">
      <c r="A597">
        <v>58</v>
      </c>
      <c r="B597">
        <f>IF(Adecco_India[[#This Row],[Attrition]]="Yes",1,0)</f>
        <v>1</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25">
      <c r="A598">
        <v>35</v>
      </c>
      <c r="B598">
        <f>IF(Adecco_India[[#This Row],[Attrition]]="Yes",1,0)</f>
        <v>0</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25">
      <c r="A599">
        <v>42</v>
      </c>
      <c r="B599">
        <f>IF(Adecco_India[[#This Row],[Attrition]]="Yes",1,0)</f>
        <v>0</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25">
      <c r="A600">
        <v>28</v>
      </c>
      <c r="B600">
        <f>IF(Adecco_India[[#This Row],[Attrition]]="Yes",1,0)</f>
        <v>1</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25">
      <c r="A601">
        <v>36</v>
      </c>
      <c r="B601">
        <f>IF(Adecco_India[[#This Row],[Attrition]]="Yes",1,0)</f>
        <v>0</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25">
      <c r="A602">
        <v>32</v>
      </c>
      <c r="B602">
        <f>IF(Adecco_India[[#This Row],[Attrition]]="Yes",1,0)</f>
        <v>0</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25">
      <c r="A603">
        <v>40</v>
      </c>
      <c r="B603">
        <f>IF(Adecco_India[[#This Row],[Attrition]]="Yes",1,0)</f>
        <v>0</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25">
      <c r="A604">
        <v>30</v>
      </c>
      <c r="B604">
        <f>IF(Adecco_India[[#This Row],[Attrition]]="Yes",1,0)</f>
        <v>0</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25">
      <c r="A605">
        <v>45</v>
      </c>
      <c r="B605">
        <f>IF(Adecco_India[[#This Row],[Attrition]]="Yes",1,0)</f>
        <v>0</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25">
      <c r="A606">
        <v>42</v>
      </c>
      <c r="B606">
        <f>IF(Adecco_India[[#This Row],[Attrition]]="Yes",1,0)</f>
        <v>0</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25">
      <c r="A607">
        <v>38</v>
      </c>
      <c r="B607">
        <f>IF(Adecco_India[[#This Row],[Attrition]]="Yes",1,0)</f>
        <v>0</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25">
      <c r="A608">
        <v>34</v>
      </c>
      <c r="B608">
        <f>IF(Adecco_India[[#This Row],[Attrition]]="Yes",1,0)</f>
        <v>0</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25">
      <c r="A609">
        <v>49</v>
      </c>
      <c r="B609">
        <f>IF(Adecco_India[[#This Row],[Attrition]]="Yes",1,0)</f>
        <v>1</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25">
      <c r="A610">
        <v>55</v>
      </c>
      <c r="B610">
        <f>IF(Adecco_India[[#This Row],[Attrition]]="Yes",1,0)</f>
        <v>1</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25">
      <c r="A611">
        <v>43</v>
      </c>
      <c r="B611">
        <f>IF(Adecco_India[[#This Row],[Attrition]]="Yes",1,0)</f>
        <v>0</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25">
      <c r="A612">
        <v>27</v>
      </c>
      <c r="B612">
        <f>IF(Adecco_India[[#This Row],[Attrition]]="Yes",1,0)</f>
        <v>0</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25">
      <c r="A613">
        <v>35</v>
      </c>
      <c r="B613">
        <f>IF(Adecco_India[[#This Row],[Attrition]]="Yes",1,0)</f>
        <v>0</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25">
      <c r="A614">
        <v>28</v>
      </c>
      <c r="B614">
        <f>IF(Adecco_India[[#This Row],[Attrition]]="Yes",1,0)</f>
        <v>0</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25">
      <c r="A615">
        <v>34</v>
      </c>
      <c r="B615">
        <f>IF(Adecco_India[[#This Row],[Attrition]]="Yes",1,0)</f>
        <v>0</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25">
      <c r="A616">
        <v>26</v>
      </c>
      <c r="B616">
        <f>IF(Adecco_India[[#This Row],[Attrition]]="Yes",1,0)</f>
        <v>1</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25">
      <c r="A617">
        <v>27</v>
      </c>
      <c r="B617">
        <f>IF(Adecco_India[[#This Row],[Attrition]]="Yes",1,0)</f>
        <v>0</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25">
      <c r="A618">
        <v>51</v>
      </c>
      <c r="B618">
        <f>IF(Adecco_India[[#This Row],[Attrition]]="Yes",1,0)</f>
        <v>0</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25">
      <c r="A619">
        <v>44</v>
      </c>
      <c r="B619">
        <f>IF(Adecco_India[[#This Row],[Attrition]]="Yes",1,0)</f>
        <v>0</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25">
      <c r="A620">
        <v>25</v>
      </c>
      <c r="B620">
        <f>IF(Adecco_India[[#This Row],[Attrition]]="Yes",1,0)</f>
        <v>0</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25">
      <c r="A621">
        <v>33</v>
      </c>
      <c r="B621">
        <f>IF(Adecco_India[[#This Row],[Attrition]]="Yes",1,0)</f>
        <v>0</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25">
      <c r="A622">
        <v>35</v>
      </c>
      <c r="B622">
        <f>IF(Adecco_India[[#This Row],[Attrition]]="Yes",1,0)</f>
        <v>0</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25">
      <c r="A623">
        <v>36</v>
      </c>
      <c r="B623">
        <f>IF(Adecco_India[[#This Row],[Attrition]]="Yes",1,0)</f>
        <v>0</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25">
      <c r="A624">
        <v>32</v>
      </c>
      <c r="B624">
        <f>IF(Adecco_India[[#This Row],[Attrition]]="Yes",1,0)</f>
        <v>0</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25">
      <c r="A625">
        <v>30</v>
      </c>
      <c r="B625">
        <f>IF(Adecco_India[[#This Row],[Attrition]]="Yes",1,0)</f>
        <v>0</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25">
      <c r="A626">
        <v>53</v>
      </c>
      <c r="B626">
        <f>IF(Adecco_India[[#This Row],[Attrition]]="Yes",1,0)</f>
        <v>0</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25">
      <c r="A627">
        <v>45</v>
      </c>
      <c r="B627">
        <f>IF(Adecco_India[[#This Row],[Attrition]]="Yes",1,0)</f>
        <v>0</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25">
      <c r="A628">
        <v>32</v>
      </c>
      <c r="B628">
        <f>IF(Adecco_India[[#This Row],[Attrition]]="Yes",1,0)</f>
        <v>0</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25">
      <c r="A629">
        <v>52</v>
      </c>
      <c r="B629">
        <f>IF(Adecco_India[[#This Row],[Attrition]]="Yes",1,0)</f>
        <v>0</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25">
      <c r="A630">
        <v>37</v>
      </c>
      <c r="B630">
        <f>IF(Adecco_India[[#This Row],[Attrition]]="Yes",1,0)</f>
        <v>0</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25">
      <c r="A631">
        <v>28</v>
      </c>
      <c r="B631">
        <f>IF(Adecco_India[[#This Row],[Attrition]]="Yes",1,0)</f>
        <v>0</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25">
      <c r="A632">
        <v>22</v>
      </c>
      <c r="B632">
        <f>IF(Adecco_India[[#This Row],[Attrition]]="Yes",1,0)</f>
        <v>0</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25">
      <c r="A633">
        <v>44</v>
      </c>
      <c r="B633">
        <f>IF(Adecco_India[[#This Row],[Attrition]]="Yes",1,0)</f>
        <v>0</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25">
      <c r="A634">
        <v>42</v>
      </c>
      <c r="B634">
        <f>IF(Adecco_India[[#This Row],[Attrition]]="Yes",1,0)</f>
        <v>0</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25">
      <c r="A635">
        <v>36</v>
      </c>
      <c r="B635">
        <f>IF(Adecco_India[[#This Row],[Attrition]]="Yes",1,0)</f>
        <v>0</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25">
      <c r="A636">
        <v>25</v>
      </c>
      <c r="B636">
        <f>IF(Adecco_India[[#This Row],[Attrition]]="Yes",1,0)</f>
        <v>0</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25">
      <c r="A637">
        <v>35</v>
      </c>
      <c r="B637">
        <f>IF(Adecco_India[[#This Row],[Attrition]]="Yes",1,0)</f>
        <v>0</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25">
      <c r="A638">
        <v>35</v>
      </c>
      <c r="B638">
        <f>IF(Adecco_India[[#This Row],[Attrition]]="Yes",1,0)</f>
        <v>1</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25">
      <c r="A639">
        <v>32</v>
      </c>
      <c r="B639">
        <f>IF(Adecco_India[[#This Row],[Attrition]]="Yes",1,0)</f>
        <v>0</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25">
      <c r="A640">
        <v>25</v>
      </c>
      <c r="B640">
        <f>IF(Adecco_India[[#This Row],[Attrition]]="Yes",1,0)</f>
        <v>0</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25">
      <c r="A641">
        <v>49</v>
      </c>
      <c r="B641">
        <f>IF(Adecco_India[[#This Row],[Attrition]]="Yes",1,0)</f>
        <v>0</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25">
      <c r="A642">
        <v>24</v>
      </c>
      <c r="B642">
        <f>IF(Adecco_India[[#This Row],[Attrition]]="Yes",1,0)</f>
        <v>0</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25">
      <c r="A643">
        <v>32</v>
      </c>
      <c r="B643">
        <f>IF(Adecco_India[[#This Row],[Attrition]]="Yes",1,0)</f>
        <v>0</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25">
      <c r="A644">
        <v>38</v>
      </c>
      <c r="B644">
        <f>IF(Adecco_India[[#This Row],[Attrition]]="Yes",1,0)</f>
        <v>0</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25">
      <c r="A645">
        <v>42</v>
      </c>
      <c r="B645">
        <f>IF(Adecco_India[[#This Row],[Attrition]]="Yes",1,0)</f>
        <v>0</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25">
      <c r="A646">
        <v>31</v>
      </c>
      <c r="B646">
        <f>IF(Adecco_India[[#This Row],[Attrition]]="Yes",1,0)</f>
        <v>0</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25">
      <c r="A647">
        <v>29</v>
      </c>
      <c r="B647">
        <f>IF(Adecco_India[[#This Row],[Attrition]]="Yes",1,0)</f>
        <v>1</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25">
      <c r="A648">
        <v>53</v>
      </c>
      <c r="B648">
        <f>IF(Adecco_India[[#This Row],[Attrition]]="Yes",1,0)</f>
        <v>0</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25">
      <c r="A649">
        <v>35</v>
      </c>
      <c r="B649">
        <f>IF(Adecco_India[[#This Row],[Attrition]]="Yes",1,0)</f>
        <v>0</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25">
      <c r="A650">
        <v>37</v>
      </c>
      <c r="B650">
        <f>IF(Adecco_India[[#This Row],[Attrition]]="Yes",1,0)</f>
        <v>0</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25">
      <c r="A651">
        <v>53</v>
      </c>
      <c r="B651">
        <f>IF(Adecco_India[[#This Row],[Attrition]]="Yes",1,0)</f>
        <v>0</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25">
      <c r="A652">
        <v>43</v>
      </c>
      <c r="B652">
        <f>IF(Adecco_India[[#This Row],[Attrition]]="Yes",1,0)</f>
        <v>0</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25">
      <c r="A653">
        <v>47</v>
      </c>
      <c r="B653">
        <f>IF(Adecco_India[[#This Row],[Attrition]]="Yes",1,0)</f>
        <v>0</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25">
      <c r="A654">
        <v>37</v>
      </c>
      <c r="B654">
        <f>IF(Adecco_India[[#This Row],[Attrition]]="Yes",1,0)</f>
        <v>0</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25">
      <c r="A655">
        <v>50</v>
      </c>
      <c r="B655">
        <f>IF(Adecco_India[[#This Row],[Attrition]]="Yes",1,0)</f>
        <v>0</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25">
      <c r="A656">
        <v>39</v>
      </c>
      <c r="B656">
        <f>IF(Adecco_India[[#This Row],[Attrition]]="Yes",1,0)</f>
        <v>0</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25">
      <c r="A657">
        <v>33</v>
      </c>
      <c r="B657">
        <f>IF(Adecco_India[[#This Row],[Attrition]]="Yes",1,0)</f>
        <v>0</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25">
      <c r="A658">
        <v>32</v>
      </c>
      <c r="B658">
        <f>IF(Adecco_India[[#This Row],[Attrition]]="Yes",1,0)</f>
        <v>1</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25">
      <c r="A659">
        <v>29</v>
      </c>
      <c r="B659">
        <f>IF(Adecco_India[[#This Row],[Attrition]]="Yes",1,0)</f>
        <v>0</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25">
      <c r="A660">
        <v>44</v>
      </c>
      <c r="B660">
        <f>IF(Adecco_India[[#This Row],[Attrition]]="Yes",1,0)</f>
        <v>0</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25">
      <c r="A661">
        <v>28</v>
      </c>
      <c r="B661">
        <f>IF(Adecco_India[[#This Row],[Attrition]]="Yes",1,0)</f>
        <v>0</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25">
      <c r="A662">
        <v>58</v>
      </c>
      <c r="B662">
        <f>IF(Adecco_India[[#This Row],[Attrition]]="Yes",1,0)</f>
        <v>1</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25">
      <c r="A663">
        <v>43</v>
      </c>
      <c r="B663">
        <f>IF(Adecco_India[[#This Row],[Attrition]]="Yes",1,0)</f>
        <v>0</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25">
      <c r="A664">
        <v>20</v>
      </c>
      <c r="B664">
        <f>IF(Adecco_India[[#This Row],[Attrition]]="Yes",1,0)</f>
        <v>1</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25">
      <c r="A665">
        <v>21</v>
      </c>
      <c r="B665">
        <f>IF(Adecco_India[[#This Row],[Attrition]]="Yes",1,0)</f>
        <v>1</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25">
      <c r="A666">
        <v>36</v>
      </c>
      <c r="B666">
        <f>IF(Adecco_India[[#This Row],[Attrition]]="Yes",1,0)</f>
        <v>0</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25">
      <c r="A667">
        <v>47</v>
      </c>
      <c r="B667">
        <f>IF(Adecco_India[[#This Row],[Attrition]]="Yes",1,0)</f>
        <v>0</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25">
      <c r="A668">
        <v>22</v>
      </c>
      <c r="B668">
        <f>IF(Adecco_India[[#This Row],[Attrition]]="Yes",1,0)</f>
        <v>1</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25">
      <c r="A669">
        <v>41</v>
      </c>
      <c r="B669">
        <f>IF(Adecco_India[[#This Row],[Attrition]]="Yes",1,0)</f>
        <v>1</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25">
      <c r="A670">
        <v>28</v>
      </c>
      <c r="B670">
        <f>IF(Adecco_India[[#This Row],[Attrition]]="Yes",1,0)</f>
        <v>0</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25">
      <c r="A671">
        <v>39</v>
      </c>
      <c r="B671">
        <f>IF(Adecco_India[[#This Row],[Attrition]]="Yes",1,0)</f>
        <v>1</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25">
      <c r="A672">
        <v>27</v>
      </c>
      <c r="B672">
        <f>IF(Adecco_India[[#This Row],[Attrition]]="Yes",1,0)</f>
        <v>0</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25">
      <c r="A673">
        <v>34</v>
      </c>
      <c r="B673">
        <f>IF(Adecco_India[[#This Row],[Attrition]]="Yes",1,0)</f>
        <v>0</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25">
      <c r="A674">
        <v>42</v>
      </c>
      <c r="B674">
        <f>IF(Adecco_India[[#This Row],[Attrition]]="Yes",1,0)</f>
        <v>0</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25">
      <c r="A675">
        <v>33</v>
      </c>
      <c r="B675">
        <f>IF(Adecco_India[[#This Row],[Attrition]]="Yes",1,0)</f>
        <v>0</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25">
      <c r="A676">
        <v>58</v>
      </c>
      <c r="B676">
        <f>IF(Adecco_India[[#This Row],[Attrition]]="Yes",1,0)</f>
        <v>0</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25">
      <c r="A677">
        <v>31</v>
      </c>
      <c r="B677">
        <f>IF(Adecco_India[[#This Row],[Attrition]]="Yes",1,0)</f>
        <v>0</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25">
      <c r="A678">
        <v>35</v>
      </c>
      <c r="B678">
        <f>IF(Adecco_India[[#This Row],[Attrition]]="Yes",1,0)</f>
        <v>0</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25">
      <c r="A679">
        <v>49</v>
      </c>
      <c r="B679">
        <f>IF(Adecco_India[[#This Row],[Attrition]]="Yes",1,0)</f>
        <v>0</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25">
      <c r="A680">
        <v>48</v>
      </c>
      <c r="B680">
        <f>IF(Adecco_India[[#This Row],[Attrition]]="Yes",1,0)</f>
        <v>0</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25">
      <c r="A681">
        <v>31</v>
      </c>
      <c r="B681">
        <f>IF(Adecco_India[[#This Row],[Attrition]]="Yes",1,0)</f>
        <v>0</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25">
      <c r="A682">
        <v>36</v>
      </c>
      <c r="B682">
        <f>IF(Adecco_India[[#This Row],[Attrition]]="Yes",1,0)</f>
        <v>0</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25">
      <c r="A683">
        <v>38</v>
      </c>
      <c r="B683">
        <f>IF(Adecco_India[[#This Row],[Attrition]]="Yes",1,0)</f>
        <v>0</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25">
      <c r="A684">
        <v>32</v>
      </c>
      <c r="B684">
        <f>IF(Adecco_India[[#This Row],[Attrition]]="Yes",1,0)</f>
        <v>0</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25">
      <c r="A685">
        <v>25</v>
      </c>
      <c r="B685">
        <f>IF(Adecco_India[[#This Row],[Attrition]]="Yes",1,0)</f>
        <v>1</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25">
      <c r="A686">
        <v>40</v>
      </c>
      <c r="B686">
        <f>IF(Adecco_India[[#This Row],[Attrition]]="Yes",1,0)</f>
        <v>0</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25">
      <c r="A687">
        <v>26</v>
      </c>
      <c r="B687">
        <f>IF(Adecco_India[[#This Row],[Attrition]]="Yes",1,0)</f>
        <v>0</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25">
      <c r="A688">
        <v>41</v>
      </c>
      <c r="B688">
        <f>IF(Adecco_India[[#This Row],[Attrition]]="Yes",1,0)</f>
        <v>0</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25">
      <c r="A689">
        <v>36</v>
      </c>
      <c r="B689">
        <f>IF(Adecco_India[[#This Row],[Attrition]]="Yes",1,0)</f>
        <v>0</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25">
      <c r="A690">
        <v>19</v>
      </c>
      <c r="B690">
        <f>IF(Adecco_India[[#This Row],[Attrition]]="Yes",1,0)</f>
        <v>1</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25">
      <c r="A691">
        <v>20</v>
      </c>
      <c r="B691">
        <f>IF(Adecco_India[[#This Row],[Attrition]]="Yes",1,0)</f>
        <v>1</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25">
      <c r="A692">
        <v>31</v>
      </c>
      <c r="B692">
        <f>IF(Adecco_India[[#This Row],[Attrition]]="Yes",1,0)</f>
        <v>0</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25">
      <c r="A693">
        <v>40</v>
      </c>
      <c r="B693">
        <f>IF(Adecco_India[[#This Row],[Attrition]]="Yes",1,0)</f>
        <v>0</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25">
      <c r="A694">
        <v>32</v>
      </c>
      <c r="B694">
        <f>IF(Adecco_India[[#This Row],[Attrition]]="Yes",1,0)</f>
        <v>0</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25">
      <c r="A695">
        <v>36</v>
      </c>
      <c r="B695">
        <f>IF(Adecco_India[[#This Row],[Attrition]]="Yes",1,0)</f>
        <v>1</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25">
      <c r="A696">
        <v>33</v>
      </c>
      <c r="B696">
        <f>IF(Adecco_India[[#This Row],[Attrition]]="Yes",1,0)</f>
        <v>0</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25">
      <c r="A697">
        <v>37</v>
      </c>
      <c r="B697">
        <f>IF(Adecco_India[[#This Row],[Attrition]]="Yes",1,0)</f>
        <v>1</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25">
      <c r="A698">
        <v>45</v>
      </c>
      <c r="B698">
        <f>IF(Adecco_India[[#This Row],[Attrition]]="Yes",1,0)</f>
        <v>0</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25">
      <c r="A699">
        <v>29</v>
      </c>
      <c r="B699">
        <f>IF(Adecco_India[[#This Row],[Attrition]]="Yes",1,0)</f>
        <v>0</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25">
      <c r="A700">
        <v>35</v>
      </c>
      <c r="B700">
        <f>IF(Adecco_India[[#This Row],[Attrition]]="Yes",1,0)</f>
        <v>0</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25">
      <c r="A701">
        <v>52</v>
      </c>
      <c r="B701">
        <f>IF(Adecco_India[[#This Row],[Attrition]]="Yes",1,0)</f>
        <v>0</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25">
      <c r="A702">
        <v>58</v>
      </c>
      <c r="B702">
        <f>IF(Adecco_India[[#This Row],[Attrition]]="Yes",1,0)</f>
        <v>1</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25">
      <c r="A703">
        <v>53</v>
      </c>
      <c r="B703">
        <f>IF(Adecco_India[[#This Row],[Attrition]]="Yes",1,0)</f>
        <v>0</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25">
      <c r="A704">
        <v>30</v>
      </c>
      <c r="B704">
        <f>IF(Adecco_India[[#This Row],[Attrition]]="Yes",1,0)</f>
        <v>0</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25">
      <c r="A705">
        <v>38</v>
      </c>
      <c r="B705">
        <f>IF(Adecco_India[[#This Row],[Attrition]]="Yes",1,0)</f>
        <v>0</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25">
      <c r="A706">
        <v>35</v>
      </c>
      <c r="B706">
        <f>IF(Adecco_India[[#This Row],[Attrition]]="Yes",1,0)</f>
        <v>0</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25">
      <c r="A707">
        <v>39</v>
      </c>
      <c r="B707">
        <f>IF(Adecco_India[[#This Row],[Attrition]]="Yes",1,0)</f>
        <v>0</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25">
      <c r="A708">
        <v>40</v>
      </c>
      <c r="B708">
        <f>IF(Adecco_India[[#This Row],[Attrition]]="Yes",1,0)</f>
        <v>1</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25">
      <c r="A709">
        <v>47</v>
      </c>
      <c r="B709">
        <f>IF(Adecco_India[[#This Row],[Attrition]]="Yes",1,0)</f>
        <v>0</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25">
      <c r="A710">
        <v>36</v>
      </c>
      <c r="B710">
        <f>IF(Adecco_India[[#This Row],[Attrition]]="Yes",1,0)</f>
        <v>0</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25">
      <c r="A711">
        <v>31</v>
      </c>
      <c r="B711">
        <f>IF(Adecco_India[[#This Row],[Attrition]]="Yes",1,0)</f>
        <v>1</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25">
      <c r="A712">
        <v>33</v>
      </c>
      <c r="B712">
        <f>IF(Adecco_India[[#This Row],[Attrition]]="Yes",1,0)</f>
        <v>0</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25">
      <c r="A713">
        <v>29</v>
      </c>
      <c r="B713">
        <f>IF(Adecco_India[[#This Row],[Attrition]]="Yes",1,0)</f>
        <v>1</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25">
      <c r="A714">
        <v>33</v>
      </c>
      <c r="B714">
        <f>IF(Adecco_India[[#This Row],[Attrition]]="Yes",1,0)</f>
        <v>0</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25">
      <c r="A715">
        <v>45</v>
      </c>
      <c r="B715">
        <f>IF(Adecco_India[[#This Row],[Attrition]]="Yes",1,0)</f>
        <v>0</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25">
      <c r="A716">
        <v>50</v>
      </c>
      <c r="B716">
        <f>IF(Adecco_India[[#This Row],[Attrition]]="Yes",1,0)</f>
        <v>0</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25">
      <c r="A717">
        <v>33</v>
      </c>
      <c r="B717">
        <f>IF(Adecco_India[[#This Row],[Attrition]]="Yes",1,0)</f>
        <v>0</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25">
      <c r="A718">
        <v>41</v>
      </c>
      <c r="B718">
        <f>IF(Adecco_India[[#This Row],[Attrition]]="Yes",1,0)</f>
        <v>0</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25">
      <c r="A719">
        <v>27</v>
      </c>
      <c r="B719">
        <f>IF(Adecco_India[[#This Row],[Attrition]]="Yes",1,0)</f>
        <v>0</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25">
      <c r="A720">
        <v>45</v>
      </c>
      <c r="B720">
        <f>IF(Adecco_India[[#This Row],[Attrition]]="Yes",1,0)</f>
        <v>0</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25">
      <c r="A721">
        <v>47</v>
      </c>
      <c r="B721">
        <f>IF(Adecco_India[[#This Row],[Attrition]]="Yes",1,0)</f>
        <v>0</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25">
      <c r="A722">
        <v>30</v>
      </c>
      <c r="B722">
        <f>IF(Adecco_India[[#This Row],[Attrition]]="Yes",1,0)</f>
        <v>1</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25">
      <c r="A723">
        <v>50</v>
      </c>
      <c r="B723">
        <f>IF(Adecco_India[[#This Row],[Attrition]]="Yes",1,0)</f>
        <v>0</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25">
      <c r="A724">
        <v>38</v>
      </c>
      <c r="B724">
        <f>IF(Adecco_India[[#This Row],[Attrition]]="Yes",1,0)</f>
        <v>0</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25">
      <c r="A725">
        <v>46</v>
      </c>
      <c r="B725">
        <f>IF(Adecco_India[[#This Row],[Attrition]]="Yes",1,0)</f>
        <v>0</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25">
      <c r="A726">
        <v>24</v>
      </c>
      <c r="B726">
        <f>IF(Adecco_India[[#This Row],[Attrition]]="Yes",1,0)</f>
        <v>0</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25">
      <c r="A727">
        <v>35</v>
      </c>
      <c r="B727">
        <f>IF(Adecco_India[[#This Row],[Attrition]]="Yes",1,0)</f>
        <v>1</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25">
      <c r="A728">
        <v>31</v>
      </c>
      <c r="B728">
        <f>IF(Adecco_India[[#This Row],[Attrition]]="Yes",1,0)</f>
        <v>0</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25">
      <c r="A729">
        <v>18</v>
      </c>
      <c r="B729">
        <f>IF(Adecco_India[[#This Row],[Attrition]]="Yes",1,0)</f>
        <v>0</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25">
      <c r="A730">
        <v>54</v>
      </c>
      <c r="B730">
        <f>IF(Adecco_India[[#This Row],[Attrition]]="Yes",1,0)</f>
        <v>0</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25">
      <c r="A731">
        <v>35</v>
      </c>
      <c r="B731">
        <f>IF(Adecco_India[[#This Row],[Attrition]]="Yes",1,0)</f>
        <v>0</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25">
      <c r="A732">
        <v>30</v>
      </c>
      <c r="B732">
        <f>IF(Adecco_India[[#This Row],[Attrition]]="Yes",1,0)</f>
        <v>0</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25">
      <c r="A733">
        <v>20</v>
      </c>
      <c r="B733">
        <f>IF(Adecco_India[[#This Row],[Attrition]]="Yes",1,0)</f>
        <v>1</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25">
      <c r="A734">
        <v>30</v>
      </c>
      <c r="B734">
        <f>IF(Adecco_India[[#This Row],[Attrition]]="Yes",1,0)</f>
        <v>1</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25">
      <c r="A735">
        <v>26</v>
      </c>
      <c r="B735">
        <f>IF(Adecco_India[[#This Row],[Attrition]]="Yes",1,0)</f>
        <v>0</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25">
      <c r="A736">
        <v>22</v>
      </c>
      <c r="B736">
        <f>IF(Adecco_India[[#This Row],[Attrition]]="Yes",1,0)</f>
        <v>0</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25">
      <c r="A737">
        <v>48</v>
      </c>
      <c r="B737">
        <f>IF(Adecco_India[[#This Row],[Attrition]]="Yes",1,0)</f>
        <v>0</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25">
      <c r="A738">
        <v>48</v>
      </c>
      <c r="B738">
        <f>IF(Adecco_India[[#This Row],[Attrition]]="Yes",1,0)</f>
        <v>0</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25">
      <c r="A739">
        <v>41</v>
      </c>
      <c r="B739">
        <f>IF(Adecco_India[[#This Row],[Attrition]]="Yes",1,0)</f>
        <v>0</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25">
      <c r="A740">
        <v>39</v>
      </c>
      <c r="B740">
        <f>IF(Adecco_India[[#This Row],[Attrition]]="Yes",1,0)</f>
        <v>0</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25">
      <c r="A741">
        <v>27</v>
      </c>
      <c r="B741">
        <f>IF(Adecco_India[[#This Row],[Attrition]]="Yes",1,0)</f>
        <v>0</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25">
      <c r="A742">
        <v>35</v>
      </c>
      <c r="B742">
        <f>IF(Adecco_India[[#This Row],[Attrition]]="Yes",1,0)</f>
        <v>0</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25">
      <c r="A743">
        <v>42</v>
      </c>
      <c r="B743">
        <f>IF(Adecco_India[[#This Row],[Attrition]]="Yes",1,0)</f>
        <v>0</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25">
      <c r="A744">
        <v>50</v>
      </c>
      <c r="B744">
        <f>IF(Adecco_India[[#This Row],[Attrition]]="Yes",1,0)</f>
        <v>0</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25">
      <c r="A745">
        <v>59</v>
      </c>
      <c r="B745">
        <f>IF(Adecco_India[[#This Row],[Attrition]]="Yes",1,0)</f>
        <v>0</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25">
      <c r="A746">
        <v>37</v>
      </c>
      <c r="B746">
        <f>IF(Adecco_India[[#This Row],[Attrition]]="Yes",1,0)</f>
        <v>1</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25">
      <c r="A747">
        <v>55</v>
      </c>
      <c r="B747">
        <f>IF(Adecco_India[[#This Row],[Attrition]]="Yes",1,0)</f>
        <v>0</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25">
      <c r="A748">
        <v>41</v>
      </c>
      <c r="B748">
        <f>IF(Adecco_India[[#This Row],[Attrition]]="Yes",1,0)</f>
        <v>0</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25">
      <c r="A749">
        <v>38</v>
      </c>
      <c r="B749">
        <f>IF(Adecco_India[[#This Row],[Attrition]]="Yes",1,0)</f>
        <v>0</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25">
      <c r="A750">
        <v>26</v>
      </c>
      <c r="B750">
        <f>IF(Adecco_India[[#This Row],[Attrition]]="Yes",1,0)</f>
        <v>1</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25">
      <c r="A751">
        <v>52</v>
      </c>
      <c r="B751">
        <f>IF(Adecco_India[[#This Row],[Attrition]]="Yes",1,0)</f>
        <v>1</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25">
      <c r="A752">
        <v>44</v>
      </c>
      <c r="B752">
        <f>IF(Adecco_India[[#This Row],[Attrition]]="Yes",1,0)</f>
        <v>0</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25">
      <c r="A753">
        <v>50</v>
      </c>
      <c r="B753">
        <f>IF(Adecco_India[[#This Row],[Attrition]]="Yes",1,0)</f>
        <v>0</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25">
      <c r="A754">
        <v>36</v>
      </c>
      <c r="B754">
        <f>IF(Adecco_India[[#This Row],[Attrition]]="Yes",1,0)</f>
        <v>1</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25">
      <c r="A755">
        <v>39</v>
      </c>
      <c r="B755">
        <f>IF(Adecco_India[[#This Row],[Attrition]]="Yes",1,0)</f>
        <v>0</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25">
      <c r="A756">
        <v>33</v>
      </c>
      <c r="B756">
        <f>IF(Adecco_India[[#This Row],[Attrition]]="Yes",1,0)</f>
        <v>0</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25">
      <c r="A757">
        <v>45</v>
      </c>
      <c r="B757">
        <f>IF(Adecco_India[[#This Row],[Attrition]]="Yes",1,0)</f>
        <v>0</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25">
      <c r="A758">
        <v>32</v>
      </c>
      <c r="B758">
        <f>IF(Adecco_India[[#This Row],[Attrition]]="Yes",1,0)</f>
        <v>0</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25">
      <c r="A759">
        <v>34</v>
      </c>
      <c r="B759">
        <f>IF(Adecco_India[[#This Row],[Attrition]]="Yes",1,0)</f>
        <v>0</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25">
      <c r="A760">
        <v>59</v>
      </c>
      <c r="B760">
        <f>IF(Adecco_India[[#This Row],[Attrition]]="Yes",1,0)</f>
        <v>0</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25">
      <c r="A761">
        <v>45</v>
      </c>
      <c r="B761">
        <f>IF(Adecco_India[[#This Row],[Attrition]]="Yes",1,0)</f>
        <v>0</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25">
      <c r="A762">
        <v>53</v>
      </c>
      <c r="B762">
        <f>IF(Adecco_India[[#This Row],[Attrition]]="Yes",1,0)</f>
        <v>0</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25">
      <c r="A763">
        <v>36</v>
      </c>
      <c r="B763">
        <f>IF(Adecco_India[[#This Row],[Attrition]]="Yes",1,0)</f>
        <v>1</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25">
      <c r="A764">
        <v>26</v>
      </c>
      <c r="B764">
        <f>IF(Adecco_India[[#This Row],[Attrition]]="Yes",1,0)</f>
        <v>1</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25">
      <c r="A765">
        <v>34</v>
      </c>
      <c r="B765">
        <f>IF(Adecco_India[[#This Row],[Attrition]]="Yes",1,0)</f>
        <v>0</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25">
      <c r="A766">
        <v>28</v>
      </c>
      <c r="B766">
        <f>IF(Adecco_India[[#This Row],[Attrition]]="Yes",1,0)</f>
        <v>0</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25">
      <c r="A767">
        <v>38</v>
      </c>
      <c r="B767">
        <f>IF(Adecco_India[[#This Row],[Attrition]]="Yes",1,0)</f>
        <v>0</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25">
      <c r="A768">
        <v>50</v>
      </c>
      <c r="B768">
        <f>IF(Adecco_India[[#This Row],[Attrition]]="Yes",1,0)</f>
        <v>0</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25">
      <c r="A769">
        <v>37</v>
      </c>
      <c r="B769">
        <f>IF(Adecco_India[[#This Row],[Attrition]]="Yes",1,0)</f>
        <v>0</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25">
      <c r="A770">
        <v>40</v>
      </c>
      <c r="B770">
        <f>IF(Adecco_India[[#This Row],[Attrition]]="Yes",1,0)</f>
        <v>0</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25">
      <c r="A771">
        <v>26</v>
      </c>
      <c r="B771">
        <f>IF(Adecco_India[[#This Row],[Attrition]]="Yes",1,0)</f>
        <v>0</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25">
      <c r="A772">
        <v>46</v>
      </c>
      <c r="B772">
        <f>IF(Adecco_India[[#This Row],[Attrition]]="Yes",1,0)</f>
        <v>0</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25">
      <c r="A773">
        <v>54</v>
      </c>
      <c r="B773">
        <f>IF(Adecco_India[[#This Row],[Attrition]]="Yes",1,0)</f>
        <v>0</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25">
      <c r="A774">
        <v>56</v>
      </c>
      <c r="B774">
        <f>IF(Adecco_India[[#This Row],[Attrition]]="Yes",1,0)</f>
        <v>0</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25">
      <c r="A775">
        <v>36</v>
      </c>
      <c r="B775">
        <f>IF(Adecco_India[[#This Row],[Attrition]]="Yes",1,0)</f>
        <v>0</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25">
      <c r="A776">
        <v>55</v>
      </c>
      <c r="B776">
        <f>IF(Adecco_India[[#This Row],[Attrition]]="Yes",1,0)</f>
        <v>0</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25">
      <c r="A777">
        <v>43</v>
      </c>
      <c r="B777">
        <f>IF(Adecco_India[[#This Row],[Attrition]]="Yes",1,0)</f>
        <v>0</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25">
      <c r="A778">
        <v>20</v>
      </c>
      <c r="B778">
        <f>IF(Adecco_India[[#This Row],[Attrition]]="Yes",1,0)</f>
        <v>1</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25">
      <c r="A779">
        <v>21</v>
      </c>
      <c r="B779">
        <f>IF(Adecco_India[[#This Row],[Attrition]]="Yes",1,0)</f>
        <v>1</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25">
      <c r="A780">
        <v>46</v>
      </c>
      <c r="B780">
        <f>IF(Adecco_India[[#This Row],[Attrition]]="Yes",1,0)</f>
        <v>0</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25">
      <c r="A781">
        <v>51</v>
      </c>
      <c r="B781">
        <f>IF(Adecco_India[[#This Row],[Attrition]]="Yes",1,0)</f>
        <v>1</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25">
      <c r="A782">
        <v>28</v>
      </c>
      <c r="B782">
        <f>IF(Adecco_India[[#This Row],[Attrition]]="Yes",1,0)</f>
        <v>1</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25">
      <c r="A783">
        <v>26</v>
      </c>
      <c r="B783">
        <f>IF(Adecco_India[[#This Row],[Attrition]]="Yes",1,0)</f>
        <v>0</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25">
      <c r="A784">
        <v>30</v>
      </c>
      <c r="B784">
        <f>IF(Adecco_India[[#This Row],[Attrition]]="Yes",1,0)</f>
        <v>0</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25">
      <c r="A785">
        <v>41</v>
      </c>
      <c r="B785">
        <f>IF(Adecco_India[[#This Row],[Attrition]]="Yes",1,0)</f>
        <v>0</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25">
      <c r="A786">
        <v>38</v>
      </c>
      <c r="B786">
        <f>IF(Adecco_India[[#This Row],[Attrition]]="Yes",1,0)</f>
        <v>0</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25">
      <c r="A787">
        <v>40</v>
      </c>
      <c r="B787">
        <f>IF(Adecco_India[[#This Row],[Attrition]]="Yes",1,0)</f>
        <v>0</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25">
      <c r="A788">
        <v>27</v>
      </c>
      <c r="B788">
        <f>IF(Adecco_India[[#This Row],[Attrition]]="Yes",1,0)</f>
        <v>0</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25">
      <c r="A789">
        <v>55</v>
      </c>
      <c r="B789">
        <f>IF(Adecco_India[[#This Row],[Attrition]]="Yes",1,0)</f>
        <v>0</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25">
      <c r="A790">
        <v>28</v>
      </c>
      <c r="B790">
        <f>IF(Adecco_India[[#This Row],[Attrition]]="Yes",1,0)</f>
        <v>0</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25">
      <c r="A791">
        <v>44</v>
      </c>
      <c r="B791">
        <f>IF(Adecco_India[[#This Row],[Attrition]]="Yes",1,0)</f>
        <v>1</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25">
      <c r="A792">
        <v>33</v>
      </c>
      <c r="B792">
        <f>IF(Adecco_India[[#This Row],[Attrition]]="Yes",1,0)</f>
        <v>0</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25">
      <c r="A793">
        <v>35</v>
      </c>
      <c r="B793">
        <f>IF(Adecco_India[[#This Row],[Attrition]]="Yes",1,0)</f>
        <v>1</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25">
      <c r="A794">
        <v>33</v>
      </c>
      <c r="B794">
        <f>IF(Adecco_India[[#This Row],[Attrition]]="Yes",1,0)</f>
        <v>1</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25">
      <c r="A795">
        <v>28</v>
      </c>
      <c r="B795">
        <f>IF(Adecco_India[[#This Row],[Attrition]]="Yes",1,0)</f>
        <v>0</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25">
      <c r="A796">
        <v>34</v>
      </c>
      <c r="B796">
        <f>IF(Adecco_India[[#This Row],[Attrition]]="Yes",1,0)</f>
        <v>0</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25">
      <c r="A797">
        <v>37</v>
      </c>
      <c r="B797">
        <f>IF(Adecco_India[[#This Row],[Attrition]]="Yes",1,0)</f>
        <v>0</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25">
      <c r="A798">
        <v>25</v>
      </c>
      <c r="B798">
        <f>IF(Adecco_India[[#This Row],[Attrition]]="Yes",1,0)</f>
        <v>1</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25">
      <c r="A799">
        <v>26</v>
      </c>
      <c r="B799">
        <f>IF(Adecco_India[[#This Row],[Attrition]]="Yes",1,0)</f>
        <v>1</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25">
      <c r="A800">
        <v>33</v>
      </c>
      <c r="B800">
        <f>IF(Adecco_India[[#This Row],[Attrition]]="Yes",1,0)</f>
        <v>1</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25">
      <c r="A801">
        <v>42</v>
      </c>
      <c r="B801">
        <f>IF(Adecco_India[[#This Row],[Attrition]]="Yes",1,0)</f>
        <v>0</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25">
      <c r="A802">
        <v>28</v>
      </c>
      <c r="B802">
        <f>IF(Adecco_India[[#This Row],[Attrition]]="Yes",1,0)</f>
        <v>1</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25">
      <c r="A803">
        <v>50</v>
      </c>
      <c r="B803">
        <f>IF(Adecco_India[[#This Row],[Attrition]]="Yes",1,0)</f>
        <v>1</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25">
      <c r="A804">
        <v>33</v>
      </c>
      <c r="B804">
        <f>IF(Adecco_India[[#This Row],[Attrition]]="Yes",1,0)</f>
        <v>0</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25">
      <c r="A805">
        <v>34</v>
      </c>
      <c r="B805">
        <f>IF(Adecco_India[[#This Row],[Attrition]]="Yes",1,0)</f>
        <v>0</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25">
      <c r="A806">
        <v>48</v>
      </c>
      <c r="B806">
        <f>IF(Adecco_India[[#This Row],[Attrition]]="Yes",1,0)</f>
        <v>0</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25">
      <c r="A807">
        <v>45</v>
      </c>
      <c r="B807">
        <f>IF(Adecco_India[[#This Row],[Attrition]]="Yes",1,0)</f>
        <v>0</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25">
      <c r="A808">
        <v>52</v>
      </c>
      <c r="B808">
        <f>IF(Adecco_India[[#This Row],[Attrition]]="Yes",1,0)</f>
        <v>0</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25">
      <c r="A809">
        <v>38</v>
      </c>
      <c r="B809">
        <f>IF(Adecco_India[[#This Row],[Attrition]]="Yes",1,0)</f>
        <v>0</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25">
      <c r="A810">
        <v>29</v>
      </c>
      <c r="B810">
        <f>IF(Adecco_India[[#This Row],[Attrition]]="Yes",1,0)</f>
        <v>0</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25">
      <c r="A811">
        <v>28</v>
      </c>
      <c r="B811">
        <f>IF(Adecco_India[[#This Row],[Attrition]]="Yes",1,0)</f>
        <v>0</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25">
      <c r="A812">
        <v>46</v>
      </c>
      <c r="B812">
        <f>IF(Adecco_India[[#This Row],[Attrition]]="Yes",1,0)</f>
        <v>0</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25">
      <c r="A813">
        <v>38</v>
      </c>
      <c r="B813">
        <f>IF(Adecco_India[[#This Row],[Attrition]]="Yes",1,0)</f>
        <v>0</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25">
      <c r="A814">
        <v>43</v>
      </c>
      <c r="B814">
        <f>IF(Adecco_India[[#This Row],[Attrition]]="Yes",1,0)</f>
        <v>0</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25">
      <c r="A815">
        <v>39</v>
      </c>
      <c r="B815">
        <f>IF(Adecco_India[[#This Row],[Attrition]]="Yes",1,0)</f>
        <v>1</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25">
      <c r="A816">
        <v>40</v>
      </c>
      <c r="B816">
        <f>IF(Adecco_India[[#This Row],[Attrition]]="Yes",1,0)</f>
        <v>0</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25">
      <c r="A817">
        <v>21</v>
      </c>
      <c r="B817">
        <f>IF(Adecco_India[[#This Row],[Attrition]]="Yes",1,0)</f>
        <v>0</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25">
      <c r="A818">
        <v>39</v>
      </c>
      <c r="B818">
        <f>IF(Adecco_India[[#This Row],[Attrition]]="Yes",1,0)</f>
        <v>0</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25">
      <c r="A819">
        <v>36</v>
      </c>
      <c r="B819">
        <f>IF(Adecco_India[[#This Row],[Attrition]]="Yes",1,0)</f>
        <v>0</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25">
      <c r="A820">
        <v>31</v>
      </c>
      <c r="B820">
        <f>IF(Adecco_India[[#This Row],[Attrition]]="Yes",1,0)</f>
        <v>0</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25">
      <c r="A821">
        <v>28</v>
      </c>
      <c r="B821">
        <f>IF(Adecco_India[[#This Row],[Attrition]]="Yes",1,0)</f>
        <v>0</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25">
      <c r="A822">
        <v>35</v>
      </c>
      <c r="B822">
        <f>IF(Adecco_India[[#This Row],[Attrition]]="Yes",1,0)</f>
        <v>0</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25">
      <c r="A823">
        <v>49</v>
      </c>
      <c r="B823">
        <f>IF(Adecco_India[[#This Row],[Attrition]]="Yes",1,0)</f>
        <v>0</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25">
      <c r="A824">
        <v>34</v>
      </c>
      <c r="B824">
        <f>IF(Adecco_India[[#This Row],[Attrition]]="Yes",1,0)</f>
        <v>0</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25">
      <c r="A825">
        <v>29</v>
      </c>
      <c r="B825">
        <f>IF(Adecco_India[[#This Row],[Attrition]]="Yes",1,0)</f>
        <v>0</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25">
      <c r="A826">
        <v>42</v>
      </c>
      <c r="B826">
        <f>IF(Adecco_India[[#This Row],[Attrition]]="Yes",1,0)</f>
        <v>0</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25">
      <c r="A827">
        <v>29</v>
      </c>
      <c r="B827">
        <f>IF(Adecco_India[[#This Row],[Attrition]]="Yes",1,0)</f>
        <v>0</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25">
      <c r="A828">
        <v>38</v>
      </c>
      <c r="B828">
        <f>IF(Adecco_India[[#This Row],[Attrition]]="Yes",1,0)</f>
        <v>0</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25">
      <c r="A829">
        <v>28</v>
      </c>
      <c r="B829">
        <f>IF(Adecco_India[[#This Row],[Attrition]]="Yes",1,0)</f>
        <v>0</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25">
      <c r="A830">
        <v>18</v>
      </c>
      <c r="B830">
        <f>IF(Adecco_India[[#This Row],[Attrition]]="Yes",1,0)</f>
        <v>1</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25">
      <c r="A831">
        <v>33</v>
      </c>
      <c r="B831">
        <f>IF(Adecco_India[[#This Row],[Attrition]]="Yes",1,0)</f>
        <v>1</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25">
      <c r="A832">
        <v>41</v>
      </c>
      <c r="B832">
        <f>IF(Adecco_India[[#This Row],[Attrition]]="Yes",1,0)</f>
        <v>0</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25">
      <c r="A833">
        <v>31</v>
      </c>
      <c r="B833">
        <f>IF(Adecco_India[[#This Row],[Attrition]]="Yes",1,0)</f>
        <v>1</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25">
      <c r="A834">
        <v>37</v>
      </c>
      <c r="B834">
        <f>IF(Adecco_India[[#This Row],[Attrition]]="Yes",1,0)</f>
        <v>0</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25">
      <c r="A835">
        <v>27</v>
      </c>
      <c r="B835">
        <f>IF(Adecco_India[[#This Row],[Attrition]]="Yes",1,0)</f>
        <v>0</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25">
      <c r="A836">
        <v>34</v>
      </c>
      <c r="B836">
        <f>IF(Adecco_India[[#This Row],[Attrition]]="Yes",1,0)</f>
        <v>0</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25">
      <c r="A837">
        <v>35</v>
      </c>
      <c r="B837">
        <f>IF(Adecco_India[[#This Row],[Attrition]]="Yes",1,0)</f>
        <v>0</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25">
      <c r="A838">
        <v>29</v>
      </c>
      <c r="B838">
        <f>IF(Adecco_India[[#This Row],[Attrition]]="Yes",1,0)</f>
        <v>1</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25">
      <c r="A839">
        <v>40</v>
      </c>
      <c r="B839">
        <f>IF(Adecco_India[[#This Row],[Attrition]]="Yes",1,0)</f>
        <v>0</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25">
      <c r="A840">
        <v>42</v>
      </c>
      <c r="B840">
        <f>IF(Adecco_India[[#This Row],[Attrition]]="Yes",1,0)</f>
        <v>1</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25">
      <c r="A841">
        <v>42</v>
      </c>
      <c r="B841">
        <f>IF(Adecco_India[[#This Row],[Attrition]]="Yes",1,0)</f>
        <v>0</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25">
      <c r="A842">
        <v>35</v>
      </c>
      <c r="B842">
        <f>IF(Adecco_India[[#This Row],[Attrition]]="Yes",1,0)</f>
        <v>0</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25">
      <c r="A843">
        <v>24</v>
      </c>
      <c r="B843">
        <f>IF(Adecco_India[[#This Row],[Attrition]]="Yes",1,0)</f>
        <v>0</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25">
      <c r="A844">
        <v>28</v>
      </c>
      <c r="B844">
        <f>IF(Adecco_India[[#This Row],[Attrition]]="Yes",1,0)</f>
        <v>1</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25">
      <c r="A845">
        <v>26</v>
      </c>
      <c r="B845">
        <f>IF(Adecco_India[[#This Row],[Attrition]]="Yes",1,0)</f>
        <v>0</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25">
      <c r="A846">
        <v>30</v>
      </c>
      <c r="B846">
        <f>IF(Adecco_India[[#This Row],[Attrition]]="Yes",1,0)</f>
        <v>0</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25">
      <c r="A847">
        <v>40</v>
      </c>
      <c r="B847">
        <f>IF(Adecco_India[[#This Row],[Attrition]]="Yes",1,0)</f>
        <v>0</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25">
      <c r="A848">
        <v>35</v>
      </c>
      <c r="B848">
        <f>IF(Adecco_India[[#This Row],[Attrition]]="Yes",1,0)</f>
        <v>0</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25">
      <c r="A849">
        <v>34</v>
      </c>
      <c r="B849">
        <f>IF(Adecco_India[[#This Row],[Attrition]]="Yes",1,0)</f>
        <v>0</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25">
      <c r="A850">
        <v>35</v>
      </c>
      <c r="B850">
        <f>IF(Adecco_India[[#This Row],[Attrition]]="Yes",1,0)</f>
        <v>0</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25">
      <c r="A851">
        <v>43</v>
      </c>
      <c r="B851">
        <f>IF(Adecco_India[[#This Row],[Attrition]]="Yes",1,0)</f>
        <v>1</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25">
      <c r="A852">
        <v>32</v>
      </c>
      <c r="B852">
        <f>IF(Adecco_India[[#This Row],[Attrition]]="Yes",1,0)</f>
        <v>0</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25">
      <c r="A853">
        <v>56</v>
      </c>
      <c r="B853">
        <f>IF(Adecco_India[[#This Row],[Attrition]]="Yes",1,0)</f>
        <v>0</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25">
      <c r="A854">
        <v>29</v>
      </c>
      <c r="B854">
        <f>IF(Adecco_India[[#This Row],[Attrition]]="Yes",1,0)</f>
        <v>0</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25">
      <c r="A855">
        <v>19</v>
      </c>
      <c r="B855">
        <f>IF(Adecco_India[[#This Row],[Attrition]]="Yes",1,0)</f>
        <v>0</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25">
      <c r="A856">
        <v>45</v>
      </c>
      <c r="B856">
        <f>IF(Adecco_India[[#This Row],[Attrition]]="Yes",1,0)</f>
        <v>0</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25">
      <c r="A857">
        <v>37</v>
      </c>
      <c r="B857">
        <f>IF(Adecco_India[[#This Row],[Attrition]]="Yes",1,0)</f>
        <v>0</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25">
      <c r="A858">
        <v>20</v>
      </c>
      <c r="B858">
        <f>IF(Adecco_India[[#This Row],[Attrition]]="Yes",1,0)</f>
        <v>0</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25">
      <c r="A859">
        <v>44</v>
      </c>
      <c r="B859">
        <f>IF(Adecco_India[[#This Row],[Attrition]]="Yes",1,0)</f>
        <v>1</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25">
      <c r="A860">
        <v>53</v>
      </c>
      <c r="B860">
        <f>IF(Adecco_India[[#This Row],[Attrition]]="Yes",1,0)</f>
        <v>0</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25">
      <c r="A861">
        <v>29</v>
      </c>
      <c r="B861">
        <f>IF(Adecco_India[[#This Row],[Attrition]]="Yes",1,0)</f>
        <v>0</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25">
      <c r="A862">
        <v>22</v>
      </c>
      <c r="B862">
        <f>IF(Adecco_India[[#This Row],[Attrition]]="Yes",1,0)</f>
        <v>1</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25">
      <c r="A863">
        <v>46</v>
      </c>
      <c r="B863">
        <f>IF(Adecco_India[[#This Row],[Attrition]]="Yes",1,0)</f>
        <v>0</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25">
      <c r="A864">
        <v>44</v>
      </c>
      <c r="B864">
        <f>IF(Adecco_India[[#This Row],[Attrition]]="Yes",1,0)</f>
        <v>0</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25">
      <c r="A865">
        <v>33</v>
      </c>
      <c r="B865">
        <f>IF(Adecco_India[[#This Row],[Attrition]]="Yes",1,0)</f>
        <v>0</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25">
      <c r="A866">
        <v>41</v>
      </c>
      <c r="B866">
        <f>IF(Adecco_India[[#This Row],[Attrition]]="Yes",1,0)</f>
        <v>1</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25">
      <c r="A867">
        <v>30</v>
      </c>
      <c r="B867">
        <f>IF(Adecco_India[[#This Row],[Attrition]]="Yes",1,0)</f>
        <v>0</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25">
      <c r="A868">
        <v>40</v>
      </c>
      <c r="B868">
        <f>IF(Adecco_India[[#This Row],[Attrition]]="Yes",1,0)</f>
        <v>0</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25">
      <c r="A869">
        <v>50</v>
      </c>
      <c r="B869">
        <f>IF(Adecco_India[[#This Row],[Attrition]]="Yes",1,0)</f>
        <v>0</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25">
      <c r="A870">
        <v>28</v>
      </c>
      <c r="B870">
        <f>IF(Adecco_India[[#This Row],[Attrition]]="Yes",1,0)</f>
        <v>0</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25">
      <c r="A871">
        <v>46</v>
      </c>
      <c r="B871">
        <f>IF(Adecco_India[[#This Row],[Attrition]]="Yes",1,0)</f>
        <v>0</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25">
      <c r="A872">
        <v>35</v>
      </c>
      <c r="B872">
        <f>IF(Adecco_India[[#This Row],[Attrition]]="Yes",1,0)</f>
        <v>0</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25">
      <c r="A873">
        <v>24</v>
      </c>
      <c r="B873">
        <f>IF(Adecco_India[[#This Row],[Attrition]]="Yes",1,0)</f>
        <v>1</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25">
      <c r="A874">
        <v>33</v>
      </c>
      <c r="B874">
        <f>IF(Adecco_India[[#This Row],[Attrition]]="Yes",1,0)</f>
        <v>0</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25">
      <c r="A875">
        <v>36</v>
      </c>
      <c r="B875">
        <f>IF(Adecco_India[[#This Row],[Attrition]]="Yes",1,0)</f>
        <v>0</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25">
      <c r="A876">
        <v>30</v>
      </c>
      <c r="B876">
        <f>IF(Adecco_India[[#This Row],[Attrition]]="Yes",1,0)</f>
        <v>0</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25">
      <c r="A877">
        <v>44</v>
      </c>
      <c r="B877">
        <f>IF(Adecco_India[[#This Row],[Attrition]]="Yes",1,0)</f>
        <v>0</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25">
      <c r="A878">
        <v>20</v>
      </c>
      <c r="B878">
        <f>IF(Adecco_India[[#This Row],[Attrition]]="Yes",1,0)</f>
        <v>0</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25">
      <c r="A879">
        <v>46</v>
      </c>
      <c r="B879">
        <f>IF(Adecco_India[[#This Row],[Attrition]]="Yes",1,0)</f>
        <v>0</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25">
      <c r="A880">
        <v>42</v>
      </c>
      <c r="B880">
        <f>IF(Adecco_India[[#This Row],[Attrition]]="Yes",1,0)</f>
        <v>0</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25">
      <c r="A881">
        <v>60</v>
      </c>
      <c r="B881">
        <f>IF(Adecco_India[[#This Row],[Attrition]]="Yes",1,0)</f>
        <v>0</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25">
      <c r="A882">
        <v>32</v>
      </c>
      <c r="B882">
        <f>IF(Adecco_India[[#This Row],[Attrition]]="Yes",1,0)</f>
        <v>0</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25">
      <c r="A883">
        <v>32</v>
      </c>
      <c r="B883">
        <f>IF(Adecco_India[[#This Row],[Attrition]]="Yes",1,0)</f>
        <v>0</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25">
      <c r="A884">
        <v>36</v>
      </c>
      <c r="B884">
        <f>IF(Adecco_India[[#This Row],[Attrition]]="Yes",1,0)</f>
        <v>0</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25">
      <c r="A885">
        <v>33</v>
      </c>
      <c r="B885">
        <f>IF(Adecco_India[[#This Row],[Attrition]]="Yes",1,0)</f>
        <v>0</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25">
      <c r="A886">
        <v>40</v>
      </c>
      <c r="B886">
        <f>IF(Adecco_India[[#This Row],[Attrition]]="Yes",1,0)</f>
        <v>0</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25">
      <c r="A887">
        <v>25</v>
      </c>
      <c r="B887">
        <f>IF(Adecco_India[[#This Row],[Attrition]]="Yes",1,0)</f>
        <v>0</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25">
      <c r="A888">
        <v>30</v>
      </c>
      <c r="B888">
        <f>IF(Adecco_India[[#This Row],[Attrition]]="Yes",1,0)</f>
        <v>0</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25">
      <c r="A889">
        <v>42</v>
      </c>
      <c r="B889">
        <f>IF(Adecco_India[[#This Row],[Attrition]]="Yes",1,0)</f>
        <v>0</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25">
      <c r="A890">
        <v>35</v>
      </c>
      <c r="B890">
        <f>IF(Adecco_India[[#This Row],[Attrition]]="Yes",1,0)</f>
        <v>0</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25">
      <c r="A891">
        <v>27</v>
      </c>
      <c r="B891">
        <f>IF(Adecco_India[[#This Row],[Attrition]]="Yes",1,0)</f>
        <v>0</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25">
      <c r="A892">
        <v>54</v>
      </c>
      <c r="B892">
        <f>IF(Adecco_India[[#This Row],[Attrition]]="Yes",1,0)</f>
        <v>0</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25">
      <c r="A893">
        <v>44</v>
      </c>
      <c r="B893">
        <f>IF(Adecco_India[[#This Row],[Attrition]]="Yes",1,0)</f>
        <v>0</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25">
      <c r="A894">
        <v>19</v>
      </c>
      <c r="B894">
        <f>IF(Adecco_India[[#This Row],[Attrition]]="Yes",1,0)</f>
        <v>1</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25">
      <c r="A895">
        <v>29</v>
      </c>
      <c r="B895">
        <f>IF(Adecco_India[[#This Row],[Attrition]]="Yes",1,0)</f>
        <v>0</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25">
      <c r="A896">
        <v>54</v>
      </c>
      <c r="B896">
        <f>IF(Adecco_India[[#This Row],[Attrition]]="Yes",1,0)</f>
        <v>0</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25">
      <c r="A897">
        <v>31</v>
      </c>
      <c r="B897">
        <f>IF(Adecco_India[[#This Row],[Attrition]]="Yes",1,0)</f>
        <v>0</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25">
      <c r="A898">
        <v>31</v>
      </c>
      <c r="B898">
        <f>IF(Adecco_India[[#This Row],[Attrition]]="Yes",1,0)</f>
        <v>0</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25">
      <c r="A899">
        <v>59</v>
      </c>
      <c r="B899">
        <f>IF(Adecco_India[[#This Row],[Attrition]]="Yes",1,0)</f>
        <v>0</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25">
      <c r="A900">
        <v>43</v>
      </c>
      <c r="B900">
        <f>IF(Adecco_India[[#This Row],[Attrition]]="Yes",1,0)</f>
        <v>0</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25">
      <c r="A901">
        <v>49</v>
      </c>
      <c r="B901">
        <f>IF(Adecco_India[[#This Row],[Attrition]]="Yes",1,0)</f>
        <v>0</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25">
      <c r="A902">
        <v>36</v>
      </c>
      <c r="B902">
        <f>IF(Adecco_India[[#This Row],[Attrition]]="Yes",1,0)</f>
        <v>0</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25">
      <c r="A903">
        <v>48</v>
      </c>
      <c r="B903">
        <f>IF(Adecco_India[[#This Row],[Attrition]]="Yes",1,0)</f>
        <v>0</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25">
      <c r="A904">
        <v>27</v>
      </c>
      <c r="B904">
        <f>IF(Adecco_India[[#This Row],[Attrition]]="Yes",1,0)</f>
        <v>0</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25">
      <c r="A905">
        <v>29</v>
      </c>
      <c r="B905">
        <f>IF(Adecco_India[[#This Row],[Attrition]]="Yes",1,0)</f>
        <v>0</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25">
      <c r="A906">
        <v>48</v>
      </c>
      <c r="B906">
        <f>IF(Adecco_India[[#This Row],[Attrition]]="Yes",1,0)</f>
        <v>0</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25">
      <c r="A907">
        <v>29</v>
      </c>
      <c r="B907">
        <f>IF(Adecco_India[[#This Row],[Attrition]]="Yes",1,0)</f>
        <v>0</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25">
      <c r="A908">
        <v>34</v>
      </c>
      <c r="B908">
        <f>IF(Adecco_India[[#This Row],[Attrition]]="Yes",1,0)</f>
        <v>0</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25">
      <c r="A909">
        <v>44</v>
      </c>
      <c r="B909">
        <f>IF(Adecco_India[[#This Row],[Attrition]]="Yes",1,0)</f>
        <v>0</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25">
      <c r="A910">
        <v>33</v>
      </c>
      <c r="B910">
        <f>IF(Adecco_India[[#This Row],[Attrition]]="Yes",1,0)</f>
        <v>0</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25">
      <c r="A911">
        <v>19</v>
      </c>
      <c r="B911">
        <f>IF(Adecco_India[[#This Row],[Attrition]]="Yes",1,0)</f>
        <v>0</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25">
      <c r="A912">
        <v>23</v>
      </c>
      <c r="B912">
        <f>IF(Adecco_India[[#This Row],[Attrition]]="Yes",1,0)</f>
        <v>0</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25">
      <c r="A913">
        <v>25</v>
      </c>
      <c r="B913">
        <f>IF(Adecco_India[[#This Row],[Attrition]]="Yes",1,0)</f>
        <v>1</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25">
      <c r="A914">
        <v>26</v>
      </c>
      <c r="B914">
        <f>IF(Adecco_India[[#This Row],[Attrition]]="Yes",1,0)</f>
        <v>0</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25">
      <c r="A915">
        <v>45</v>
      </c>
      <c r="B915">
        <f>IF(Adecco_India[[#This Row],[Attrition]]="Yes",1,0)</f>
        <v>1</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25">
      <c r="A916">
        <v>55</v>
      </c>
      <c r="B916">
        <f>IF(Adecco_India[[#This Row],[Attrition]]="Yes",1,0)</f>
        <v>0</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25">
      <c r="A917">
        <v>21</v>
      </c>
      <c r="B917">
        <f>IF(Adecco_India[[#This Row],[Attrition]]="Yes",1,0)</f>
        <v>1</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25">
      <c r="A918">
        <v>46</v>
      </c>
      <c r="B918">
        <f>IF(Adecco_India[[#This Row],[Attrition]]="Yes",1,0)</f>
        <v>0</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25">
      <c r="A919">
        <v>34</v>
      </c>
      <c r="B919">
        <f>IF(Adecco_India[[#This Row],[Attrition]]="Yes",1,0)</f>
        <v>0</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25">
      <c r="A920">
        <v>51</v>
      </c>
      <c r="B920">
        <f>IF(Adecco_India[[#This Row],[Attrition]]="Yes",1,0)</f>
        <v>0</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25">
      <c r="A921">
        <v>59</v>
      </c>
      <c r="B921">
        <f>IF(Adecco_India[[#This Row],[Attrition]]="Yes",1,0)</f>
        <v>0</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25">
      <c r="A922">
        <v>34</v>
      </c>
      <c r="B922">
        <f>IF(Adecco_India[[#This Row],[Attrition]]="Yes",1,0)</f>
        <v>0</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25">
      <c r="A923">
        <v>28</v>
      </c>
      <c r="B923">
        <f>IF(Adecco_India[[#This Row],[Attrition]]="Yes",1,0)</f>
        <v>0</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25">
      <c r="A924">
        <v>44</v>
      </c>
      <c r="B924">
        <f>IF(Adecco_India[[#This Row],[Attrition]]="Yes",1,0)</f>
        <v>0</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25">
      <c r="A925">
        <v>34</v>
      </c>
      <c r="B925">
        <f>IF(Adecco_India[[#This Row],[Attrition]]="Yes",1,0)</f>
        <v>0</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25">
      <c r="A926">
        <v>35</v>
      </c>
      <c r="B926">
        <f>IF(Adecco_India[[#This Row],[Attrition]]="Yes",1,0)</f>
        <v>0</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25">
      <c r="A927">
        <v>42</v>
      </c>
      <c r="B927">
        <f>IF(Adecco_India[[#This Row],[Attrition]]="Yes",1,0)</f>
        <v>0</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25">
      <c r="A928">
        <v>43</v>
      </c>
      <c r="B928">
        <f>IF(Adecco_India[[#This Row],[Attrition]]="Yes",1,0)</f>
        <v>0</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25">
      <c r="A929">
        <v>36</v>
      </c>
      <c r="B929">
        <f>IF(Adecco_India[[#This Row],[Attrition]]="Yes",1,0)</f>
        <v>0</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25">
      <c r="A930">
        <v>44</v>
      </c>
      <c r="B930">
        <f>IF(Adecco_India[[#This Row],[Attrition]]="Yes",1,0)</f>
        <v>1</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25">
      <c r="A931">
        <v>28</v>
      </c>
      <c r="B931">
        <f>IF(Adecco_India[[#This Row],[Attrition]]="Yes",1,0)</f>
        <v>0</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25">
      <c r="A932">
        <v>51</v>
      </c>
      <c r="B932">
        <f>IF(Adecco_India[[#This Row],[Attrition]]="Yes",1,0)</f>
        <v>0</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25">
      <c r="A933">
        <v>30</v>
      </c>
      <c r="B933">
        <f>IF(Adecco_India[[#This Row],[Attrition]]="Yes",1,0)</f>
        <v>0</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25">
      <c r="A934">
        <v>29</v>
      </c>
      <c r="B934">
        <f>IF(Adecco_India[[#This Row],[Attrition]]="Yes",1,0)</f>
        <v>1</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25">
      <c r="A935">
        <v>28</v>
      </c>
      <c r="B935">
        <f>IF(Adecco_India[[#This Row],[Attrition]]="Yes",1,0)</f>
        <v>0</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25">
      <c r="A936">
        <v>25</v>
      </c>
      <c r="B936">
        <f>IF(Adecco_India[[#This Row],[Attrition]]="Yes",1,0)</f>
        <v>0</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25">
      <c r="A937">
        <v>32</v>
      </c>
      <c r="B937">
        <f>IF(Adecco_India[[#This Row],[Attrition]]="Yes",1,0)</f>
        <v>0</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25">
      <c r="A938">
        <v>45</v>
      </c>
      <c r="B938">
        <f>IF(Adecco_India[[#This Row],[Attrition]]="Yes",1,0)</f>
        <v>0</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25">
      <c r="A939">
        <v>39</v>
      </c>
      <c r="B939">
        <f>IF(Adecco_India[[#This Row],[Attrition]]="Yes",1,0)</f>
        <v>0</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25">
      <c r="A940">
        <v>58</v>
      </c>
      <c r="B940">
        <f>IF(Adecco_India[[#This Row],[Attrition]]="Yes",1,0)</f>
        <v>0</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25">
      <c r="A941">
        <v>32</v>
      </c>
      <c r="B941">
        <f>IF(Adecco_India[[#This Row],[Attrition]]="Yes",1,0)</f>
        <v>1</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25">
      <c r="A942">
        <v>39</v>
      </c>
      <c r="B942">
        <f>IF(Adecco_India[[#This Row],[Attrition]]="Yes",1,0)</f>
        <v>1</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25">
      <c r="A943">
        <v>30</v>
      </c>
      <c r="B943">
        <f>IF(Adecco_India[[#This Row],[Attrition]]="Yes",1,0)</f>
        <v>0</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25">
      <c r="A944">
        <v>36</v>
      </c>
      <c r="B944">
        <f>IF(Adecco_India[[#This Row],[Attrition]]="Yes",1,0)</f>
        <v>0</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25">
      <c r="A945">
        <v>46</v>
      </c>
      <c r="B945">
        <f>IF(Adecco_India[[#This Row],[Attrition]]="Yes",1,0)</f>
        <v>0</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25">
      <c r="A946">
        <v>28</v>
      </c>
      <c r="B946">
        <f>IF(Adecco_India[[#This Row],[Attrition]]="Yes",1,0)</f>
        <v>0</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25">
      <c r="A947">
        <v>50</v>
      </c>
      <c r="B947">
        <f>IF(Adecco_India[[#This Row],[Attrition]]="Yes",1,0)</f>
        <v>0</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25">
      <c r="A948">
        <v>40</v>
      </c>
      <c r="B948">
        <f>IF(Adecco_India[[#This Row],[Attrition]]="Yes",1,0)</f>
        <v>1</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25">
      <c r="A949">
        <v>52</v>
      </c>
      <c r="B949">
        <f>IF(Adecco_India[[#This Row],[Attrition]]="Yes",1,0)</f>
        <v>1</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25">
      <c r="A950">
        <v>30</v>
      </c>
      <c r="B950">
        <f>IF(Adecco_India[[#This Row],[Attrition]]="Yes",1,0)</f>
        <v>0</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25">
      <c r="A951">
        <v>39</v>
      </c>
      <c r="B951">
        <f>IF(Adecco_India[[#This Row],[Attrition]]="Yes",1,0)</f>
        <v>0</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25">
      <c r="A952">
        <v>31</v>
      </c>
      <c r="B952">
        <f>IF(Adecco_India[[#This Row],[Attrition]]="Yes",1,0)</f>
        <v>0</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25">
      <c r="A953">
        <v>41</v>
      </c>
      <c r="B953">
        <f>IF(Adecco_India[[#This Row],[Attrition]]="Yes",1,0)</f>
        <v>0</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25">
      <c r="A954">
        <v>31</v>
      </c>
      <c r="B954">
        <f>IF(Adecco_India[[#This Row],[Attrition]]="Yes",1,0)</f>
        <v>1</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25">
      <c r="A955">
        <v>44</v>
      </c>
      <c r="B955">
        <f>IF(Adecco_India[[#This Row],[Attrition]]="Yes",1,0)</f>
        <v>1</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25">
      <c r="A956">
        <v>42</v>
      </c>
      <c r="B956">
        <f>IF(Adecco_India[[#This Row],[Attrition]]="Yes",1,0)</f>
        <v>0</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25">
      <c r="A957">
        <v>55</v>
      </c>
      <c r="B957">
        <f>IF(Adecco_India[[#This Row],[Attrition]]="Yes",1,0)</f>
        <v>0</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25">
      <c r="A958">
        <v>56</v>
      </c>
      <c r="B958">
        <f>IF(Adecco_India[[#This Row],[Attrition]]="Yes",1,0)</f>
        <v>0</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25">
      <c r="A959">
        <v>40</v>
      </c>
      <c r="B959">
        <f>IF(Adecco_India[[#This Row],[Attrition]]="Yes",1,0)</f>
        <v>0</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25">
      <c r="A960">
        <v>34</v>
      </c>
      <c r="B960">
        <f>IF(Adecco_India[[#This Row],[Attrition]]="Yes",1,0)</f>
        <v>0</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25">
      <c r="A961">
        <v>40</v>
      </c>
      <c r="B961">
        <f>IF(Adecco_India[[#This Row],[Attrition]]="Yes",1,0)</f>
        <v>0</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25">
      <c r="A962">
        <v>41</v>
      </c>
      <c r="B962">
        <f>IF(Adecco_India[[#This Row],[Attrition]]="Yes",1,0)</f>
        <v>0</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25">
      <c r="A963">
        <v>35</v>
      </c>
      <c r="B963">
        <f>IF(Adecco_India[[#This Row],[Attrition]]="Yes",1,0)</f>
        <v>0</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25">
      <c r="A964">
        <v>51</v>
      </c>
      <c r="B964">
        <f>IF(Adecco_India[[#This Row],[Attrition]]="Yes",1,0)</f>
        <v>0</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25">
      <c r="A965">
        <v>38</v>
      </c>
      <c r="B965">
        <f>IF(Adecco_India[[#This Row],[Attrition]]="Yes",1,0)</f>
        <v>0</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25">
      <c r="A966">
        <v>34</v>
      </c>
      <c r="B966">
        <f>IF(Adecco_India[[#This Row],[Attrition]]="Yes",1,0)</f>
        <v>0</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25">
      <c r="A967">
        <v>25</v>
      </c>
      <c r="B967">
        <f>IF(Adecco_India[[#This Row],[Attrition]]="Yes",1,0)</f>
        <v>0</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25">
      <c r="A968">
        <v>58</v>
      </c>
      <c r="B968">
        <f>IF(Adecco_India[[#This Row],[Attrition]]="Yes",1,0)</f>
        <v>1</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25">
      <c r="A969">
        <v>40</v>
      </c>
      <c r="B969">
        <f>IF(Adecco_India[[#This Row],[Attrition]]="Yes",1,0)</f>
        <v>0</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25">
      <c r="A970">
        <v>36</v>
      </c>
      <c r="B970">
        <f>IF(Adecco_India[[#This Row],[Attrition]]="Yes",1,0)</f>
        <v>0</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25">
      <c r="A971">
        <v>48</v>
      </c>
      <c r="B971">
        <f>IF(Adecco_India[[#This Row],[Attrition]]="Yes",1,0)</f>
        <v>0</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25">
      <c r="A972">
        <v>27</v>
      </c>
      <c r="B972">
        <f>IF(Adecco_India[[#This Row],[Attrition]]="Yes",1,0)</f>
        <v>0</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25">
      <c r="A973">
        <v>51</v>
      </c>
      <c r="B973">
        <f>IF(Adecco_India[[#This Row],[Attrition]]="Yes",1,0)</f>
        <v>0</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25">
      <c r="A974">
        <v>18</v>
      </c>
      <c r="B974">
        <f>IF(Adecco_India[[#This Row],[Attrition]]="Yes",1,0)</f>
        <v>0</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25">
      <c r="A975">
        <v>35</v>
      </c>
      <c r="B975">
        <f>IF(Adecco_India[[#This Row],[Attrition]]="Yes",1,0)</f>
        <v>0</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25">
      <c r="A976">
        <v>27</v>
      </c>
      <c r="B976">
        <f>IF(Adecco_India[[#This Row],[Attrition]]="Yes",1,0)</f>
        <v>0</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25">
      <c r="A977">
        <v>55</v>
      </c>
      <c r="B977">
        <f>IF(Adecco_India[[#This Row],[Attrition]]="Yes",1,0)</f>
        <v>1</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25">
      <c r="A978">
        <v>56</v>
      </c>
      <c r="B978">
        <f>IF(Adecco_India[[#This Row],[Attrition]]="Yes",1,0)</f>
        <v>0</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25">
      <c r="A979">
        <v>34</v>
      </c>
      <c r="B979">
        <f>IF(Adecco_India[[#This Row],[Attrition]]="Yes",1,0)</f>
        <v>0</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25">
      <c r="A980">
        <v>40</v>
      </c>
      <c r="B980">
        <f>IF(Adecco_India[[#This Row],[Attrition]]="Yes",1,0)</f>
        <v>0</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25">
      <c r="A981">
        <v>34</v>
      </c>
      <c r="B981">
        <f>IF(Adecco_India[[#This Row],[Attrition]]="Yes",1,0)</f>
        <v>0</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25">
      <c r="A982">
        <v>31</v>
      </c>
      <c r="B982">
        <f>IF(Adecco_India[[#This Row],[Attrition]]="Yes",1,0)</f>
        <v>1</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25">
      <c r="A983">
        <v>35</v>
      </c>
      <c r="B983">
        <f>IF(Adecco_India[[#This Row],[Attrition]]="Yes",1,0)</f>
        <v>1</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25">
      <c r="A984">
        <v>38</v>
      </c>
      <c r="B984">
        <f>IF(Adecco_India[[#This Row],[Attrition]]="Yes",1,0)</f>
        <v>0</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25">
      <c r="A985">
        <v>34</v>
      </c>
      <c r="B985">
        <f>IF(Adecco_India[[#This Row],[Attrition]]="Yes",1,0)</f>
        <v>0</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25">
      <c r="A986">
        <v>28</v>
      </c>
      <c r="B986">
        <f>IF(Adecco_India[[#This Row],[Attrition]]="Yes",1,0)</f>
        <v>0</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25">
      <c r="A987">
        <v>31</v>
      </c>
      <c r="B987">
        <f>IF(Adecco_India[[#This Row],[Attrition]]="Yes",1,0)</f>
        <v>1</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25">
      <c r="A988">
        <v>39</v>
      </c>
      <c r="B988">
        <f>IF(Adecco_India[[#This Row],[Attrition]]="Yes",1,0)</f>
        <v>0</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25">
      <c r="A989">
        <v>51</v>
      </c>
      <c r="B989">
        <f>IF(Adecco_India[[#This Row],[Attrition]]="Yes",1,0)</f>
        <v>0</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25">
      <c r="A990">
        <v>41</v>
      </c>
      <c r="B990">
        <f>IF(Adecco_India[[#This Row],[Attrition]]="Yes",1,0)</f>
        <v>0</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25">
      <c r="A991">
        <v>37</v>
      </c>
      <c r="B991">
        <f>IF(Adecco_India[[#This Row],[Attrition]]="Yes",1,0)</f>
        <v>0</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25">
      <c r="A992">
        <v>33</v>
      </c>
      <c r="B992">
        <f>IF(Adecco_India[[#This Row],[Attrition]]="Yes",1,0)</f>
        <v>0</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25">
      <c r="A993">
        <v>32</v>
      </c>
      <c r="B993">
        <f>IF(Adecco_India[[#This Row],[Attrition]]="Yes",1,0)</f>
        <v>0</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25">
      <c r="A994">
        <v>39</v>
      </c>
      <c r="B994">
        <f>IF(Adecco_India[[#This Row],[Attrition]]="Yes",1,0)</f>
        <v>0</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25">
      <c r="A995">
        <v>25</v>
      </c>
      <c r="B995">
        <f>IF(Adecco_India[[#This Row],[Attrition]]="Yes",1,0)</f>
        <v>0</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25">
      <c r="A996">
        <v>52</v>
      </c>
      <c r="B996">
        <f>IF(Adecco_India[[#This Row],[Attrition]]="Yes",1,0)</f>
        <v>0</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25">
      <c r="A997">
        <v>43</v>
      </c>
      <c r="B997">
        <f>IF(Adecco_India[[#This Row],[Attrition]]="Yes",1,0)</f>
        <v>0</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25">
      <c r="A998">
        <v>27</v>
      </c>
      <c r="B998">
        <f>IF(Adecco_India[[#This Row],[Attrition]]="Yes",1,0)</f>
        <v>0</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25">
      <c r="A999">
        <v>27</v>
      </c>
      <c r="B999">
        <f>IF(Adecco_India[[#This Row],[Attrition]]="Yes",1,0)</f>
        <v>1</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25">
      <c r="A1000">
        <v>26</v>
      </c>
      <c r="B1000">
        <f>IF(Adecco_India[[#This Row],[Attrition]]="Yes",1,0)</f>
        <v>0</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25">
      <c r="A1001">
        <v>42</v>
      </c>
      <c r="B1001">
        <f>IF(Adecco_India[[#This Row],[Attrition]]="Yes",1,0)</f>
        <v>0</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25">
      <c r="A1002">
        <v>52</v>
      </c>
      <c r="B1002">
        <f>IF(Adecco_India[[#This Row],[Attrition]]="Yes",1,0)</f>
        <v>0</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25">
      <c r="A1003">
        <v>37</v>
      </c>
      <c r="B1003">
        <f>IF(Adecco_India[[#This Row],[Attrition]]="Yes",1,0)</f>
        <v>0</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25">
      <c r="A1004">
        <v>35</v>
      </c>
      <c r="B1004">
        <f>IF(Adecco_India[[#This Row],[Attrition]]="Yes",1,0)</f>
        <v>0</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25">
      <c r="A1005">
        <v>25</v>
      </c>
      <c r="B1005">
        <f>IF(Adecco_India[[#This Row],[Attrition]]="Yes",1,0)</f>
        <v>0</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25">
      <c r="A1006">
        <v>26</v>
      </c>
      <c r="B1006">
        <f>IF(Adecco_India[[#This Row],[Attrition]]="Yes",1,0)</f>
        <v>0</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25">
      <c r="A1007">
        <v>29</v>
      </c>
      <c r="B1007">
        <f>IF(Adecco_India[[#This Row],[Attrition]]="Yes",1,0)</f>
        <v>0</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25">
      <c r="A1008">
        <v>49</v>
      </c>
      <c r="B1008">
        <f>IF(Adecco_India[[#This Row],[Attrition]]="Yes",1,0)</f>
        <v>1</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25">
      <c r="A1009">
        <v>29</v>
      </c>
      <c r="B1009">
        <f>IF(Adecco_India[[#This Row],[Attrition]]="Yes",1,0)</f>
        <v>1</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25">
      <c r="A1010">
        <v>54</v>
      </c>
      <c r="B1010">
        <f>IF(Adecco_India[[#This Row],[Attrition]]="Yes",1,0)</f>
        <v>0</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25">
      <c r="A1011">
        <v>58</v>
      </c>
      <c r="B1011">
        <f>IF(Adecco_India[[#This Row],[Attrition]]="Yes",1,0)</f>
        <v>0</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25">
      <c r="A1012">
        <v>55</v>
      </c>
      <c r="B1012">
        <f>IF(Adecco_India[[#This Row],[Attrition]]="Yes",1,0)</f>
        <v>0</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25">
      <c r="A1013">
        <v>36</v>
      </c>
      <c r="B1013">
        <f>IF(Adecco_India[[#This Row],[Attrition]]="Yes",1,0)</f>
        <v>0</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25">
      <c r="A1014">
        <v>31</v>
      </c>
      <c r="B1014">
        <f>IF(Adecco_India[[#This Row],[Attrition]]="Yes",1,0)</f>
        <v>1</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25">
      <c r="A1015">
        <v>30</v>
      </c>
      <c r="B1015">
        <f>IF(Adecco_India[[#This Row],[Attrition]]="Yes",1,0)</f>
        <v>0</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25">
      <c r="A1016">
        <v>31</v>
      </c>
      <c r="B1016">
        <f>IF(Adecco_India[[#This Row],[Attrition]]="Yes",1,0)</f>
        <v>0</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25">
      <c r="A1017">
        <v>34</v>
      </c>
      <c r="B1017">
        <f>IF(Adecco_India[[#This Row],[Attrition]]="Yes",1,0)</f>
        <v>0</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25">
      <c r="A1018">
        <v>31</v>
      </c>
      <c r="B1018">
        <f>IF(Adecco_India[[#This Row],[Attrition]]="Yes",1,0)</f>
        <v>1</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25">
      <c r="A1019">
        <v>27</v>
      </c>
      <c r="B1019">
        <f>IF(Adecco_India[[#This Row],[Attrition]]="Yes",1,0)</f>
        <v>0</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25">
      <c r="A1020">
        <v>36</v>
      </c>
      <c r="B1020">
        <f>IF(Adecco_India[[#This Row],[Attrition]]="Yes",1,0)</f>
        <v>0</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25">
      <c r="A1021">
        <v>36</v>
      </c>
      <c r="B1021">
        <f>IF(Adecco_India[[#This Row],[Attrition]]="Yes",1,0)</f>
        <v>0</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25">
      <c r="A1022">
        <v>47</v>
      </c>
      <c r="B1022">
        <f>IF(Adecco_India[[#This Row],[Attrition]]="Yes",1,0)</f>
        <v>0</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25">
      <c r="A1023">
        <v>25</v>
      </c>
      <c r="B1023">
        <f>IF(Adecco_India[[#This Row],[Attrition]]="Yes",1,0)</f>
        <v>1</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25">
      <c r="A1024">
        <v>37</v>
      </c>
      <c r="B1024">
        <f>IF(Adecco_India[[#This Row],[Attrition]]="Yes",1,0)</f>
        <v>0</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25">
      <c r="A1025">
        <v>56</v>
      </c>
      <c r="B1025">
        <f>IF(Adecco_India[[#This Row],[Attrition]]="Yes",1,0)</f>
        <v>0</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25">
      <c r="A1026">
        <v>47</v>
      </c>
      <c r="B1026">
        <f>IF(Adecco_India[[#This Row],[Attrition]]="Yes",1,0)</f>
        <v>0</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25">
      <c r="A1027">
        <v>24</v>
      </c>
      <c r="B1027">
        <f>IF(Adecco_India[[#This Row],[Attrition]]="Yes",1,0)</f>
        <v>0</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25">
      <c r="A1028">
        <v>32</v>
      </c>
      <c r="B1028">
        <f>IF(Adecco_India[[#This Row],[Attrition]]="Yes",1,0)</f>
        <v>0</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25">
      <c r="A1029">
        <v>34</v>
      </c>
      <c r="B1029">
        <f>IF(Adecco_India[[#This Row],[Attrition]]="Yes",1,0)</f>
        <v>0</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25">
      <c r="A1030">
        <v>41</v>
      </c>
      <c r="B1030">
        <f>IF(Adecco_India[[#This Row],[Attrition]]="Yes",1,0)</f>
        <v>0</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25">
      <c r="A1031">
        <v>40</v>
      </c>
      <c r="B1031">
        <f>IF(Adecco_India[[#This Row],[Attrition]]="Yes",1,0)</f>
        <v>0</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25">
      <c r="A1032">
        <v>31</v>
      </c>
      <c r="B1032">
        <f>IF(Adecco_India[[#This Row],[Attrition]]="Yes",1,0)</f>
        <v>0</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25">
      <c r="A1033">
        <v>46</v>
      </c>
      <c r="B1033">
        <f>IF(Adecco_India[[#This Row],[Attrition]]="Yes",1,0)</f>
        <v>1</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25">
      <c r="A1034">
        <v>39</v>
      </c>
      <c r="B1034">
        <f>IF(Adecco_India[[#This Row],[Attrition]]="Yes",1,0)</f>
        <v>1</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25">
      <c r="A1035">
        <v>31</v>
      </c>
      <c r="B1035">
        <f>IF(Adecco_India[[#This Row],[Attrition]]="Yes",1,0)</f>
        <v>1</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25">
      <c r="A1036">
        <v>45</v>
      </c>
      <c r="B1036">
        <f>IF(Adecco_India[[#This Row],[Attrition]]="Yes",1,0)</f>
        <v>0</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25">
      <c r="A1037">
        <v>31</v>
      </c>
      <c r="B1037">
        <f>IF(Adecco_India[[#This Row],[Attrition]]="Yes",1,0)</f>
        <v>0</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25">
      <c r="A1038">
        <v>31</v>
      </c>
      <c r="B1038">
        <f>IF(Adecco_India[[#This Row],[Attrition]]="Yes",1,0)</f>
        <v>1</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25">
      <c r="A1039">
        <v>45</v>
      </c>
      <c r="B1039">
        <f>IF(Adecco_India[[#This Row],[Attrition]]="Yes",1,0)</f>
        <v>0</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25">
      <c r="A1040">
        <v>48</v>
      </c>
      <c r="B1040">
        <f>IF(Adecco_India[[#This Row],[Attrition]]="Yes",1,0)</f>
        <v>0</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25">
      <c r="A1041">
        <v>34</v>
      </c>
      <c r="B1041">
        <f>IF(Adecco_India[[#This Row],[Attrition]]="Yes",1,0)</f>
        <v>1</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25">
      <c r="A1042">
        <v>40</v>
      </c>
      <c r="B1042">
        <f>IF(Adecco_India[[#This Row],[Attrition]]="Yes",1,0)</f>
        <v>0</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25">
      <c r="A1043">
        <v>28</v>
      </c>
      <c r="B1043">
        <f>IF(Adecco_India[[#This Row],[Attrition]]="Yes",1,0)</f>
        <v>0</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25">
      <c r="A1044">
        <v>44</v>
      </c>
      <c r="B1044">
        <f>IF(Adecco_India[[#This Row],[Attrition]]="Yes",1,0)</f>
        <v>0</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25">
      <c r="A1045">
        <v>53</v>
      </c>
      <c r="B1045">
        <f>IF(Adecco_India[[#This Row],[Attrition]]="Yes",1,0)</f>
        <v>0</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25">
      <c r="A1046">
        <v>49</v>
      </c>
      <c r="B1046">
        <f>IF(Adecco_India[[#This Row],[Attrition]]="Yes",1,0)</f>
        <v>0</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25">
      <c r="A1047">
        <v>40</v>
      </c>
      <c r="B1047">
        <f>IF(Adecco_India[[#This Row],[Attrition]]="Yes",1,0)</f>
        <v>0</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25">
      <c r="A1048">
        <v>44</v>
      </c>
      <c r="B1048">
        <f>IF(Adecco_India[[#This Row],[Attrition]]="Yes",1,0)</f>
        <v>0</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25">
      <c r="A1049">
        <v>33</v>
      </c>
      <c r="B1049">
        <f>IF(Adecco_India[[#This Row],[Attrition]]="Yes",1,0)</f>
        <v>0</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25">
      <c r="A1050">
        <v>34</v>
      </c>
      <c r="B1050">
        <f>IF(Adecco_India[[#This Row],[Attrition]]="Yes",1,0)</f>
        <v>0</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25">
      <c r="A1051">
        <v>30</v>
      </c>
      <c r="B1051">
        <f>IF(Adecco_India[[#This Row],[Attrition]]="Yes",1,0)</f>
        <v>0</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25">
      <c r="A1052">
        <v>42</v>
      </c>
      <c r="B1052">
        <f>IF(Adecco_India[[#This Row],[Attrition]]="Yes",1,0)</f>
        <v>0</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25">
      <c r="A1053">
        <v>44</v>
      </c>
      <c r="B1053">
        <f>IF(Adecco_India[[#This Row],[Attrition]]="Yes",1,0)</f>
        <v>0</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25">
      <c r="A1054">
        <v>30</v>
      </c>
      <c r="B1054">
        <f>IF(Adecco_India[[#This Row],[Attrition]]="Yes",1,0)</f>
        <v>0</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25">
      <c r="A1055">
        <v>57</v>
      </c>
      <c r="B1055">
        <f>IF(Adecco_India[[#This Row],[Attrition]]="Yes",1,0)</f>
        <v>0</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25">
      <c r="A1056">
        <v>49</v>
      </c>
      <c r="B1056">
        <f>IF(Adecco_India[[#This Row],[Attrition]]="Yes",1,0)</f>
        <v>0</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25">
      <c r="A1057">
        <v>34</v>
      </c>
      <c r="B1057">
        <f>IF(Adecco_India[[#This Row],[Attrition]]="Yes",1,0)</f>
        <v>0</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25">
      <c r="A1058">
        <v>28</v>
      </c>
      <c r="B1058">
        <f>IF(Adecco_India[[#This Row],[Attrition]]="Yes",1,0)</f>
        <v>1</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25">
      <c r="A1059">
        <v>29</v>
      </c>
      <c r="B1059">
        <f>IF(Adecco_India[[#This Row],[Attrition]]="Yes",1,0)</f>
        <v>1</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25">
      <c r="A1060">
        <v>34</v>
      </c>
      <c r="B1060">
        <f>IF(Adecco_India[[#This Row],[Attrition]]="Yes",1,0)</f>
        <v>1</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25">
      <c r="A1061">
        <v>35</v>
      </c>
      <c r="B1061">
        <f>IF(Adecco_India[[#This Row],[Attrition]]="Yes",1,0)</f>
        <v>0</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25">
      <c r="A1062">
        <v>24</v>
      </c>
      <c r="B1062">
        <f>IF(Adecco_India[[#This Row],[Attrition]]="Yes",1,0)</f>
        <v>1</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25">
      <c r="A1063">
        <v>24</v>
      </c>
      <c r="B1063">
        <f>IF(Adecco_India[[#This Row],[Attrition]]="Yes",1,0)</f>
        <v>0</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25">
      <c r="A1064">
        <v>44</v>
      </c>
      <c r="B1064">
        <f>IF(Adecco_India[[#This Row],[Attrition]]="Yes",1,0)</f>
        <v>0</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25">
      <c r="A1065">
        <v>29</v>
      </c>
      <c r="B1065">
        <f>IF(Adecco_India[[#This Row],[Attrition]]="Yes",1,0)</f>
        <v>0</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25">
      <c r="A1066">
        <v>30</v>
      </c>
      <c r="B1066">
        <f>IF(Adecco_India[[#This Row],[Attrition]]="Yes",1,0)</f>
        <v>0</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25">
      <c r="A1067">
        <v>55</v>
      </c>
      <c r="B1067">
        <f>IF(Adecco_India[[#This Row],[Attrition]]="Yes",1,0)</f>
        <v>0</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25">
      <c r="A1068">
        <v>33</v>
      </c>
      <c r="B1068">
        <f>IF(Adecco_India[[#This Row],[Attrition]]="Yes",1,0)</f>
        <v>0</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25">
      <c r="A1069">
        <v>47</v>
      </c>
      <c r="B1069">
        <f>IF(Adecco_India[[#This Row],[Attrition]]="Yes",1,0)</f>
        <v>0</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25">
      <c r="A1070">
        <v>28</v>
      </c>
      <c r="B1070">
        <f>IF(Adecco_India[[#This Row],[Attrition]]="Yes",1,0)</f>
        <v>1</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25">
      <c r="A1071">
        <v>28</v>
      </c>
      <c r="B1071">
        <f>IF(Adecco_India[[#This Row],[Attrition]]="Yes",1,0)</f>
        <v>0</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25">
      <c r="A1072">
        <v>28</v>
      </c>
      <c r="B1072">
        <f>IF(Adecco_India[[#This Row],[Attrition]]="Yes",1,0)</f>
        <v>0</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25">
      <c r="A1073">
        <v>49</v>
      </c>
      <c r="B1073">
        <f>IF(Adecco_India[[#This Row],[Attrition]]="Yes",1,0)</f>
        <v>0</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25">
      <c r="A1074">
        <v>29</v>
      </c>
      <c r="B1074">
        <f>IF(Adecco_India[[#This Row],[Attrition]]="Yes",1,0)</f>
        <v>0</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25">
      <c r="A1075">
        <v>28</v>
      </c>
      <c r="B1075">
        <f>IF(Adecco_India[[#This Row],[Attrition]]="Yes",1,0)</f>
        <v>0</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25">
      <c r="A1076">
        <v>33</v>
      </c>
      <c r="B1076">
        <f>IF(Adecco_India[[#This Row],[Attrition]]="Yes",1,0)</f>
        <v>0</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25">
      <c r="A1077">
        <v>32</v>
      </c>
      <c r="B1077">
        <f>IF(Adecco_India[[#This Row],[Attrition]]="Yes",1,0)</f>
        <v>0</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25">
      <c r="A1078">
        <v>54</v>
      </c>
      <c r="B1078">
        <f>IF(Adecco_India[[#This Row],[Attrition]]="Yes",1,0)</f>
        <v>0</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25">
      <c r="A1079">
        <v>29</v>
      </c>
      <c r="B1079">
        <f>IF(Adecco_India[[#This Row],[Attrition]]="Yes",1,0)</f>
        <v>1</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25">
      <c r="A1080">
        <v>44</v>
      </c>
      <c r="B1080">
        <f>IF(Adecco_India[[#This Row],[Attrition]]="Yes",1,0)</f>
        <v>0</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25">
      <c r="A1081">
        <v>39</v>
      </c>
      <c r="B1081">
        <f>IF(Adecco_India[[#This Row],[Attrition]]="Yes",1,0)</f>
        <v>0</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25">
      <c r="A1082">
        <v>46</v>
      </c>
      <c r="B1082">
        <f>IF(Adecco_India[[#This Row],[Attrition]]="Yes",1,0)</f>
        <v>0</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25">
      <c r="A1083">
        <v>35</v>
      </c>
      <c r="B1083">
        <f>IF(Adecco_India[[#This Row],[Attrition]]="Yes",1,0)</f>
        <v>0</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25">
      <c r="A1084">
        <v>23</v>
      </c>
      <c r="B1084">
        <f>IF(Adecco_India[[#This Row],[Attrition]]="Yes",1,0)</f>
        <v>0</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25">
      <c r="A1085">
        <v>40</v>
      </c>
      <c r="B1085">
        <f>IF(Adecco_India[[#This Row],[Attrition]]="Yes",1,0)</f>
        <v>1</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25">
      <c r="A1086">
        <v>34</v>
      </c>
      <c r="B1086">
        <f>IF(Adecco_India[[#This Row],[Attrition]]="Yes",1,0)</f>
        <v>0</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25">
      <c r="A1087">
        <v>31</v>
      </c>
      <c r="B1087">
        <f>IF(Adecco_India[[#This Row],[Attrition]]="Yes",1,0)</f>
        <v>1</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25">
      <c r="A1088">
        <v>50</v>
      </c>
      <c r="B1088">
        <f>IF(Adecco_India[[#This Row],[Attrition]]="Yes",1,0)</f>
        <v>0</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25">
      <c r="A1089">
        <v>34</v>
      </c>
      <c r="B1089">
        <f>IF(Adecco_India[[#This Row],[Attrition]]="Yes",1,0)</f>
        <v>0</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25">
      <c r="A1090">
        <v>42</v>
      </c>
      <c r="B1090">
        <f>IF(Adecco_India[[#This Row],[Attrition]]="Yes",1,0)</f>
        <v>0</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25">
      <c r="A1091">
        <v>37</v>
      </c>
      <c r="B1091">
        <f>IF(Adecco_India[[#This Row],[Attrition]]="Yes",1,0)</f>
        <v>0</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25">
      <c r="A1092">
        <v>29</v>
      </c>
      <c r="B1092">
        <f>IF(Adecco_India[[#This Row],[Attrition]]="Yes",1,0)</f>
        <v>0</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25">
      <c r="A1093">
        <v>33</v>
      </c>
      <c r="B1093">
        <f>IF(Adecco_India[[#This Row],[Attrition]]="Yes",1,0)</f>
        <v>0</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25">
      <c r="A1094">
        <v>45</v>
      </c>
      <c r="B1094">
        <f>IF(Adecco_India[[#This Row],[Attrition]]="Yes",1,0)</f>
        <v>0</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25">
      <c r="A1095">
        <v>42</v>
      </c>
      <c r="B1095">
        <f>IF(Adecco_India[[#This Row],[Attrition]]="Yes",1,0)</f>
        <v>0</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25">
      <c r="A1096">
        <v>40</v>
      </c>
      <c r="B1096">
        <f>IF(Adecco_India[[#This Row],[Attrition]]="Yes",1,0)</f>
        <v>0</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25">
      <c r="A1097">
        <v>33</v>
      </c>
      <c r="B1097">
        <f>IF(Adecco_India[[#This Row],[Attrition]]="Yes",1,0)</f>
        <v>0</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25">
      <c r="A1098">
        <v>40</v>
      </c>
      <c r="B1098">
        <f>IF(Adecco_India[[#This Row],[Attrition]]="Yes",1,0)</f>
        <v>0</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25">
      <c r="A1099">
        <v>24</v>
      </c>
      <c r="B1099">
        <f>IF(Adecco_India[[#This Row],[Attrition]]="Yes",1,0)</f>
        <v>0</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25">
      <c r="A1100">
        <v>40</v>
      </c>
      <c r="B1100">
        <f>IF(Adecco_India[[#This Row],[Attrition]]="Yes",1,0)</f>
        <v>0</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25">
      <c r="A1101">
        <v>45</v>
      </c>
      <c r="B1101">
        <f>IF(Adecco_India[[#This Row],[Attrition]]="Yes",1,0)</f>
        <v>0</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25">
      <c r="A1102">
        <v>35</v>
      </c>
      <c r="B1102">
        <f>IF(Adecco_India[[#This Row],[Attrition]]="Yes",1,0)</f>
        <v>0</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25">
      <c r="A1103">
        <v>32</v>
      </c>
      <c r="B1103">
        <f>IF(Adecco_India[[#This Row],[Attrition]]="Yes",1,0)</f>
        <v>0</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25">
      <c r="A1104">
        <v>36</v>
      </c>
      <c r="B1104">
        <f>IF(Adecco_India[[#This Row],[Attrition]]="Yes",1,0)</f>
        <v>0</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25">
      <c r="A1105">
        <v>48</v>
      </c>
      <c r="B1105">
        <f>IF(Adecco_India[[#This Row],[Attrition]]="Yes",1,0)</f>
        <v>0</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25">
      <c r="A1106">
        <v>29</v>
      </c>
      <c r="B1106">
        <f>IF(Adecco_India[[#This Row],[Attrition]]="Yes",1,0)</f>
        <v>0</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25">
      <c r="A1107">
        <v>33</v>
      </c>
      <c r="B1107">
        <f>IF(Adecco_India[[#This Row],[Attrition]]="Yes",1,0)</f>
        <v>0</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25">
      <c r="A1108">
        <v>30</v>
      </c>
      <c r="B1108">
        <f>IF(Adecco_India[[#This Row],[Attrition]]="Yes",1,0)</f>
        <v>1</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25">
      <c r="A1109">
        <v>38</v>
      </c>
      <c r="B1109">
        <f>IF(Adecco_India[[#This Row],[Attrition]]="Yes",1,0)</f>
        <v>0</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25">
      <c r="A1110">
        <v>35</v>
      </c>
      <c r="B1110">
        <f>IF(Adecco_India[[#This Row],[Attrition]]="Yes",1,0)</f>
        <v>0</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25">
      <c r="A1111">
        <v>30</v>
      </c>
      <c r="B1111">
        <f>IF(Adecco_India[[#This Row],[Attrition]]="Yes",1,0)</f>
        <v>0</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25">
      <c r="A1112">
        <v>35</v>
      </c>
      <c r="B1112">
        <f>IF(Adecco_India[[#This Row],[Attrition]]="Yes",1,0)</f>
        <v>1</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25">
      <c r="A1113">
        <v>53</v>
      </c>
      <c r="B1113">
        <f>IF(Adecco_India[[#This Row],[Attrition]]="Yes",1,0)</f>
        <v>1</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25">
      <c r="A1114">
        <v>38</v>
      </c>
      <c r="B1114">
        <f>IF(Adecco_India[[#This Row],[Attrition]]="Yes",1,0)</f>
        <v>1</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25">
      <c r="A1115">
        <v>32</v>
      </c>
      <c r="B1115">
        <f>IF(Adecco_India[[#This Row],[Attrition]]="Yes",1,0)</f>
        <v>0</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25">
      <c r="A1116">
        <v>48</v>
      </c>
      <c r="B1116">
        <f>IF(Adecco_India[[#This Row],[Attrition]]="Yes",1,0)</f>
        <v>0</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25">
      <c r="A1117">
        <v>34</v>
      </c>
      <c r="B1117">
        <f>IF(Adecco_India[[#This Row],[Attrition]]="Yes",1,0)</f>
        <v>0</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25">
      <c r="A1118">
        <v>55</v>
      </c>
      <c r="B1118">
        <f>IF(Adecco_India[[#This Row],[Attrition]]="Yes",1,0)</f>
        <v>0</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25">
      <c r="A1119">
        <v>34</v>
      </c>
      <c r="B1119">
        <f>IF(Adecco_India[[#This Row],[Attrition]]="Yes",1,0)</f>
        <v>0</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25">
      <c r="A1120">
        <v>26</v>
      </c>
      <c r="B1120">
        <f>IF(Adecco_India[[#This Row],[Attrition]]="Yes",1,0)</f>
        <v>0</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25">
      <c r="A1121">
        <v>38</v>
      </c>
      <c r="B1121">
        <f>IF(Adecco_India[[#This Row],[Attrition]]="Yes",1,0)</f>
        <v>0</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25">
      <c r="A1122">
        <v>38</v>
      </c>
      <c r="B1122">
        <f>IF(Adecco_India[[#This Row],[Attrition]]="Yes",1,0)</f>
        <v>0</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25">
      <c r="A1123">
        <v>36</v>
      </c>
      <c r="B1123">
        <f>IF(Adecco_India[[#This Row],[Attrition]]="Yes",1,0)</f>
        <v>0</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25">
      <c r="A1124">
        <v>29</v>
      </c>
      <c r="B1124">
        <f>IF(Adecco_India[[#This Row],[Attrition]]="Yes",1,0)</f>
        <v>0</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25">
      <c r="A1125">
        <v>35</v>
      </c>
      <c r="B1125">
        <f>IF(Adecco_India[[#This Row],[Attrition]]="Yes",1,0)</f>
        <v>0</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25">
      <c r="A1126">
        <v>39</v>
      </c>
      <c r="B1126">
        <f>IF(Adecco_India[[#This Row],[Attrition]]="Yes",1,0)</f>
        <v>0</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25">
      <c r="A1127">
        <v>29</v>
      </c>
      <c r="B1127">
        <f>IF(Adecco_India[[#This Row],[Attrition]]="Yes",1,0)</f>
        <v>0</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25">
      <c r="A1128">
        <v>50</v>
      </c>
      <c r="B1128">
        <f>IF(Adecco_India[[#This Row],[Attrition]]="Yes",1,0)</f>
        <v>0</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25">
      <c r="A1129">
        <v>23</v>
      </c>
      <c r="B1129">
        <f>IF(Adecco_India[[#This Row],[Attrition]]="Yes",1,0)</f>
        <v>0</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25">
      <c r="A1130">
        <v>36</v>
      </c>
      <c r="B1130">
        <f>IF(Adecco_India[[#This Row],[Attrition]]="Yes",1,0)</f>
        <v>0</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25">
      <c r="A1131">
        <v>42</v>
      </c>
      <c r="B1131">
        <f>IF(Adecco_India[[#This Row],[Attrition]]="Yes",1,0)</f>
        <v>0</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25">
      <c r="A1132">
        <v>35</v>
      </c>
      <c r="B1132">
        <f>IF(Adecco_India[[#This Row],[Attrition]]="Yes",1,0)</f>
        <v>0</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25">
      <c r="A1133">
        <v>34</v>
      </c>
      <c r="B1133">
        <f>IF(Adecco_India[[#This Row],[Attrition]]="Yes",1,0)</f>
        <v>0</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25">
      <c r="A1134">
        <v>40</v>
      </c>
      <c r="B1134">
        <f>IF(Adecco_India[[#This Row],[Attrition]]="Yes",1,0)</f>
        <v>0</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25">
      <c r="A1135">
        <v>43</v>
      </c>
      <c r="B1135">
        <f>IF(Adecco_India[[#This Row],[Attrition]]="Yes",1,0)</f>
        <v>0</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25">
      <c r="A1136">
        <v>35</v>
      </c>
      <c r="B1136">
        <f>IF(Adecco_India[[#This Row],[Attrition]]="Yes",1,0)</f>
        <v>0</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25">
      <c r="A1137">
        <v>46</v>
      </c>
      <c r="B1137">
        <f>IF(Adecco_India[[#This Row],[Attrition]]="Yes",1,0)</f>
        <v>0</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25">
      <c r="A1138">
        <v>28</v>
      </c>
      <c r="B1138">
        <f>IF(Adecco_India[[#This Row],[Attrition]]="Yes",1,0)</f>
        <v>1</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25">
      <c r="A1139">
        <v>22</v>
      </c>
      <c r="B1139">
        <f>IF(Adecco_India[[#This Row],[Attrition]]="Yes",1,0)</f>
        <v>0</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25">
      <c r="A1140">
        <v>50</v>
      </c>
      <c r="B1140">
        <f>IF(Adecco_India[[#This Row],[Attrition]]="Yes",1,0)</f>
        <v>0</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25">
      <c r="A1141">
        <v>32</v>
      </c>
      <c r="B1141">
        <f>IF(Adecco_India[[#This Row],[Attrition]]="Yes",1,0)</f>
        <v>0</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25">
      <c r="A1142">
        <v>44</v>
      </c>
      <c r="B1142">
        <f>IF(Adecco_India[[#This Row],[Attrition]]="Yes",1,0)</f>
        <v>0</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25">
      <c r="A1143">
        <v>30</v>
      </c>
      <c r="B1143">
        <f>IF(Adecco_India[[#This Row],[Attrition]]="Yes",1,0)</f>
        <v>0</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25">
      <c r="A1144">
        <v>45</v>
      </c>
      <c r="B1144">
        <f>IF(Adecco_India[[#This Row],[Attrition]]="Yes",1,0)</f>
        <v>0</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25">
      <c r="A1145">
        <v>45</v>
      </c>
      <c r="B1145">
        <f>IF(Adecco_India[[#This Row],[Attrition]]="Yes",1,0)</f>
        <v>0</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25">
      <c r="A1146">
        <v>31</v>
      </c>
      <c r="B1146">
        <f>IF(Adecco_India[[#This Row],[Attrition]]="Yes",1,0)</f>
        <v>0</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25">
      <c r="A1147">
        <v>36</v>
      </c>
      <c r="B1147">
        <f>IF(Adecco_India[[#This Row],[Attrition]]="Yes",1,0)</f>
        <v>0</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25">
      <c r="A1148">
        <v>34</v>
      </c>
      <c r="B1148">
        <f>IF(Adecco_India[[#This Row],[Attrition]]="Yes",1,0)</f>
        <v>0</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25">
      <c r="A1149">
        <v>49</v>
      </c>
      <c r="B1149">
        <f>IF(Adecco_India[[#This Row],[Attrition]]="Yes",1,0)</f>
        <v>0</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25">
      <c r="A1150">
        <v>39</v>
      </c>
      <c r="B1150">
        <f>IF(Adecco_India[[#This Row],[Attrition]]="Yes",1,0)</f>
        <v>0</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25">
      <c r="A1151">
        <v>27</v>
      </c>
      <c r="B1151">
        <f>IF(Adecco_India[[#This Row],[Attrition]]="Yes",1,0)</f>
        <v>0</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25">
      <c r="A1152">
        <v>35</v>
      </c>
      <c r="B1152">
        <f>IF(Adecco_India[[#This Row],[Attrition]]="Yes",1,0)</f>
        <v>0</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25">
      <c r="A1153">
        <v>28</v>
      </c>
      <c r="B1153">
        <f>IF(Adecco_India[[#This Row],[Attrition]]="Yes",1,0)</f>
        <v>0</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25">
      <c r="A1154">
        <v>21</v>
      </c>
      <c r="B1154">
        <f>IF(Adecco_India[[#This Row],[Attrition]]="Yes",1,0)</f>
        <v>0</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25">
      <c r="A1155">
        <v>18</v>
      </c>
      <c r="B1155">
        <f>IF(Adecco_India[[#This Row],[Attrition]]="Yes",1,0)</f>
        <v>1</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25">
      <c r="A1156">
        <v>47</v>
      </c>
      <c r="B1156">
        <f>IF(Adecco_India[[#This Row],[Attrition]]="Yes",1,0)</f>
        <v>0</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25">
      <c r="A1157">
        <v>39</v>
      </c>
      <c r="B1157">
        <f>IF(Adecco_India[[#This Row],[Attrition]]="Yes",1,0)</f>
        <v>0</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25">
      <c r="A1158">
        <v>40</v>
      </c>
      <c r="B1158">
        <f>IF(Adecco_India[[#This Row],[Attrition]]="Yes",1,0)</f>
        <v>0</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25">
      <c r="A1159">
        <v>35</v>
      </c>
      <c r="B1159">
        <f>IF(Adecco_India[[#This Row],[Attrition]]="Yes",1,0)</f>
        <v>0</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25">
      <c r="A1160">
        <v>37</v>
      </c>
      <c r="B1160">
        <f>IF(Adecco_India[[#This Row],[Attrition]]="Yes",1,0)</f>
        <v>0</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25">
      <c r="A1161">
        <v>39</v>
      </c>
      <c r="B1161">
        <f>IF(Adecco_India[[#This Row],[Attrition]]="Yes",1,0)</f>
        <v>0</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25">
      <c r="A1162">
        <v>45</v>
      </c>
      <c r="B1162">
        <f>IF(Adecco_India[[#This Row],[Attrition]]="Yes",1,0)</f>
        <v>0</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25">
      <c r="A1163">
        <v>38</v>
      </c>
      <c r="B1163">
        <f>IF(Adecco_India[[#This Row],[Attrition]]="Yes",1,0)</f>
        <v>0</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25">
      <c r="A1164">
        <v>35</v>
      </c>
      <c r="B1164">
        <f>IF(Adecco_India[[#This Row],[Attrition]]="Yes",1,0)</f>
        <v>1</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25">
      <c r="A1165">
        <v>37</v>
      </c>
      <c r="B1165">
        <f>IF(Adecco_India[[#This Row],[Attrition]]="Yes",1,0)</f>
        <v>0</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25">
      <c r="A1166">
        <v>40</v>
      </c>
      <c r="B1166">
        <f>IF(Adecco_India[[#This Row],[Attrition]]="Yes",1,0)</f>
        <v>0</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25">
      <c r="A1167">
        <v>44</v>
      </c>
      <c r="B1167">
        <f>IF(Adecco_India[[#This Row],[Attrition]]="Yes",1,0)</f>
        <v>0</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25">
      <c r="A1168">
        <v>48</v>
      </c>
      <c r="B1168">
        <f>IF(Adecco_India[[#This Row],[Attrition]]="Yes",1,0)</f>
        <v>0</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25">
      <c r="A1169">
        <v>35</v>
      </c>
      <c r="B1169">
        <f>IF(Adecco_India[[#This Row],[Attrition]]="Yes",1,0)</f>
        <v>1</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25">
      <c r="A1170">
        <v>24</v>
      </c>
      <c r="B1170">
        <f>IF(Adecco_India[[#This Row],[Attrition]]="Yes",1,0)</f>
        <v>0</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25">
      <c r="A1171">
        <v>27</v>
      </c>
      <c r="B1171">
        <f>IF(Adecco_India[[#This Row],[Attrition]]="Yes",1,0)</f>
        <v>0</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25">
      <c r="A1172">
        <v>27</v>
      </c>
      <c r="B1172">
        <f>IF(Adecco_India[[#This Row],[Attrition]]="Yes",1,0)</f>
        <v>0</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25">
      <c r="A1173">
        <v>40</v>
      </c>
      <c r="B1173">
        <f>IF(Adecco_India[[#This Row],[Attrition]]="Yes",1,0)</f>
        <v>1</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25">
      <c r="A1174">
        <v>29</v>
      </c>
      <c r="B1174">
        <f>IF(Adecco_India[[#This Row],[Attrition]]="Yes",1,0)</f>
        <v>0</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25">
      <c r="A1175">
        <v>36</v>
      </c>
      <c r="B1175">
        <f>IF(Adecco_India[[#This Row],[Attrition]]="Yes",1,0)</f>
        <v>0</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25">
      <c r="A1176">
        <v>25</v>
      </c>
      <c r="B1176">
        <f>IF(Adecco_India[[#This Row],[Attrition]]="Yes",1,0)</f>
        <v>0</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25">
      <c r="A1177">
        <v>39</v>
      </c>
      <c r="B1177">
        <f>IF(Adecco_India[[#This Row],[Attrition]]="Yes",1,0)</f>
        <v>0</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25">
      <c r="A1178">
        <v>49</v>
      </c>
      <c r="B1178">
        <f>IF(Adecco_India[[#This Row],[Attrition]]="Yes",1,0)</f>
        <v>0</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25">
      <c r="A1179">
        <v>50</v>
      </c>
      <c r="B1179">
        <f>IF(Adecco_India[[#This Row],[Attrition]]="Yes",1,0)</f>
        <v>0</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25">
      <c r="A1180">
        <v>20</v>
      </c>
      <c r="B1180">
        <f>IF(Adecco_India[[#This Row],[Attrition]]="Yes",1,0)</f>
        <v>0</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25">
      <c r="A1181">
        <v>34</v>
      </c>
      <c r="B1181">
        <f>IF(Adecco_India[[#This Row],[Attrition]]="Yes",1,0)</f>
        <v>0</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25">
      <c r="A1182">
        <v>36</v>
      </c>
      <c r="B1182">
        <f>IF(Adecco_India[[#This Row],[Attrition]]="Yes",1,0)</f>
        <v>0</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25">
      <c r="A1183">
        <v>49</v>
      </c>
      <c r="B1183">
        <f>IF(Adecco_India[[#This Row],[Attrition]]="Yes",1,0)</f>
        <v>0</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25">
      <c r="A1184">
        <v>36</v>
      </c>
      <c r="B1184">
        <f>IF(Adecco_India[[#This Row],[Attrition]]="Yes",1,0)</f>
        <v>0</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25">
      <c r="A1185">
        <v>36</v>
      </c>
      <c r="B1185">
        <f>IF(Adecco_India[[#This Row],[Attrition]]="Yes",1,0)</f>
        <v>0</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25">
      <c r="A1186">
        <v>54</v>
      </c>
      <c r="B1186">
        <f>IF(Adecco_India[[#This Row],[Attrition]]="Yes",1,0)</f>
        <v>0</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25">
      <c r="A1187">
        <v>43</v>
      </c>
      <c r="B1187">
        <f>IF(Adecco_India[[#This Row],[Attrition]]="Yes",1,0)</f>
        <v>0</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25">
      <c r="A1188">
        <v>35</v>
      </c>
      <c r="B1188">
        <f>IF(Adecco_India[[#This Row],[Attrition]]="Yes",1,0)</f>
        <v>1</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25">
      <c r="A1189">
        <v>38</v>
      </c>
      <c r="B1189">
        <f>IF(Adecco_India[[#This Row],[Attrition]]="Yes",1,0)</f>
        <v>0</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25">
      <c r="A1190">
        <v>29</v>
      </c>
      <c r="B1190">
        <f>IF(Adecco_India[[#This Row],[Attrition]]="Yes",1,0)</f>
        <v>0</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25">
      <c r="A1191">
        <v>33</v>
      </c>
      <c r="B1191">
        <f>IF(Adecco_India[[#This Row],[Attrition]]="Yes",1,0)</f>
        <v>0</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25">
      <c r="A1192">
        <v>32</v>
      </c>
      <c r="B1192">
        <f>IF(Adecco_India[[#This Row],[Attrition]]="Yes",1,0)</f>
        <v>0</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25">
      <c r="A1193">
        <v>31</v>
      </c>
      <c r="B1193">
        <f>IF(Adecco_India[[#This Row],[Attrition]]="Yes",1,0)</f>
        <v>0</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25">
      <c r="A1194">
        <v>49</v>
      </c>
      <c r="B1194">
        <f>IF(Adecco_India[[#This Row],[Attrition]]="Yes",1,0)</f>
        <v>0</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25">
      <c r="A1195">
        <v>38</v>
      </c>
      <c r="B1195">
        <f>IF(Adecco_India[[#This Row],[Attrition]]="Yes",1,0)</f>
        <v>0</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25">
      <c r="A1196">
        <v>47</v>
      </c>
      <c r="B1196">
        <f>IF(Adecco_India[[#This Row],[Attrition]]="Yes",1,0)</f>
        <v>0</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25">
      <c r="A1197">
        <v>49</v>
      </c>
      <c r="B1197">
        <f>IF(Adecco_India[[#This Row],[Attrition]]="Yes",1,0)</f>
        <v>0</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25">
      <c r="A1198">
        <v>41</v>
      </c>
      <c r="B1198">
        <f>IF(Adecco_India[[#This Row],[Attrition]]="Yes",1,0)</f>
        <v>0</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25">
      <c r="A1199">
        <v>20</v>
      </c>
      <c r="B1199">
        <f>IF(Adecco_India[[#This Row],[Attrition]]="Yes",1,0)</f>
        <v>0</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25">
      <c r="A1200">
        <v>33</v>
      </c>
      <c r="B1200">
        <f>IF(Adecco_India[[#This Row],[Attrition]]="Yes",1,0)</f>
        <v>0</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25">
      <c r="A1201">
        <v>36</v>
      </c>
      <c r="B1201">
        <f>IF(Adecco_India[[#This Row],[Attrition]]="Yes",1,0)</f>
        <v>0</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25">
      <c r="A1202">
        <v>44</v>
      </c>
      <c r="B1202">
        <f>IF(Adecco_India[[#This Row],[Attrition]]="Yes",1,0)</f>
        <v>0</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25">
      <c r="A1203">
        <v>23</v>
      </c>
      <c r="B1203">
        <f>IF(Adecco_India[[#This Row],[Attrition]]="Yes",1,0)</f>
        <v>1</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25">
      <c r="A1204">
        <v>38</v>
      </c>
      <c r="B1204">
        <f>IF(Adecco_India[[#This Row],[Attrition]]="Yes",1,0)</f>
        <v>0</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25">
      <c r="A1205">
        <v>53</v>
      </c>
      <c r="B1205">
        <f>IF(Adecco_India[[#This Row],[Attrition]]="Yes",1,0)</f>
        <v>0</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25">
      <c r="A1206">
        <v>48</v>
      </c>
      <c r="B1206">
        <f>IF(Adecco_India[[#This Row],[Attrition]]="Yes",1,0)</f>
        <v>1</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25">
      <c r="A1207">
        <v>32</v>
      </c>
      <c r="B1207">
        <f>IF(Adecco_India[[#This Row],[Attrition]]="Yes",1,0)</f>
        <v>1</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25">
      <c r="A1208">
        <v>26</v>
      </c>
      <c r="B1208">
        <f>IF(Adecco_India[[#This Row],[Attrition]]="Yes",1,0)</f>
        <v>0</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25">
      <c r="A1209">
        <v>55</v>
      </c>
      <c r="B1209">
        <f>IF(Adecco_India[[#This Row],[Attrition]]="Yes",1,0)</f>
        <v>0</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25">
      <c r="A1210">
        <v>34</v>
      </c>
      <c r="B1210">
        <f>IF(Adecco_India[[#This Row],[Attrition]]="Yes",1,0)</f>
        <v>0</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25">
      <c r="A1211">
        <v>60</v>
      </c>
      <c r="B1211">
        <f>IF(Adecco_India[[#This Row],[Attrition]]="Yes",1,0)</f>
        <v>0</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25">
      <c r="A1212">
        <v>33</v>
      </c>
      <c r="B1212">
        <f>IF(Adecco_India[[#This Row],[Attrition]]="Yes",1,0)</f>
        <v>0</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25">
      <c r="A1213">
        <v>37</v>
      </c>
      <c r="B1213">
        <f>IF(Adecco_India[[#This Row],[Attrition]]="Yes",1,0)</f>
        <v>0</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25">
      <c r="A1214">
        <v>34</v>
      </c>
      <c r="B1214">
        <f>IF(Adecco_India[[#This Row],[Attrition]]="Yes",1,0)</f>
        <v>0</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25">
      <c r="A1215">
        <v>23</v>
      </c>
      <c r="B1215">
        <f>IF(Adecco_India[[#This Row],[Attrition]]="Yes",1,0)</f>
        <v>1</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25">
      <c r="A1216">
        <v>44</v>
      </c>
      <c r="B1216">
        <f>IF(Adecco_India[[#This Row],[Attrition]]="Yes",1,0)</f>
        <v>0</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25">
      <c r="A1217">
        <v>35</v>
      </c>
      <c r="B1217">
        <f>IF(Adecco_India[[#This Row],[Attrition]]="Yes",1,0)</f>
        <v>0</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25">
      <c r="A1218">
        <v>43</v>
      </c>
      <c r="B1218">
        <f>IF(Adecco_India[[#This Row],[Attrition]]="Yes",1,0)</f>
        <v>0</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25">
      <c r="A1219">
        <v>24</v>
      </c>
      <c r="B1219">
        <f>IF(Adecco_India[[#This Row],[Attrition]]="Yes",1,0)</f>
        <v>0</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25">
      <c r="A1220">
        <v>41</v>
      </c>
      <c r="B1220">
        <f>IF(Adecco_India[[#This Row],[Attrition]]="Yes",1,0)</f>
        <v>0</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25">
      <c r="A1221">
        <v>29</v>
      </c>
      <c r="B1221">
        <f>IF(Adecco_India[[#This Row],[Attrition]]="Yes",1,0)</f>
        <v>0</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25">
      <c r="A1222">
        <v>36</v>
      </c>
      <c r="B1222">
        <f>IF(Adecco_India[[#This Row],[Attrition]]="Yes",1,0)</f>
        <v>0</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25">
      <c r="A1223">
        <v>45</v>
      </c>
      <c r="B1223">
        <f>IF(Adecco_India[[#This Row],[Attrition]]="Yes",1,0)</f>
        <v>0</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25">
      <c r="A1224">
        <v>24</v>
      </c>
      <c r="B1224">
        <f>IF(Adecco_India[[#This Row],[Attrition]]="Yes",1,0)</f>
        <v>1</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25">
      <c r="A1225">
        <v>47</v>
      </c>
      <c r="B1225">
        <f>IF(Adecco_India[[#This Row],[Attrition]]="Yes",1,0)</f>
        <v>1</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25">
      <c r="A1226">
        <v>26</v>
      </c>
      <c r="B1226">
        <f>IF(Adecco_India[[#This Row],[Attrition]]="Yes",1,0)</f>
        <v>0</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25">
      <c r="A1227">
        <v>45</v>
      </c>
      <c r="B1227">
        <f>IF(Adecco_India[[#This Row],[Attrition]]="Yes",1,0)</f>
        <v>0</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25">
      <c r="A1228">
        <v>32</v>
      </c>
      <c r="B1228">
        <f>IF(Adecco_India[[#This Row],[Attrition]]="Yes",1,0)</f>
        <v>0</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25">
      <c r="A1229">
        <v>31</v>
      </c>
      <c r="B1229">
        <f>IF(Adecco_India[[#This Row],[Attrition]]="Yes",1,0)</f>
        <v>0</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25">
      <c r="A1230">
        <v>41</v>
      </c>
      <c r="B1230">
        <f>IF(Adecco_India[[#This Row],[Attrition]]="Yes",1,0)</f>
        <v>0</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25">
      <c r="A1231">
        <v>40</v>
      </c>
      <c r="B1231">
        <f>IF(Adecco_India[[#This Row],[Attrition]]="Yes",1,0)</f>
        <v>0</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25">
      <c r="A1232">
        <v>24</v>
      </c>
      <c r="B1232">
        <f>IF(Adecco_India[[#This Row],[Attrition]]="Yes",1,0)</f>
        <v>0</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25">
      <c r="A1233">
        <v>46</v>
      </c>
      <c r="B1233">
        <f>IF(Adecco_India[[#This Row],[Attrition]]="Yes",1,0)</f>
        <v>0</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25">
      <c r="A1234">
        <v>35</v>
      </c>
      <c r="B1234">
        <f>IF(Adecco_India[[#This Row],[Attrition]]="Yes",1,0)</f>
        <v>0</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25">
      <c r="A1235">
        <v>30</v>
      </c>
      <c r="B1235">
        <f>IF(Adecco_India[[#This Row],[Attrition]]="Yes",1,0)</f>
        <v>0</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25">
      <c r="A1236">
        <v>47</v>
      </c>
      <c r="B1236">
        <f>IF(Adecco_India[[#This Row],[Attrition]]="Yes",1,0)</f>
        <v>0</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25">
      <c r="A1237">
        <v>46</v>
      </c>
      <c r="B1237">
        <f>IF(Adecco_India[[#This Row],[Attrition]]="Yes",1,0)</f>
        <v>0</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25">
      <c r="A1238">
        <v>36</v>
      </c>
      <c r="B1238">
        <f>IF(Adecco_India[[#This Row],[Attrition]]="Yes",1,0)</f>
        <v>1</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25">
      <c r="A1239">
        <v>32</v>
      </c>
      <c r="B1239">
        <f>IF(Adecco_India[[#This Row],[Attrition]]="Yes",1,0)</f>
        <v>1</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25">
      <c r="A1240">
        <v>23</v>
      </c>
      <c r="B1240">
        <f>IF(Adecco_India[[#This Row],[Attrition]]="Yes",1,0)</f>
        <v>0</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25">
      <c r="A1241">
        <v>31</v>
      </c>
      <c r="B1241">
        <f>IF(Adecco_India[[#This Row],[Attrition]]="Yes",1,0)</f>
        <v>0</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25">
      <c r="A1242">
        <v>39</v>
      </c>
      <c r="B1242">
        <f>IF(Adecco_India[[#This Row],[Attrition]]="Yes",1,0)</f>
        <v>0</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25">
      <c r="A1243">
        <v>32</v>
      </c>
      <c r="B1243">
        <f>IF(Adecco_India[[#This Row],[Attrition]]="Yes",1,0)</f>
        <v>0</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25">
      <c r="A1244">
        <v>40</v>
      </c>
      <c r="B1244">
        <f>IF(Adecco_India[[#This Row],[Attrition]]="Yes",1,0)</f>
        <v>0</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25">
      <c r="A1245">
        <v>45</v>
      </c>
      <c r="B1245">
        <f>IF(Adecco_India[[#This Row],[Attrition]]="Yes",1,0)</f>
        <v>0</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25">
      <c r="A1246">
        <v>30</v>
      </c>
      <c r="B1246">
        <f>IF(Adecco_India[[#This Row],[Attrition]]="Yes",1,0)</f>
        <v>0</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25">
      <c r="A1247">
        <v>24</v>
      </c>
      <c r="B1247">
        <f>IF(Adecco_India[[#This Row],[Attrition]]="Yes",1,0)</f>
        <v>0</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25">
      <c r="A1248">
        <v>30</v>
      </c>
      <c r="B1248">
        <f>IF(Adecco_India[[#This Row],[Attrition]]="Yes",1,0)</f>
        <v>1</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25">
      <c r="A1249">
        <v>31</v>
      </c>
      <c r="B1249">
        <f>IF(Adecco_India[[#This Row],[Attrition]]="Yes",1,0)</f>
        <v>0</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25">
      <c r="A1250">
        <v>27</v>
      </c>
      <c r="B1250">
        <f>IF(Adecco_India[[#This Row],[Attrition]]="Yes",1,0)</f>
        <v>0</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25">
      <c r="A1251">
        <v>29</v>
      </c>
      <c r="B1251">
        <f>IF(Adecco_India[[#This Row],[Attrition]]="Yes",1,0)</f>
        <v>1</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25">
      <c r="A1252">
        <v>29</v>
      </c>
      <c r="B1252">
        <f>IF(Adecco_India[[#This Row],[Attrition]]="Yes",1,0)</f>
        <v>0</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25">
      <c r="A1253">
        <v>30</v>
      </c>
      <c r="B1253">
        <f>IF(Adecco_India[[#This Row],[Attrition]]="Yes",1,0)</f>
        <v>0</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25">
      <c r="A1254">
        <v>34</v>
      </c>
      <c r="B1254">
        <f>IF(Adecco_India[[#This Row],[Attrition]]="Yes",1,0)</f>
        <v>0</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25">
      <c r="A1255">
        <v>33</v>
      </c>
      <c r="B1255">
        <f>IF(Adecco_India[[#This Row],[Attrition]]="Yes",1,0)</f>
        <v>0</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25">
      <c r="A1256">
        <v>49</v>
      </c>
      <c r="B1256">
        <f>IF(Adecco_India[[#This Row],[Attrition]]="Yes",1,0)</f>
        <v>0</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25">
      <c r="A1257">
        <v>33</v>
      </c>
      <c r="B1257">
        <f>IF(Adecco_India[[#This Row],[Attrition]]="Yes",1,0)</f>
        <v>1</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25">
      <c r="A1258">
        <v>38</v>
      </c>
      <c r="B1258">
        <f>IF(Adecco_India[[#This Row],[Attrition]]="Yes",1,0)</f>
        <v>0</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25">
      <c r="A1259">
        <v>31</v>
      </c>
      <c r="B1259">
        <f>IF(Adecco_India[[#This Row],[Attrition]]="Yes",1,0)</f>
        <v>1</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25">
      <c r="A1260">
        <v>29</v>
      </c>
      <c r="B1260">
        <f>IF(Adecco_India[[#This Row],[Attrition]]="Yes",1,0)</f>
        <v>0</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25">
      <c r="A1261">
        <v>30</v>
      </c>
      <c r="B1261">
        <f>IF(Adecco_India[[#This Row],[Attrition]]="Yes",1,0)</f>
        <v>0</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25">
      <c r="A1262">
        <v>32</v>
      </c>
      <c r="B1262">
        <f>IF(Adecco_India[[#This Row],[Attrition]]="Yes",1,0)</f>
        <v>0</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25">
      <c r="A1263">
        <v>38</v>
      </c>
      <c r="B1263">
        <f>IF(Adecco_India[[#This Row],[Attrition]]="Yes",1,0)</f>
        <v>0</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25">
      <c r="A1264">
        <v>43</v>
      </c>
      <c r="B1264">
        <f>IF(Adecco_India[[#This Row],[Attrition]]="Yes",1,0)</f>
        <v>1</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25">
      <c r="A1265">
        <v>42</v>
      </c>
      <c r="B1265">
        <f>IF(Adecco_India[[#This Row],[Attrition]]="Yes",1,0)</f>
        <v>0</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25">
      <c r="A1266">
        <v>55</v>
      </c>
      <c r="B1266">
        <f>IF(Adecco_India[[#This Row],[Attrition]]="Yes",1,0)</f>
        <v>0</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25">
      <c r="A1267">
        <v>33</v>
      </c>
      <c r="B1267">
        <f>IF(Adecco_India[[#This Row],[Attrition]]="Yes",1,0)</f>
        <v>0</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25">
      <c r="A1268">
        <v>41</v>
      </c>
      <c r="B1268">
        <f>IF(Adecco_India[[#This Row],[Attrition]]="Yes",1,0)</f>
        <v>0</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25">
      <c r="A1269">
        <v>34</v>
      </c>
      <c r="B1269">
        <f>IF(Adecco_India[[#This Row],[Attrition]]="Yes",1,0)</f>
        <v>0</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25">
      <c r="A1270">
        <v>53</v>
      </c>
      <c r="B1270">
        <f>IF(Adecco_India[[#This Row],[Attrition]]="Yes",1,0)</f>
        <v>0</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25">
      <c r="A1271">
        <v>43</v>
      </c>
      <c r="B1271">
        <f>IF(Adecco_India[[#This Row],[Attrition]]="Yes",1,0)</f>
        <v>0</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25">
      <c r="A1272">
        <v>34</v>
      </c>
      <c r="B1272">
        <f>IF(Adecco_India[[#This Row],[Attrition]]="Yes",1,0)</f>
        <v>0</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25">
      <c r="A1273">
        <v>21</v>
      </c>
      <c r="B1273">
        <f>IF(Adecco_India[[#This Row],[Attrition]]="Yes",1,0)</f>
        <v>1</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25">
      <c r="A1274">
        <v>38</v>
      </c>
      <c r="B1274">
        <f>IF(Adecco_India[[#This Row],[Attrition]]="Yes",1,0)</f>
        <v>0</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25">
      <c r="A1275">
        <v>22</v>
      </c>
      <c r="B1275">
        <f>IF(Adecco_India[[#This Row],[Attrition]]="Yes",1,0)</f>
        <v>1</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25">
      <c r="A1276">
        <v>31</v>
      </c>
      <c r="B1276">
        <f>IF(Adecco_India[[#This Row],[Attrition]]="Yes",1,0)</f>
        <v>0</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25">
      <c r="A1277">
        <v>51</v>
      </c>
      <c r="B1277">
        <f>IF(Adecco_India[[#This Row],[Attrition]]="Yes",1,0)</f>
        <v>0</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25">
      <c r="A1278">
        <v>37</v>
      </c>
      <c r="B1278">
        <f>IF(Adecco_India[[#This Row],[Attrition]]="Yes",1,0)</f>
        <v>0</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25">
      <c r="A1279">
        <v>46</v>
      </c>
      <c r="B1279">
        <f>IF(Adecco_India[[#This Row],[Attrition]]="Yes",1,0)</f>
        <v>0</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25">
      <c r="A1280">
        <v>36</v>
      </c>
      <c r="B1280">
        <f>IF(Adecco_India[[#This Row],[Attrition]]="Yes",1,0)</f>
        <v>0</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25">
      <c r="A1281">
        <v>44</v>
      </c>
      <c r="B1281">
        <f>IF(Adecco_India[[#This Row],[Attrition]]="Yes",1,0)</f>
        <v>1</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25">
      <c r="A1282">
        <v>37</v>
      </c>
      <c r="B1282">
        <f>IF(Adecco_India[[#This Row],[Attrition]]="Yes",1,0)</f>
        <v>0</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25">
      <c r="A1283">
        <v>35</v>
      </c>
      <c r="B1283">
        <f>IF(Adecco_India[[#This Row],[Attrition]]="Yes",1,0)</f>
        <v>1</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25">
      <c r="A1284">
        <v>33</v>
      </c>
      <c r="B1284">
        <f>IF(Adecco_India[[#This Row],[Attrition]]="Yes",1,0)</f>
        <v>0</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25">
      <c r="A1285">
        <v>28</v>
      </c>
      <c r="B1285">
        <f>IF(Adecco_India[[#This Row],[Attrition]]="Yes",1,0)</f>
        <v>0</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25">
      <c r="A1286">
        <v>39</v>
      </c>
      <c r="B1286">
        <f>IF(Adecco_India[[#This Row],[Attrition]]="Yes",1,0)</f>
        <v>0</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25">
      <c r="A1287">
        <v>46</v>
      </c>
      <c r="B1287">
        <f>IF(Adecco_India[[#This Row],[Attrition]]="Yes",1,0)</f>
        <v>0</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25">
      <c r="A1288">
        <v>40</v>
      </c>
      <c r="B1288">
        <f>IF(Adecco_India[[#This Row],[Attrition]]="Yes",1,0)</f>
        <v>0</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25">
      <c r="A1289">
        <v>42</v>
      </c>
      <c r="B1289">
        <f>IF(Adecco_India[[#This Row],[Attrition]]="Yes",1,0)</f>
        <v>0</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25">
      <c r="A1290">
        <v>35</v>
      </c>
      <c r="B1290">
        <f>IF(Adecco_India[[#This Row],[Attrition]]="Yes",1,0)</f>
        <v>0</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25">
      <c r="A1291">
        <v>38</v>
      </c>
      <c r="B1291">
        <f>IF(Adecco_India[[#This Row],[Attrition]]="Yes",1,0)</f>
        <v>0</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25">
      <c r="A1292">
        <v>34</v>
      </c>
      <c r="B1292">
        <f>IF(Adecco_India[[#This Row],[Attrition]]="Yes",1,0)</f>
        <v>1</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25">
      <c r="A1293">
        <v>37</v>
      </c>
      <c r="B1293">
        <f>IF(Adecco_India[[#This Row],[Attrition]]="Yes",1,0)</f>
        <v>1</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25">
      <c r="A1294">
        <v>39</v>
      </c>
      <c r="B1294">
        <f>IF(Adecco_India[[#This Row],[Attrition]]="Yes",1,0)</f>
        <v>0</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25">
      <c r="A1295">
        <v>43</v>
      </c>
      <c r="B1295">
        <f>IF(Adecco_India[[#This Row],[Attrition]]="Yes",1,0)</f>
        <v>0</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25">
      <c r="A1296">
        <v>41</v>
      </c>
      <c r="B1296">
        <f>IF(Adecco_India[[#This Row],[Attrition]]="Yes",1,0)</f>
        <v>0</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25">
      <c r="A1297">
        <v>41</v>
      </c>
      <c r="B1297">
        <f>IF(Adecco_India[[#This Row],[Attrition]]="Yes",1,0)</f>
        <v>0</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25">
      <c r="A1298">
        <v>30</v>
      </c>
      <c r="B1298">
        <f>IF(Adecco_India[[#This Row],[Attrition]]="Yes",1,0)</f>
        <v>0</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25">
      <c r="A1299">
        <v>26</v>
      </c>
      <c r="B1299">
        <f>IF(Adecco_India[[#This Row],[Attrition]]="Yes",1,0)</f>
        <v>1</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25">
      <c r="A1300">
        <v>46</v>
      </c>
      <c r="B1300">
        <f>IF(Adecco_India[[#This Row],[Attrition]]="Yes",1,0)</f>
        <v>1</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25">
      <c r="A1301">
        <v>40</v>
      </c>
      <c r="B1301">
        <f>IF(Adecco_India[[#This Row],[Attrition]]="Yes",1,0)</f>
        <v>0</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25">
      <c r="A1302">
        <v>34</v>
      </c>
      <c r="B1302">
        <f>IF(Adecco_India[[#This Row],[Attrition]]="Yes",1,0)</f>
        <v>0</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25">
      <c r="A1303">
        <v>58</v>
      </c>
      <c r="B1303">
        <f>IF(Adecco_India[[#This Row],[Attrition]]="Yes",1,0)</f>
        <v>0</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25">
      <c r="A1304">
        <v>35</v>
      </c>
      <c r="B1304">
        <f>IF(Adecco_India[[#This Row],[Attrition]]="Yes",1,0)</f>
        <v>0</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25">
      <c r="A1305">
        <v>47</v>
      </c>
      <c r="B1305">
        <f>IF(Adecco_India[[#This Row],[Attrition]]="Yes",1,0)</f>
        <v>0</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25">
      <c r="A1306">
        <v>40</v>
      </c>
      <c r="B1306">
        <f>IF(Adecco_India[[#This Row],[Attrition]]="Yes",1,0)</f>
        <v>0</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25">
      <c r="A1307">
        <v>54</v>
      </c>
      <c r="B1307">
        <f>IF(Adecco_India[[#This Row],[Attrition]]="Yes",1,0)</f>
        <v>0</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25">
      <c r="A1308">
        <v>31</v>
      </c>
      <c r="B1308">
        <f>IF(Adecco_India[[#This Row],[Attrition]]="Yes",1,0)</f>
        <v>0</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25">
      <c r="A1309">
        <v>28</v>
      </c>
      <c r="B1309">
        <f>IF(Adecco_India[[#This Row],[Attrition]]="Yes",1,0)</f>
        <v>0</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25">
      <c r="A1310">
        <v>38</v>
      </c>
      <c r="B1310">
        <f>IF(Adecco_India[[#This Row],[Attrition]]="Yes",1,0)</f>
        <v>0</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25">
      <c r="A1311">
        <v>26</v>
      </c>
      <c r="B1311">
        <f>IF(Adecco_India[[#This Row],[Attrition]]="Yes",1,0)</f>
        <v>0</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25">
      <c r="A1312">
        <v>58</v>
      </c>
      <c r="B1312">
        <f>IF(Adecco_India[[#This Row],[Attrition]]="Yes",1,0)</f>
        <v>0</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25">
      <c r="A1313">
        <v>18</v>
      </c>
      <c r="B1313">
        <f>IF(Adecco_India[[#This Row],[Attrition]]="Yes",1,0)</f>
        <v>0</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25">
      <c r="A1314">
        <v>31</v>
      </c>
      <c r="B1314">
        <f>IF(Adecco_India[[#This Row],[Attrition]]="Yes",1,0)</f>
        <v>1</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25">
      <c r="A1315">
        <v>29</v>
      </c>
      <c r="B1315">
        <f>IF(Adecco_India[[#This Row],[Attrition]]="Yes",1,0)</f>
        <v>1</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25">
      <c r="A1316">
        <v>45</v>
      </c>
      <c r="B1316">
        <f>IF(Adecco_India[[#This Row],[Attrition]]="Yes",1,0)</f>
        <v>0</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25">
      <c r="A1317">
        <v>36</v>
      </c>
      <c r="B1317">
        <f>IF(Adecco_India[[#This Row],[Attrition]]="Yes",1,0)</f>
        <v>0</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25">
      <c r="A1318">
        <v>43</v>
      </c>
      <c r="B1318">
        <f>IF(Adecco_India[[#This Row],[Attrition]]="Yes",1,0)</f>
        <v>0</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25">
      <c r="A1319">
        <v>27</v>
      </c>
      <c r="B1319">
        <f>IF(Adecco_India[[#This Row],[Attrition]]="Yes",1,0)</f>
        <v>0</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25">
      <c r="A1320">
        <v>29</v>
      </c>
      <c r="B1320">
        <f>IF(Adecco_India[[#This Row],[Attrition]]="Yes",1,0)</f>
        <v>0</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25">
      <c r="A1321">
        <v>32</v>
      </c>
      <c r="B1321">
        <f>IF(Adecco_India[[#This Row],[Attrition]]="Yes",1,0)</f>
        <v>0</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25">
      <c r="A1322">
        <v>42</v>
      </c>
      <c r="B1322">
        <f>IF(Adecco_India[[#This Row],[Attrition]]="Yes",1,0)</f>
        <v>0</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25">
      <c r="A1323">
        <v>47</v>
      </c>
      <c r="B1323">
        <f>IF(Adecco_India[[#This Row],[Attrition]]="Yes",1,0)</f>
        <v>0</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25">
      <c r="A1324">
        <v>46</v>
      </c>
      <c r="B1324">
        <f>IF(Adecco_India[[#This Row],[Attrition]]="Yes",1,0)</f>
        <v>0</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25">
      <c r="A1325">
        <v>28</v>
      </c>
      <c r="B1325">
        <f>IF(Adecco_India[[#This Row],[Attrition]]="Yes",1,0)</f>
        <v>0</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25">
      <c r="A1326">
        <v>29</v>
      </c>
      <c r="B1326">
        <f>IF(Adecco_India[[#This Row],[Attrition]]="Yes",1,0)</f>
        <v>0</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25">
      <c r="A1327">
        <v>42</v>
      </c>
      <c r="B1327">
        <f>IF(Adecco_India[[#This Row],[Attrition]]="Yes",1,0)</f>
        <v>0</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25">
      <c r="A1328">
        <v>32</v>
      </c>
      <c r="B1328">
        <f>IF(Adecco_India[[#This Row],[Attrition]]="Yes",1,0)</f>
        <v>1</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25">
      <c r="A1329">
        <v>46</v>
      </c>
      <c r="B1329">
        <f>IF(Adecco_India[[#This Row],[Attrition]]="Yes",1,0)</f>
        <v>0</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25">
      <c r="A1330">
        <v>27</v>
      </c>
      <c r="B1330">
        <f>IF(Adecco_India[[#This Row],[Attrition]]="Yes",1,0)</f>
        <v>0</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25">
      <c r="A1331">
        <v>29</v>
      </c>
      <c r="B1331">
        <f>IF(Adecco_India[[#This Row],[Attrition]]="Yes",1,0)</f>
        <v>0</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25">
      <c r="A1332">
        <v>43</v>
      </c>
      <c r="B1332">
        <f>IF(Adecco_India[[#This Row],[Attrition]]="Yes",1,0)</f>
        <v>0</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25">
      <c r="A1333">
        <v>48</v>
      </c>
      <c r="B1333">
        <f>IF(Adecco_India[[#This Row],[Attrition]]="Yes",1,0)</f>
        <v>0</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25">
      <c r="A1334">
        <v>29</v>
      </c>
      <c r="B1334">
        <f>IF(Adecco_India[[#This Row],[Attrition]]="Yes",1,0)</f>
        <v>1</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25">
      <c r="A1335">
        <v>46</v>
      </c>
      <c r="B1335">
        <f>IF(Adecco_India[[#This Row],[Attrition]]="Yes",1,0)</f>
        <v>1</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25">
      <c r="A1336">
        <v>27</v>
      </c>
      <c r="B1336">
        <f>IF(Adecco_India[[#This Row],[Attrition]]="Yes",1,0)</f>
        <v>0</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25">
      <c r="A1337">
        <v>39</v>
      </c>
      <c r="B1337">
        <f>IF(Adecco_India[[#This Row],[Attrition]]="Yes",1,0)</f>
        <v>0</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25">
      <c r="A1338">
        <v>55</v>
      </c>
      <c r="B1338">
        <f>IF(Adecco_India[[#This Row],[Attrition]]="Yes",1,0)</f>
        <v>0</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25">
      <c r="A1339">
        <v>28</v>
      </c>
      <c r="B1339">
        <f>IF(Adecco_India[[#This Row],[Attrition]]="Yes",1,0)</f>
        <v>0</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25">
      <c r="A1340">
        <v>30</v>
      </c>
      <c r="B1340">
        <f>IF(Adecco_India[[#This Row],[Attrition]]="Yes",1,0)</f>
        <v>1</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25">
      <c r="A1341">
        <v>22</v>
      </c>
      <c r="B1341">
        <f>IF(Adecco_India[[#This Row],[Attrition]]="Yes",1,0)</f>
        <v>1</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25">
      <c r="A1342">
        <v>36</v>
      </c>
      <c r="B1342">
        <f>IF(Adecco_India[[#This Row],[Attrition]]="Yes",1,0)</f>
        <v>0</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25">
      <c r="A1343">
        <v>31</v>
      </c>
      <c r="B1343">
        <f>IF(Adecco_India[[#This Row],[Attrition]]="Yes",1,0)</f>
        <v>0</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25">
      <c r="A1344">
        <v>34</v>
      </c>
      <c r="B1344">
        <f>IF(Adecco_India[[#This Row],[Attrition]]="Yes",1,0)</f>
        <v>0</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25">
      <c r="A1345">
        <v>29</v>
      </c>
      <c r="B1345">
        <f>IF(Adecco_India[[#This Row],[Attrition]]="Yes",1,0)</f>
        <v>0</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25">
      <c r="A1346">
        <v>37</v>
      </c>
      <c r="B1346">
        <f>IF(Adecco_India[[#This Row],[Attrition]]="Yes",1,0)</f>
        <v>0</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25">
      <c r="A1347">
        <v>35</v>
      </c>
      <c r="B1347">
        <f>IF(Adecco_India[[#This Row],[Attrition]]="Yes",1,0)</f>
        <v>0</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25">
      <c r="A1348">
        <v>45</v>
      </c>
      <c r="B1348">
        <f>IF(Adecco_India[[#This Row],[Attrition]]="Yes",1,0)</f>
        <v>0</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25">
      <c r="A1349">
        <v>36</v>
      </c>
      <c r="B1349">
        <f>IF(Adecco_India[[#This Row],[Attrition]]="Yes",1,0)</f>
        <v>0</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25">
      <c r="A1350">
        <v>40</v>
      </c>
      <c r="B1350">
        <f>IF(Adecco_India[[#This Row],[Attrition]]="Yes",1,0)</f>
        <v>0</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25">
      <c r="A1351">
        <v>26</v>
      </c>
      <c r="B1351">
        <f>IF(Adecco_India[[#This Row],[Attrition]]="Yes",1,0)</f>
        <v>0</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25">
      <c r="A1352">
        <v>27</v>
      </c>
      <c r="B1352">
        <f>IF(Adecco_India[[#This Row],[Attrition]]="Yes",1,0)</f>
        <v>0</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25">
      <c r="A1353">
        <v>48</v>
      </c>
      <c r="B1353">
        <f>IF(Adecco_India[[#This Row],[Attrition]]="Yes",1,0)</f>
        <v>0</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25">
      <c r="A1354">
        <v>44</v>
      </c>
      <c r="B1354">
        <f>IF(Adecco_India[[#This Row],[Attrition]]="Yes",1,0)</f>
        <v>0</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25">
      <c r="A1355">
        <v>34</v>
      </c>
      <c r="B1355">
        <f>IF(Adecco_India[[#This Row],[Attrition]]="Yes",1,0)</f>
        <v>1</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25">
      <c r="A1356">
        <v>56</v>
      </c>
      <c r="B1356">
        <f>IF(Adecco_India[[#This Row],[Attrition]]="Yes",1,0)</f>
        <v>1</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25">
      <c r="A1357">
        <v>36</v>
      </c>
      <c r="B1357">
        <f>IF(Adecco_India[[#This Row],[Attrition]]="Yes",1,0)</f>
        <v>0</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25">
      <c r="A1358">
        <v>41</v>
      </c>
      <c r="B1358">
        <f>IF(Adecco_India[[#This Row],[Attrition]]="Yes",1,0)</f>
        <v>0</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25">
      <c r="A1359">
        <v>42</v>
      </c>
      <c r="B1359">
        <f>IF(Adecco_India[[#This Row],[Attrition]]="Yes",1,0)</f>
        <v>0</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25">
      <c r="A1360">
        <v>31</v>
      </c>
      <c r="B1360">
        <f>IF(Adecco_India[[#This Row],[Attrition]]="Yes",1,0)</f>
        <v>0</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25">
      <c r="A1361">
        <v>34</v>
      </c>
      <c r="B1361">
        <f>IF(Adecco_India[[#This Row],[Attrition]]="Yes",1,0)</f>
        <v>0</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25">
      <c r="A1362">
        <v>31</v>
      </c>
      <c r="B1362">
        <f>IF(Adecco_India[[#This Row],[Attrition]]="Yes",1,0)</f>
        <v>0</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25">
      <c r="A1363">
        <v>26</v>
      </c>
      <c r="B1363">
        <f>IF(Adecco_India[[#This Row],[Attrition]]="Yes",1,0)</f>
        <v>0</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25">
      <c r="A1364">
        <v>45</v>
      </c>
      <c r="B1364">
        <f>IF(Adecco_India[[#This Row],[Attrition]]="Yes",1,0)</f>
        <v>0</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25">
      <c r="A1365">
        <v>33</v>
      </c>
      <c r="B1365">
        <f>IF(Adecco_India[[#This Row],[Attrition]]="Yes",1,0)</f>
        <v>0</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25">
      <c r="A1366">
        <v>28</v>
      </c>
      <c r="B1366">
        <f>IF(Adecco_India[[#This Row],[Attrition]]="Yes",1,0)</f>
        <v>0</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25">
      <c r="A1367">
        <v>29</v>
      </c>
      <c r="B1367">
        <f>IF(Adecco_India[[#This Row],[Attrition]]="Yes",1,0)</f>
        <v>1</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25">
      <c r="A1368">
        <v>39</v>
      </c>
      <c r="B1368">
        <f>IF(Adecco_India[[#This Row],[Attrition]]="Yes",1,0)</f>
        <v>0</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25">
      <c r="A1369">
        <v>27</v>
      </c>
      <c r="B1369">
        <f>IF(Adecco_India[[#This Row],[Attrition]]="Yes",1,0)</f>
        <v>0</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25">
      <c r="A1370">
        <v>34</v>
      </c>
      <c r="B1370">
        <f>IF(Adecco_India[[#This Row],[Attrition]]="Yes",1,0)</f>
        <v>0</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25">
      <c r="A1371">
        <v>28</v>
      </c>
      <c r="B1371">
        <f>IF(Adecco_India[[#This Row],[Attrition]]="Yes",1,0)</f>
        <v>1</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25">
      <c r="A1372">
        <v>47</v>
      </c>
      <c r="B1372">
        <f>IF(Adecco_India[[#This Row],[Attrition]]="Yes",1,0)</f>
        <v>0</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25">
      <c r="A1373">
        <v>56</v>
      </c>
      <c r="B1373">
        <f>IF(Adecco_India[[#This Row],[Attrition]]="Yes",1,0)</f>
        <v>0</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25">
      <c r="A1374">
        <v>39</v>
      </c>
      <c r="B1374">
        <f>IF(Adecco_India[[#This Row],[Attrition]]="Yes",1,0)</f>
        <v>0</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25">
      <c r="A1375">
        <v>38</v>
      </c>
      <c r="B1375">
        <f>IF(Adecco_India[[#This Row],[Attrition]]="Yes",1,0)</f>
        <v>0</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25">
      <c r="A1376">
        <v>58</v>
      </c>
      <c r="B1376">
        <f>IF(Adecco_India[[#This Row],[Attrition]]="Yes",1,0)</f>
        <v>0</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25">
      <c r="A1377">
        <v>32</v>
      </c>
      <c r="B1377">
        <f>IF(Adecco_India[[#This Row],[Attrition]]="Yes",1,0)</f>
        <v>1</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25">
      <c r="A1378">
        <v>38</v>
      </c>
      <c r="B1378">
        <f>IF(Adecco_India[[#This Row],[Attrition]]="Yes",1,0)</f>
        <v>0</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25">
      <c r="A1379">
        <v>49</v>
      </c>
      <c r="B1379">
        <f>IF(Adecco_India[[#This Row],[Attrition]]="Yes",1,0)</f>
        <v>0</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25">
      <c r="A1380">
        <v>42</v>
      </c>
      <c r="B1380">
        <f>IF(Adecco_India[[#This Row],[Attrition]]="Yes",1,0)</f>
        <v>0</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25">
      <c r="A1381">
        <v>27</v>
      </c>
      <c r="B1381">
        <f>IF(Adecco_India[[#This Row],[Attrition]]="Yes",1,0)</f>
        <v>1</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25">
      <c r="A1382">
        <v>35</v>
      </c>
      <c r="B1382">
        <f>IF(Adecco_India[[#This Row],[Attrition]]="Yes",1,0)</f>
        <v>0</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25">
      <c r="A1383">
        <v>28</v>
      </c>
      <c r="B1383">
        <f>IF(Adecco_India[[#This Row],[Attrition]]="Yes",1,0)</f>
        <v>0</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25">
      <c r="A1384">
        <v>31</v>
      </c>
      <c r="B1384">
        <f>IF(Adecco_India[[#This Row],[Attrition]]="Yes",1,0)</f>
        <v>0</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25">
      <c r="A1385">
        <v>36</v>
      </c>
      <c r="B1385">
        <f>IF(Adecco_India[[#This Row],[Attrition]]="Yes",1,0)</f>
        <v>0</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25">
      <c r="A1386">
        <v>34</v>
      </c>
      <c r="B1386">
        <f>IF(Adecco_India[[#This Row],[Attrition]]="Yes",1,0)</f>
        <v>0</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25">
      <c r="A1387">
        <v>34</v>
      </c>
      <c r="B1387">
        <f>IF(Adecco_India[[#This Row],[Attrition]]="Yes",1,0)</f>
        <v>0</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25">
      <c r="A1388">
        <v>26</v>
      </c>
      <c r="B1388">
        <f>IF(Adecco_India[[#This Row],[Attrition]]="Yes",1,0)</f>
        <v>0</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25">
      <c r="A1389">
        <v>29</v>
      </c>
      <c r="B1389">
        <f>IF(Adecco_India[[#This Row],[Attrition]]="Yes",1,0)</f>
        <v>0</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25">
      <c r="A1390">
        <v>32</v>
      </c>
      <c r="B1390">
        <f>IF(Adecco_India[[#This Row],[Attrition]]="Yes",1,0)</f>
        <v>0</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25">
      <c r="A1391">
        <v>31</v>
      </c>
      <c r="B1391">
        <f>IF(Adecco_India[[#This Row],[Attrition]]="Yes",1,0)</f>
        <v>0</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25">
      <c r="A1392">
        <v>28</v>
      </c>
      <c r="B1392">
        <f>IF(Adecco_India[[#This Row],[Attrition]]="Yes",1,0)</f>
        <v>1</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25">
      <c r="A1393">
        <v>38</v>
      </c>
      <c r="B1393">
        <f>IF(Adecco_India[[#This Row],[Attrition]]="Yes",1,0)</f>
        <v>0</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25">
      <c r="A1394">
        <v>35</v>
      </c>
      <c r="B1394">
        <f>IF(Adecco_India[[#This Row],[Attrition]]="Yes",1,0)</f>
        <v>0</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25">
      <c r="A1395">
        <v>27</v>
      </c>
      <c r="B1395">
        <f>IF(Adecco_India[[#This Row],[Attrition]]="Yes",1,0)</f>
        <v>0</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25">
      <c r="A1396">
        <v>32</v>
      </c>
      <c r="B1396">
        <f>IF(Adecco_India[[#This Row],[Attrition]]="Yes",1,0)</f>
        <v>0</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25">
      <c r="A1397">
        <v>31</v>
      </c>
      <c r="B1397">
        <f>IF(Adecco_India[[#This Row],[Attrition]]="Yes",1,0)</f>
        <v>1</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25">
      <c r="A1398">
        <v>53</v>
      </c>
      <c r="B1398">
        <f>IF(Adecco_India[[#This Row],[Attrition]]="Yes",1,0)</f>
        <v>1</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25">
      <c r="A1399">
        <v>54</v>
      </c>
      <c r="B1399">
        <f>IF(Adecco_India[[#This Row],[Attrition]]="Yes",1,0)</f>
        <v>0</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25">
      <c r="A1400">
        <v>33</v>
      </c>
      <c r="B1400">
        <f>IF(Adecco_India[[#This Row],[Attrition]]="Yes",1,0)</f>
        <v>0</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25">
      <c r="A1401">
        <v>43</v>
      </c>
      <c r="B1401">
        <f>IF(Adecco_India[[#This Row],[Attrition]]="Yes",1,0)</f>
        <v>0</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25">
      <c r="A1402">
        <v>38</v>
      </c>
      <c r="B1402">
        <f>IF(Adecco_India[[#This Row],[Attrition]]="Yes",1,0)</f>
        <v>0</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25">
      <c r="A1403">
        <v>55</v>
      </c>
      <c r="B1403">
        <f>IF(Adecco_India[[#This Row],[Attrition]]="Yes",1,0)</f>
        <v>0</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25">
      <c r="A1404">
        <v>31</v>
      </c>
      <c r="B1404">
        <f>IF(Adecco_India[[#This Row],[Attrition]]="Yes",1,0)</f>
        <v>0</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25">
      <c r="A1405">
        <v>39</v>
      </c>
      <c r="B1405">
        <f>IF(Adecco_India[[#This Row],[Attrition]]="Yes",1,0)</f>
        <v>0</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25">
      <c r="A1406">
        <v>42</v>
      </c>
      <c r="B1406">
        <f>IF(Adecco_India[[#This Row],[Attrition]]="Yes",1,0)</f>
        <v>0</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25">
      <c r="A1407">
        <v>31</v>
      </c>
      <c r="B1407">
        <f>IF(Adecco_India[[#This Row],[Attrition]]="Yes",1,0)</f>
        <v>0</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25">
      <c r="A1408">
        <v>54</v>
      </c>
      <c r="B1408">
        <f>IF(Adecco_India[[#This Row],[Attrition]]="Yes",1,0)</f>
        <v>0</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25">
      <c r="A1409">
        <v>24</v>
      </c>
      <c r="B1409">
        <f>IF(Adecco_India[[#This Row],[Attrition]]="Yes",1,0)</f>
        <v>0</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25">
      <c r="A1410">
        <v>23</v>
      </c>
      <c r="B1410">
        <f>IF(Adecco_India[[#This Row],[Attrition]]="Yes",1,0)</f>
        <v>0</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25">
      <c r="A1411">
        <v>40</v>
      </c>
      <c r="B1411">
        <f>IF(Adecco_India[[#This Row],[Attrition]]="Yes",1,0)</f>
        <v>0</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25">
      <c r="A1412">
        <v>40</v>
      </c>
      <c r="B1412">
        <f>IF(Adecco_India[[#This Row],[Attrition]]="Yes",1,0)</f>
        <v>0</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25">
      <c r="A1413">
        <v>25</v>
      </c>
      <c r="B1413">
        <f>IF(Adecco_India[[#This Row],[Attrition]]="Yes",1,0)</f>
        <v>0</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25">
      <c r="A1414">
        <v>30</v>
      </c>
      <c r="B1414">
        <f>IF(Adecco_India[[#This Row],[Attrition]]="Yes",1,0)</f>
        <v>0</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25">
      <c r="A1415">
        <v>25</v>
      </c>
      <c r="B1415">
        <f>IF(Adecco_India[[#This Row],[Attrition]]="Yes",1,0)</f>
        <v>0</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25">
      <c r="A1416">
        <v>47</v>
      </c>
      <c r="B1416">
        <f>IF(Adecco_India[[#This Row],[Attrition]]="Yes",1,0)</f>
        <v>0</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25">
      <c r="A1417">
        <v>33</v>
      </c>
      <c r="B1417">
        <f>IF(Adecco_India[[#This Row],[Attrition]]="Yes",1,0)</f>
        <v>0</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25">
      <c r="A1418">
        <v>38</v>
      </c>
      <c r="B1418">
        <f>IF(Adecco_India[[#This Row],[Attrition]]="Yes",1,0)</f>
        <v>0</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25">
      <c r="A1419">
        <v>31</v>
      </c>
      <c r="B1419">
        <f>IF(Adecco_India[[#This Row],[Attrition]]="Yes",1,0)</f>
        <v>0</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25">
      <c r="A1420">
        <v>38</v>
      </c>
      <c r="B1420">
        <f>IF(Adecco_India[[#This Row],[Attrition]]="Yes",1,0)</f>
        <v>0</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25">
      <c r="A1421">
        <v>42</v>
      </c>
      <c r="B1421">
        <f>IF(Adecco_India[[#This Row],[Attrition]]="Yes",1,0)</f>
        <v>0</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25">
      <c r="A1422">
        <v>41</v>
      </c>
      <c r="B1422">
        <f>IF(Adecco_India[[#This Row],[Attrition]]="Yes",1,0)</f>
        <v>0</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25">
      <c r="A1423">
        <v>47</v>
      </c>
      <c r="B1423">
        <f>IF(Adecco_India[[#This Row],[Attrition]]="Yes",1,0)</f>
        <v>0</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25">
      <c r="A1424">
        <v>35</v>
      </c>
      <c r="B1424">
        <f>IF(Adecco_India[[#This Row],[Attrition]]="Yes",1,0)</f>
        <v>0</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25">
      <c r="A1425">
        <v>22</v>
      </c>
      <c r="B1425">
        <f>IF(Adecco_India[[#This Row],[Attrition]]="Yes",1,0)</f>
        <v>0</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25">
      <c r="A1426">
        <v>35</v>
      </c>
      <c r="B1426">
        <f>IF(Adecco_India[[#This Row],[Attrition]]="Yes",1,0)</f>
        <v>0</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25">
      <c r="A1427">
        <v>33</v>
      </c>
      <c r="B1427">
        <f>IF(Adecco_India[[#This Row],[Attrition]]="Yes",1,0)</f>
        <v>0</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25">
      <c r="A1428">
        <v>32</v>
      </c>
      <c r="B1428">
        <f>IF(Adecco_India[[#This Row],[Attrition]]="Yes",1,0)</f>
        <v>0</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25">
      <c r="A1429">
        <v>40</v>
      </c>
      <c r="B1429">
        <f>IF(Adecco_India[[#This Row],[Attrition]]="Yes",1,0)</f>
        <v>0</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25">
      <c r="A1430">
        <v>32</v>
      </c>
      <c r="B1430">
        <f>IF(Adecco_India[[#This Row],[Attrition]]="Yes",1,0)</f>
        <v>0</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25">
      <c r="A1431">
        <v>39</v>
      </c>
      <c r="B1431">
        <f>IF(Adecco_India[[#This Row],[Attrition]]="Yes",1,0)</f>
        <v>0</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25">
      <c r="A1432">
        <v>38</v>
      </c>
      <c r="B1432">
        <f>IF(Adecco_India[[#This Row],[Attrition]]="Yes",1,0)</f>
        <v>0</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25">
      <c r="A1433">
        <v>32</v>
      </c>
      <c r="B1433">
        <f>IF(Adecco_India[[#This Row],[Attrition]]="Yes",1,0)</f>
        <v>0</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25">
      <c r="A1434">
        <v>37</v>
      </c>
      <c r="B1434">
        <f>IF(Adecco_India[[#This Row],[Attrition]]="Yes",1,0)</f>
        <v>0</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25">
      <c r="A1435">
        <v>25</v>
      </c>
      <c r="B1435">
        <f>IF(Adecco_India[[#This Row],[Attrition]]="Yes",1,0)</f>
        <v>0</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25">
      <c r="A1436">
        <v>52</v>
      </c>
      <c r="B1436">
        <f>IF(Adecco_India[[#This Row],[Attrition]]="Yes",1,0)</f>
        <v>0</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25">
      <c r="A1437">
        <v>44</v>
      </c>
      <c r="B1437">
        <f>IF(Adecco_India[[#This Row],[Attrition]]="Yes",1,0)</f>
        <v>0</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25">
      <c r="A1438">
        <v>21</v>
      </c>
      <c r="B1438">
        <f>IF(Adecco_India[[#This Row],[Attrition]]="Yes",1,0)</f>
        <v>0</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25">
      <c r="A1439">
        <v>39</v>
      </c>
      <c r="B1439">
        <f>IF(Adecco_India[[#This Row],[Attrition]]="Yes",1,0)</f>
        <v>0</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25">
      <c r="A1440">
        <v>23</v>
      </c>
      <c r="B1440">
        <f>IF(Adecco_India[[#This Row],[Attrition]]="Yes",1,0)</f>
        <v>1</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25">
      <c r="A1441">
        <v>36</v>
      </c>
      <c r="B1441">
        <f>IF(Adecco_India[[#This Row],[Attrition]]="Yes",1,0)</f>
        <v>0</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25">
      <c r="A1442">
        <v>36</v>
      </c>
      <c r="B1442">
        <f>IF(Adecco_India[[#This Row],[Attrition]]="Yes",1,0)</f>
        <v>0</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25">
      <c r="A1443">
        <v>56</v>
      </c>
      <c r="B1443">
        <f>IF(Adecco_India[[#This Row],[Attrition]]="Yes",1,0)</f>
        <v>0</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25">
      <c r="A1444">
        <v>29</v>
      </c>
      <c r="B1444">
        <f>IF(Adecco_India[[#This Row],[Attrition]]="Yes",1,0)</f>
        <v>1</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25">
      <c r="A1445">
        <v>42</v>
      </c>
      <c r="B1445">
        <f>IF(Adecco_India[[#This Row],[Attrition]]="Yes",1,0)</f>
        <v>0</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25">
      <c r="A1446">
        <v>56</v>
      </c>
      <c r="B1446">
        <f>IF(Adecco_India[[#This Row],[Attrition]]="Yes",1,0)</f>
        <v>1</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25">
      <c r="A1447">
        <v>41</v>
      </c>
      <c r="B1447">
        <f>IF(Adecco_India[[#This Row],[Attrition]]="Yes",1,0)</f>
        <v>0</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25">
      <c r="A1448">
        <v>34</v>
      </c>
      <c r="B1448">
        <f>IF(Adecco_India[[#This Row],[Attrition]]="Yes",1,0)</f>
        <v>0</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25">
      <c r="A1449">
        <v>36</v>
      </c>
      <c r="B1449">
        <f>IF(Adecco_India[[#This Row],[Attrition]]="Yes",1,0)</f>
        <v>0</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25">
      <c r="A1450">
        <v>41</v>
      </c>
      <c r="B1450">
        <f>IF(Adecco_India[[#This Row],[Attrition]]="Yes",1,0)</f>
        <v>0</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25">
      <c r="A1451">
        <v>32</v>
      </c>
      <c r="B1451">
        <f>IF(Adecco_India[[#This Row],[Attrition]]="Yes",1,0)</f>
        <v>0</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25">
      <c r="A1452">
        <v>35</v>
      </c>
      <c r="B1452">
        <f>IF(Adecco_India[[#This Row],[Attrition]]="Yes",1,0)</f>
        <v>0</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25">
      <c r="A1453">
        <v>38</v>
      </c>
      <c r="B1453">
        <f>IF(Adecco_India[[#This Row],[Attrition]]="Yes",1,0)</f>
        <v>0</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25">
      <c r="A1454">
        <v>50</v>
      </c>
      <c r="B1454">
        <f>IF(Adecco_India[[#This Row],[Attrition]]="Yes",1,0)</f>
        <v>1</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25">
      <c r="A1455">
        <v>36</v>
      </c>
      <c r="B1455">
        <f>IF(Adecco_India[[#This Row],[Attrition]]="Yes",1,0)</f>
        <v>0</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25">
      <c r="A1456">
        <v>45</v>
      </c>
      <c r="B1456">
        <f>IF(Adecco_India[[#This Row],[Attrition]]="Yes",1,0)</f>
        <v>0</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25">
      <c r="A1457">
        <v>40</v>
      </c>
      <c r="B1457">
        <f>IF(Adecco_India[[#This Row],[Attrition]]="Yes",1,0)</f>
        <v>0</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25">
      <c r="A1458">
        <v>35</v>
      </c>
      <c r="B1458">
        <f>IF(Adecco_India[[#This Row],[Attrition]]="Yes",1,0)</f>
        <v>0</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25">
      <c r="A1459">
        <v>40</v>
      </c>
      <c r="B1459">
        <f>IF(Adecco_India[[#This Row],[Attrition]]="Yes",1,0)</f>
        <v>0</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25">
      <c r="A1460">
        <v>35</v>
      </c>
      <c r="B1460">
        <f>IF(Adecco_India[[#This Row],[Attrition]]="Yes",1,0)</f>
        <v>0</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25">
      <c r="A1461">
        <v>29</v>
      </c>
      <c r="B1461">
        <f>IF(Adecco_India[[#This Row],[Attrition]]="Yes",1,0)</f>
        <v>0</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25">
      <c r="A1462">
        <v>29</v>
      </c>
      <c r="B1462">
        <f>IF(Adecco_India[[#This Row],[Attrition]]="Yes",1,0)</f>
        <v>0</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25">
      <c r="A1463">
        <v>50</v>
      </c>
      <c r="B1463">
        <f>IF(Adecco_India[[#This Row],[Attrition]]="Yes",1,0)</f>
        <v>1</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25">
      <c r="A1464">
        <v>39</v>
      </c>
      <c r="B1464">
        <f>IF(Adecco_India[[#This Row],[Attrition]]="Yes",1,0)</f>
        <v>0</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25">
      <c r="A1465">
        <v>31</v>
      </c>
      <c r="B1465">
        <f>IF(Adecco_India[[#This Row],[Attrition]]="Yes",1,0)</f>
        <v>0</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25">
      <c r="A1466">
        <v>26</v>
      </c>
      <c r="B1466">
        <f>IF(Adecco_India[[#This Row],[Attrition]]="Yes",1,0)</f>
        <v>0</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25">
      <c r="A1467">
        <v>36</v>
      </c>
      <c r="B1467">
        <f>IF(Adecco_India[[#This Row],[Attrition]]="Yes",1,0)</f>
        <v>0</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25">
      <c r="A1468">
        <v>39</v>
      </c>
      <c r="B1468">
        <f>IF(Adecco_India[[#This Row],[Attrition]]="Yes",1,0)</f>
        <v>0</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25">
      <c r="A1469">
        <v>27</v>
      </c>
      <c r="B1469">
        <f>IF(Adecco_India[[#This Row],[Attrition]]="Yes",1,0)</f>
        <v>0</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25">
      <c r="A1470">
        <v>49</v>
      </c>
      <c r="B1470">
        <f>IF(Adecco_India[[#This Row],[Attrition]]="Yes",1,0)</f>
        <v>0</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25">
      <c r="A1471">
        <v>34</v>
      </c>
      <c r="B1471">
        <f>IF(Adecco_India[[#This Row],[Attrition]]="Yes",1,0)</f>
        <v>0</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61D9-407B-4C03-96F0-951CA29CE93D}">
  <dimension ref="A1:P15"/>
  <sheetViews>
    <sheetView topLeftCell="A40" zoomScale="98" zoomScaleNormal="98" workbookViewId="0">
      <selection activeCell="O10" sqref="O10"/>
    </sheetView>
  </sheetViews>
  <sheetFormatPr defaultRowHeight="15" x14ac:dyDescent="0.25"/>
  <cols>
    <col min="7" max="7" width="13" customWidth="1"/>
    <col min="8" max="8" width="12" customWidth="1"/>
    <col min="11" max="11" width="12.85546875" customWidth="1"/>
    <col min="15" max="15" width="19" bestFit="1" customWidth="1"/>
  </cols>
  <sheetData>
    <row r="1" spans="1:16" ht="16.5" thickBot="1" x14ac:dyDescent="0.3">
      <c r="A1" s="27"/>
      <c r="O1" s="14" t="s">
        <v>79</v>
      </c>
      <c r="P1" s="15"/>
    </row>
    <row r="2" spans="1:16" ht="16.5" thickBot="1" x14ac:dyDescent="0.3">
      <c r="A2" s="29" t="s">
        <v>62</v>
      </c>
      <c r="B2" s="30"/>
      <c r="C2" s="30"/>
      <c r="D2" s="30"/>
      <c r="E2" s="31"/>
      <c r="G2" s="12" t="s">
        <v>69</v>
      </c>
      <c r="H2" s="13"/>
      <c r="I2" s="13"/>
      <c r="J2" s="13"/>
      <c r="K2" s="13"/>
      <c r="L2" s="39">
        <f>AVERAGE('main data'!A2:A1463)</f>
        <v>36.933652530779753</v>
      </c>
      <c r="O2" s="9" t="s">
        <v>80</v>
      </c>
      <c r="P2" s="40">
        <f>CORREL('main data'!A:A,'main data'!B:B)</f>
        <v>-0.15920500686577846</v>
      </c>
    </row>
    <row r="3" spans="1:16" ht="15.75" thickBot="1" x14ac:dyDescent="0.3">
      <c r="A3" s="32" t="s">
        <v>63</v>
      </c>
      <c r="B3" s="28"/>
      <c r="C3" s="28"/>
      <c r="D3" s="28"/>
      <c r="E3" s="33">
        <f>COUNTIF(Adecco_India[Attrition],"Yes")</f>
        <v>237</v>
      </c>
      <c r="O3" s="9" t="s">
        <v>81</v>
      </c>
      <c r="P3" s="40">
        <f>CORREL(Adecco_India[attrition_num],Adecco_India[MonthlyIncome])</f>
        <v>-0.15983958238498774</v>
      </c>
    </row>
    <row r="4" spans="1:16" ht="15.75" thickBot="1" x14ac:dyDescent="0.3">
      <c r="A4" s="32" t="s">
        <v>64</v>
      </c>
      <c r="B4" s="28"/>
      <c r="C4" s="28"/>
      <c r="D4" s="28"/>
      <c r="E4" s="33">
        <f>COUNTA(Adecco_India[EmployeeNumber])</f>
        <v>1470</v>
      </c>
      <c r="G4" s="12" t="s">
        <v>73</v>
      </c>
      <c r="H4" s="13"/>
      <c r="I4" s="13"/>
      <c r="J4" s="13"/>
      <c r="K4" s="13"/>
      <c r="L4" s="39">
        <f>AVERAGE('main data'!T2:T1463)</f>
        <v>6501.9685362517102</v>
      </c>
      <c r="O4" s="10" t="s">
        <v>82</v>
      </c>
      <c r="P4" s="41">
        <f>CORREL(Adecco_India[attrition_num],Adecco_India[YearsAtCompany])</f>
        <v>-0.13439221398997619</v>
      </c>
    </row>
    <row r="5" spans="1:16" ht="15.75" thickBot="1" x14ac:dyDescent="0.3">
      <c r="A5" s="34" t="s">
        <v>65</v>
      </c>
      <c r="B5" s="35"/>
      <c r="C5" s="35"/>
      <c r="D5" s="35"/>
      <c r="E5" s="36">
        <f>(E3/E4)</f>
        <v>0.16122448979591836</v>
      </c>
    </row>
    <row r="6" spans="1:16" ht="15.75" thickBot="1" x14ac:dyDescent="0.3">
      <c r="A6" s="2"/>
      <c r="B6" s="2"/>
      <c r="C6" s="2"/>
      <c r="D6" s="2"/>
      <c r="E6" s="37"/>
      <c r="G6" s="12" t="s">
        <v>76</v>
      </c>
      <c r="H6" s="13"/>
      <c r="I6" s="13"/>
      <c r="J6" s="13"/>
      <c r="K6" s="13"/>
      <c r="L6" s="8">
        <f>COUNTIF(Adecco_India[OverTime],"Yes")</f>
        <v>416</v>
      </c>
    </row>
    <row r="7" spans="1:16" ht="15.75" thickBot="1" x14ac:dyDescent="0.3">
      <c r="A7" s="2"/>
      <c r="B7" s="2"/>
      <c r="C7" s="2"/>
      <c r="D7" s="2"/>
    </row>
    <row r="8" spans="1:16" ht="15.75" thickBot="1" x14ac:dyDescent="0.3">
      <c r="A8" s="2"/>
      <c r="B8" s="2"/>
      <c r="C8" s="2"/>
      <c r="D8" s="2"/>
      <c r="G8" s="12" t="s">
        <v>77</v>
      </c>
      <c r="H8" s="13"/>
      <c r="I8" s="13"/>
      <c r="J8" s="13"/>
      <c r="K8" s="13"/>
      <c r="L8" s="38">
        <f>AVERAGE(Adecco_India[YearsAtCompany])</f>
        <v>7.0081632653061225</v>
      </c>
    </row>
    <row r="9" spans="1:16" x14ac:dyDescent="0.25">
      <c r="A9" s="2"/>
      <c r="B9" s="2"/>
      <c r="C9" s="2"/>
      <c r="D9" s="2"/>
    </row>
    <row r="10" spans="1:16" x14ac:dyDescent="0.25">
      <c r="A10" s="2"/>
      <c r="B10" s="2"/>
      <c r="C10" s="2"/>
      <c r="D10" s="2"/>
    </row>
    <row r="11" spans="1:16" x14ac:dyDescent="0.25">
      <c r="A11" s="2"/>
      <c r="B11" s="2"/>
      <c r="C11" s="2"/>
      <c r="D11" s="2"/>
    </row>
    <row r="12" spans="1:16" x14ac:dyDescent="0.25">
      <c r="A12" s="2"/>
      <c r="B12" s="2"/>
      <c r="C12" s="2"/>
      <c r="D12" s="2"/>
    </row>
    <row r="13" spans="1:16" x14ac:dyDescent="0.25">
      <c r="H13" s="1"/>
    </row>
    <row r="15" spans="1:16" ht="15.75" x14ac:dyDescent="0.25">
      <c r="B15" s="11" t="s">
        <v>74</v>
      </c>
      <c r="C15" s="11"/>
      <c r="K15" s="11" t="s">
        <v>96</v>
      </c>
      <c r="L15" s="11"/>
    </row>
  </sheetData>
  <mergeCells count="11">
    <mergeCell ref="B15:C15"/>
    <mergeCell ref="K15:L15"/>
    <mergeCell ref="G6:K6"/>
    <mergeCell ref="G8:K8"/>
    <mergeCell ref="O1:P1"/>
    <mergeCell ref="A2:E2"/>
    <mergeCell ref="A3:D3"/>
    <mergeCell ref="A4:D4"/>
    <mergeCell ref="A5:D5"/>
    <mergeCell ref="G2:K2"/>
    <mergeCell ref="G4:K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8D61F-D6A4-473C-982C-CA5094CA2FC4}">
  <dimension ref="A1:R25"/>
  <sheetViews>
    <sheetView topLeftCell="I12" zoomScale="93" zoomScaleNormal="93" workbookViewId="0">
      <selection activeCell="T17" sqref="T17"/>
    </sheetView>
  </sheetViews>
  <sheetFormatPr defaultRowHeight="15" x14ac:dyDescent="0.25"/>
  <cols>
    <col min="1" max="1" width="21.7109375" bestFit="1" customWidth="1"/>
    <col min="2" max="2" width="22.5703125" bestFit="1" customWidth="1"/>
    <col min="5" max="5" width="25" bestFit="1" customWidth="1"/>
    <col min="6" max="6" width="25.42578125" bestFit="1" customWidth="1"/>
    <col min="7" max="7" width="15.28515625" customWidth="1"/>
    <col min="8" max="8" width="6.140625" customWidth="1"/>
    <col min="9" max="9" width="11.85546875" bestFit="1" customWidth="1"/>
    <col min="10" max="10" width="12.85546875" bestFit="1" customWidth="1"/>
    <col min="11" max="11" width="13.140625" bestFit="1" customWidth="1"/>
    <col min="12" max="12" width="13.5703125" customWidth="1"/>
    <col min="13" max="13" width="11.85546875" bestFit="1" customWidth="1"/>
    <col min="14" max="14" width="24.28515625" bestFit="1" customWidth="1"/>
    <col min="17" max="17" width="17.7109375" bestFit="1" customWidth="1"/>
    <col min="18" max="18" width="25.42578125" bestFit="1" customWidth="1"/>
  </cols>
  <sheetData>
    <row r="1" spans="1:18" x14ac:dyDescent="0.25">
      <c r="A1" s="16" t="s">
        <v>68</v>
      </c>
      <c r="B1" s="16"/>
      <c r="E1" s="16" t="s">
        <v>71</v>
      </c>
      <c r="F1" s="16"/>
      <c r="G1" s="5"/>
      <c r="I1" s="16" t="s">
        <v>72</v>
      </c>
      <c r="J1" s="16"/>
      <c r="M1" s="26" t="s">
        <v>92</v>
      </c>
      <c r="N1" s="26"/>
    </row>
    <row r="2" spans="1:18" x14ac:dyDescent="0.25">
      <c r="E2" s="3" t="s">
        <v>84</v>
      </c>
      <c r="F2" t="s">
        <v>70</v>
      </c>
      <c r="I2" s="3" t="s">
        <v>1</v>
      </c>
      <c r="J2" t="s">
        <v>35</v>
      </c>
      <c r="M2" s="3" t="s">
        <v>1</v>
      </c>
      <c r="N2" t="s">
        <v>91</v>
      </c>
      <c r="Q2" s="3" t="s">
        <v>95</v>
      </c>
      <c r="R2" t="s">
        <v>70</v>
      </c>
    </row>
    <row r="3" spans="1:18" x14ac:dyDescent="0.25">
      <c r="A3" s="3" t="s">
        <v>4</v>
      </c>
      <c r="B3" t="s">
        <v>97</v>
      </c>
      <c r="E3" s="4" t="s">
        <v>54</v>
      </c>
      <c r="F3" s="42">
        <v>2.7862595419847329</v>
      </c>
      <c r="G3" s="6"/>
      <c r="M3" s="4" t="s">
        <v>43</v>
      </c>
      <c r="N3" s="24">
        <v>3493</v>
      </c>
      <c r="Q3" s="4" t="s">
        <v>55</v>
      </c>
      <c r="R3" s="6">
        <v>2.7933333333333334</v>
      </c>
    </row>
    <row r="4" spans="1:18" x14ac:dyDescent="0.25">
      <c r="A4" s="4" t="s">
        <v>45</v>
      </c>
      <c r="B4" s="7">
        <v>0.65374149659863945</v>
      </c>
      <c r="E4" s="4" t="s">
        <v>61</v>
      </c>
      <c r="F4" s="42">
        <v>2.5576923076923075</v>
      </c>
      <c r="G4" s="6"/>
      <c r="I4" s="3" t="s">
        <v>11</v>
      </c>
      <c r="J4" t="s">
        <v>89</v>
      </c>
      <c r="M4" s="4" t="s">
        <v>35</v>
      </c>
      <c r="N4" s="24">
        <v>622</v>
      </c>
      <c r="Q4" s="4" t="s">
        <v>44</v>
      </c>
      <c r="R4" s="6">
        <v>2.7906137184115525</v>
      </c>
    </row>
    <row r="5" spans="1:18" x14ac:dyDescent="0.25">
      <c r="A5" s="4" t="s">
        <v>37</v>
      </c>
      <c r="B5" s="7">
        <v>0.30340136054421768</v>
      </c>
      <c r="E5" s="4" t="s">
        <v>50</v>
      </c>
      <c r="F5" s="42">
        <v>2.6911196911196913</v>
      </c>
      <c r="G5" s="6"/>
      <c r="I5" s="4" t="s">
        <v>39</v>
      </c>
      <c r="J5" s="7">
        <v>0.36708860759493672</v>
      </c>
      <c r="M5" s="4" t="s">
        <v>66</v>
      </c>
      <c r="N5" s="24">
        <v>4115</v>
      </c>
      <c r="Q5" s="4" t="s">
        <v>36</v>
      </c>
      <c r="R5" s="6">
        <v>2.7027804410354745</v>
      </c>
    </row>
    <row r="6" spans="1:18" x14ac:dyDescent="0.25">
      <c r="A6" s="4" t="s">
        <v>61</v>
      </c>
      <c r="B6" s="7">
        <v>4.2857142857142858E-2</v>
      </c>
      <c r="E6" s="4" t="s">
        <v>56</v>
      </c>
      <c r="F6" s="42">
        <v>2.7058823529411766</v>
      </c>
      <c r="G6" s="6"/>
      <c r="I6" s="4" t="s">
        <v>46</v>
      </c>
      <c r="J6" s="7">
        <v>0.63291139240506333</v>
      </c>
      <c r="Q6" s="4" t="s">
        <v>66</v>
      </c>
      <c r="R6" s="6">
        <v>2.7285714285714286</v>
      </c>
    </row>
    <row r="7" spans="1:18" x14ac:dyDescent="0.25">
      <c r="A7" s="4" t="s">
        <v>66</v>
      </c>
      <c r="B7" s="7">
        <v>1</v>
      </c>
      <c r="E7" s="4" t="s">
        <v>53</v>
      </c>
      <c r="F7" s="42">
        <v>2.682758620689655</v>
      </c>
      <c r="G7" s="6"/>
      <c r="I7" s="4" t="s">
        <v>66</v>
      </c>
      <c r="J7" s="7">
        <v>1</v>
      </c>
    </row>
    <row r="8" spans="1:18" x14ac:dyDescent="0.25">
      <c r="E8" s="4" t="s">
        <v>58</v>
      </c>
      <c r="F8" s="42">
        <v>2.7</v>
      </c>
      <c r="G8" s="6"/>
    </row>
    <row r="9" spans="1:18" x14ac:dyDescent="0.25">
      <c r="E9" s="4" t="s">
        <v>47</v>
      </c>
      <c r="F9" s="42">
        <v>2.7739726027397262</v>
      </c>
      <c r="G9" s="6"/>
    </row>
    <row r="10" spans="1:18" x14ac:dyDescent="0.25">
      <c r="E10" s="4" t="s">
        <v>40</v>
      </c>
      <c r="F10" s="42">
        <v>2.7546012269938651</v>
      </c>
      <c r="G10" s="6"/>
    </row>
    <row r="11" spans="1:18" x14ac:dyDescent="0.25">
      <c r="E11" s="4" t="s">
        <v>57</v>
      </c>
      <c r="F11" s="42">
        <v>2.7349397590361444</v>
      </c>
      <c r="G11" s="6"/>
    </row>
    <row r="12" spans="1:18" x14ac:dyDescent="0.25">
      <c r="E12" s="4" t="s">
        <v>66</v>
      </c>
      <c r="F12" s="42">
        <v>2.7285714285714286</v>
      </c>
    </row>
    <row r="16" spans="1:18" x14ac:dyDescent="0.25">
      <c r="F16" s="18"/>
      <c r="G16" s="21"/>
    </row>
    <row r="17" spans="1:18" x14ac:dyDescent="0.25">
      <c r="A17" s="17" t="s">
        <v>87</v>
      </c>
      <c r="B17" s="17"/>
      <c r="E17" s="19" t="s">
        <v>86</v>
      </c>
      <c r="F17" s="20"/>
      <c r="G17" s="22"/>
      <c r="I17" s="26" t="s">
        <v>90</v>
      </c>
      <c r="J17" s="26"/>
      <c r="M17" s="26" t="s">
        <v>94</v>
      </c>
      <c r="N17" s="26"/>
      <c r="Q17" s="26" t="s">
        <v>99</v>
      </c>
      <c r="R17" s="25"/>
    </row>
    <row r="18" spans="1:18" x14ac:dyDescent="0.25">
      <c r="A18" s="3" t="s">
        <v>85</v>
      </c>
      <c r="B18" t="s">
        <v>75</v>
      </c>
      <c r="E18" s="3" t="s">
        <v>83</v>
      </c>
      <c r="F18" t="s">
        <v>67</v>
      </c>
      <c r="G18" s="23"/>
      <c r="H18" s="21"/>
      <c r="I18" s="3" t="s">
        <v>88</v>
      </c>
      <c r="J18" t="s">
        <v>89</v>
      </c>
      <c r="M18" s="3" t="s">
        <v>1</v>
      </c>
      <c r="N18" t="s">
        <v>93</v>
      </c>
      <c r="Q18" s="3" t="s">
        <v>98</v>
      </c>
      <c r="R18" t="s">
        <v>75</v>
      </c>
    </row>
    <row r="19" spans="1:18" x14ac:dyDescent="0.25">
      <c r="A19" s="4">
        <v>3</v>
      </c>
      <c r="B19" s="24">
        <v>1244</v>
      </c>
      <c r="E19" s="4">
        <v>1</v>
      </c>
      <c r="F19" s="7">
        <v>5.6462585034013607E-2</v>
      </c>
      <c r="G19" s="7"/>
      <c r="I19" s="4" t="s">
        <v>52</v>
      </c>
      <c r="J19" s="7">
        <v>0.22244897959183674</v>
      </c>
      <c r="M19" s="4" t="s">
        <v>43</v>
      </c>
      <c r="N19" s="24">
        <v>1042</v>
      </c>
      <c r="Q19" s="4" t="s">
        <v>61</v>
      </c>
      <c r="R19" s="24">
        <v>27</v>
      </c>
    </row>
    <row r="20" spans="1:18" x14ac:dyDescent="0.25">
      <c r="A20" s="4">
        <v>4</v>
      </c>
      <c r="B20" s="24">
        <v>226</v>
      </c>
      <c r="E20" s="4">
        <v>2</v>
      </c>
      <c r="F20" s="7">
        <v>0.25510204081632654</v>
      </c>
      <c r="G20" s="7"/>
      <c r="I20" s="4" t="s">
        <v>48</v>
      </c>
      <c r="J20" s="7">
        <v>0.45782312925170066</v>
      </c>
      <c r="M20" s="4" t="s">
        <v>35</v>
      </c>
      <c r="N20" s="24">
        <v>125</v>
      </c>
      <c r="Q20" s="4" t="s">
        <v>38</v>
      </c>
      <c r="R20" s="24">
        <v>606</v>
      </c>
    </row>
    <row r="21" spans="1:18" x14ac:dyDescent="0.25">
      <c r="A21" s="4" t="s">
        <v>66</v>
      </c>
      <c r="B21" s="24">
        <v>1470</v>
      </c>
      <c r="E21" s="4">
        <v>3</v>
      </c>
      <c r="F21" s="7">
        <v>0.59047619047619049</v>
      </c>
      <c r="G21" s="7"/>
      <c r="I21" s="4" t="s">
        <v>41</v>
      </c>
      <c r="J21" s="7">
        <v>0.31972789115646261</v>
      </c>
      <c r="M21" s="4" t="s">
        <v>66</v>
      </c>
      <c r="N21" s="24">
        <v>1167</v>
      </c>
      <c r="Q21" s="4" t="s">
        <v>59</v>
      </c>
      <c r="R21" s="24">
        <v>159</v>
      </c>
    </row>
    <row r="22" spans="1:18" x14ac:dyDescent="0.25">
      <c r="E22" s="4">
        <v>4</v>
      </c>
      <c r="F22" s="7">
        <v>9.7959183673469383E-2</v>
      </c>
      <c r="G22" s="7"/>
      <c r="I22" s="4" t="s">
        <v>66</v>
      </c>
      <c r="J22" s="7">
        <v>1</v>
      </c>
      <c r="Q22" s="4" t="s">
        <v>51</v>
      </c>
      <c r="R22" s="24">
        <v>464</v>
      </c>
    </row>
    <row r="23" spans="1:18" x14ac:dyDescent="0.25">
      <c r="E23" s="4" t="s">
        <v>66</v>
      </c>
      <c r="F23" s="7">
        <v>1</v>
      </c>
      <c r="G23" s="7"/>
      <c r="Q23" s="4" t="s">
        <v>49</v>
      </c>
      <c r="R23" s="24">
        <v>82</v>
      </c>
    </row>
    <row r="24" spans="1:18" x14ac:dyDescent="0.25">
      <c r="Q24" s="4" t="s">
        <v>60</v>
      </c>
      <c r="R24" s="24">
        <v>132</v>
      </c>
    </row>
    <row r="25" spans="1:18" x14ac:dyDescent="0.25">
      <c r="Q25" s="4" t="s">
        <v>66</v>
      </c>
      <c r="R25" s="24">
        <v>1470</v>
      </c>
    </row>
  </sheetData>
  <mergeCells count="9">
    <mergeCell ref="M1:N1"/>
    <mergeCell ref="M17:N17"/>
    <mergeCell ref="Q17:R17"/>
    <mergeCell ref="A1:B1"/>
    <mergeCell ref="E1:F1"/>
    <mergeCell ref="I1:J1"/>
    <mergeCell ref="E17:F17"/>
    <mergeCell ref="A17:B17"/>
    <mergeCell ref="I17:J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111C-A520-4AB1-B7A4-2956532B8551}">
  <dimension ref="A1"/>
  <sheetViews>
    <sheetView showGridLines="0" tabSelected="1" zoomScale="37" zoomScaleNormal="64" workbookViewId="0">
      <selection activeCell="AA31" sqref="AA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2A09-8819-4B55-9ED7-486052343879}">
  <dimension ref="B1:V1471"/>
  <sheetViews>
    <sheetView topLeftCell="V1" workbookViewId="0">
      <selection activeCell="AE17" sqref="AE17"/>
    </sheetView>
  </sheetViews>
  <sheetFormatPr defaultRowHeight="15" x14ac:dyDescent="0.25"/>
  <cols>
    <col min="1" max="1" width="7.140625" customWidth="1"/>
    <col min="2" max="2" width="21" bestFit="1" customWidth="1"/>
    <col min="3" max="3" width="15.7109375" bestFit="1" customWidth="1"/>
    <col min="4" max="4" width="7.5703125" customWidth="1"/>
    <col min="5" max="5" width="7.140625" customWidth="1"/>
    <col min="6" max="6" width="6.7109375" bestFit="1" customWidth="1"/>
    <col min="7" max="7" width="16.7109375" bestFit="1" customWidth="1"/>
    <col min="8" max="9" width="5.85546875" customWidth="1"/>
    <col min="10" max="10" width="18.42578125" bestFit="1" customWidth="1"/>
    <col min="11" max="11" width="20.5703125" bestFit="1" customWidth="1"/>
    <col min="12" max="12" width="7" customWidth="1"/>
    <col min="13" max="13" width="6.7109375" customWidth="1"/>
    <col min="14" max="14" width="16.28515625" bestFit="1" customWidth="1"/>
    <col min="15" max="15" width="16.7109375" bestFit="1" customWidth="1"/>
    <col min="16" max="16" width="7.28515625" customWidth="1"/>
    <col min="17" max="17" width="26.140625" bestFit="1" customWidth="1"/>
    <col min="18" max="18" width="20.5703125" bestFit="1" customWidth="1"/>
    <col min="19" max="19" width="17.5703125" bestFit="1" customWidth="1"/>
    <col min="21" max="21" width="16.85546875" bestFit="1" customWidth="1"/>
    <col min="22" max="22" width="15.28515625" bestFit="1" customWidth="1"/>
    <col min="25" max="25" width="16.85546875" bestFit="1" customWidth="1"/>
    <col min="26" max="26" width="22.140625" bestFit="1" customWidth="1"/>
  </cols>
  <sheetData>
    <row r="1" spans="2:22" x14ac:dyDescent="0.25">
      <c r="B1" t="s">
        <v>5</v>
      </c>
      <c r="C1" t="s">
        <v>78</v>
      </c>
      <c r="F1" t="s">
        <v>0</v>
      </c>
      <c r="G1" t="s">
        <v>16</v>
      </c>
      <c r="J1" t="s">
        <v>30</v>
      </c>
      <c r="K1" t="s">
        <v>24</v>
      </c>
      <c r="N1" t="s">
        <v>31</v>
      </c>
      <c r="O1" t="s">
        <v>16</v>
      </c>
      <c r="Q1" t="s">
        <v>33</v>
      </c>
      <c r="R1" t="s">
        <v>24</v>
      </c>
      <c r="S1" t="s">
        <v>8</v>
      </c>
      <c r="U1" t="s">
        <v>7</v>
      </c>
      <c r="V1" t="s">
        <v>8</v>
      </c>
    </row>
    <row r="2" spans="2:22" x14ac:dyDescent="0.25">
      <c r="B2">
        <v>1</v>
      </c>
      <c r="C2">
        <f>IF(Adecco_India[[#This Row],[Attrition]]="Yes",1,0)</f>
        <v>1</v>
      </c>
      <c r="F2">
        <v>41</v>
      </c>
      <c r="G2">
        <v>4</v>
      </c>
      <c r="J2">
        <v>1</v>
      </c>
      <c r="K2">
        <v>3</v>
      </c>
      <c r="N2">
        <v>6</v>
      </c>
      <c r="O2">
        <v>4</v>
      </c>
      <c r="Q2">
        <v>0</v>
      </c>
      <c r="R2">
        <v>3</v>
      </c>
      <c r="S2">
        <v>1</v>
      </c>
      <c r="U2" t="s">
        <v>38</v>
      </c>
      <c r="V2">
        <v>1</v>
      </c>
    </row>
    <row r="3" spans="2:22" x14ac:dyDescent="0.25">
      <c r="B3">
        <v>8</v>
      </c>
      <c r="C3">
        <f>IF(Adecco_India[[#This Row],[Attrition]]="Yes",1,0)</f>
        <v>0</v>
      </c>
      <c r="F3">
        <v>49</v>
      </c>
      <c r="G3">
        <v>2</v>
      </c>
      <c r="J3">
        <v>3</v>
      </c>
      <c r="K3">
        <v>4</v>
      </c>
      <c r="N3">
        <v>10</v>
      </c>
      <c r="O3">
        <v>2</v>
      </c>
      <c r="Q3">
        <v>1</v>
      </c>
      <c r="R3">
        <v>4</v>
      </c>
      <c r="S3">
        <v>1</v>
      </c>
      <c r="U3" t="s">
        <v>38</v>
      </c>
      <c r="V3">
        <v>1</v>
      </c>
    </row>
    <row r="4" spans="2:22" x14ac:dyDescent="0.25">
      <c r="B4">
        <v>2</v>
      </c>
      <c r="C4">
        <f>IF(Adecco_India[[#This Row],[Attrition]]="Yes",1,0)</f>
        <v>1</v>
      </c>
      <c r="F4">
        <v>37</v>
      </c>
      <c r="G4">
        <v>3</v>
      </c>
      <c r="J4">
        <v>3</v>
      </c>
      <c r="K4">
        <v>3</v>
      </c>
      <c r="N4">
        <v>0</v>
      </c>
      <c r="O4">
        <v>3</v>
      </c>
      <c r="Q4">
        <v>0</v>
      </c>
      <c r="R4">
        <v>3</v>
      </c>
      <c r="S4">
        <v>1</v>
      </c>
      <c r="U4" t="s">
        <v>49</v>
      </c>
      <c r="V4">
        <v>1</v>
      </c>
    </row>
    <row r="5" spans="2:22" x14ac:dyDescent="0.25">
      <c r="B5">
        <v>3</v>
      </c>
      <c r="C5">
        <f>IF(Adecco_India[[#This Row],[Attrition]]="Yes",1,0)</f>
        <v>0</v>
      </c>
      <c r="F5">
        <v>33</v>
      </c>
      <c r="G5">
        <v>3</v>
      </c>
      <c r="J5">
        <v>3</v>
      </c>
      <c r="K5">
        <v>3</v>
      </c>
      <c r="N5">
        <v>8</v>
      </c>
      <c r="O5">
        <v>3</v>
      </c>
      <c r="Q5">
        <v>3</v>
      </c>
      <c r="R5">
        <v>3</v>
      </c>
      <c r="S5">
        <v>1</v>
      </c>
      <c r="U5" t="s">
        <v>38</v>
      </c>
      <c r="V5">
        <v>1</v>
      </c>
    </row>
    <row r="6" spans="2:22" x14ac:dyDescent="0.25">
      <c r="B6">
        <v>2</v>
      </c>
      <c r="C6">
        <f>IF(Adecco_India[[#This Row],[Attrition]]="Yes",1,0)</f>
        <v>0</v>
      </c>
      <c r="F6">
        <v>27</v>
      </c>
      <c r="G6">
        <v>2</v>
      </c>
      <c r="J6">
        <v>3</v>
      </c>
      <c r="K6">
        <v>3</v>
      </c>
      <c r="N6">
        <v>2</v>
      </c>
      <c r="O6">
        <v>2</v>
      </c>
      <c r="Q6">
        <v>2</v>
      </c>
      <c r="R6">
        <v>3</v>
      </c>
      <c r="S6">
        <v>1</v>
      </c>
      <c r="U6" t="s">
        <v>51</v>
      </c>
      <c r="V6">
        <v>1</v>
      </c>
    </row>
    <row r="7" spans="2:22" x14ac:dyDescent="0.25">
      <c r="B7">
        <v>2</v>
      </c>
      <c r="C7">
        <f>IF(Adecco_India[[#This Row],[Attrition]]="Yes",1,0)</f>
        <v>0</v>
      </c>
      <c r="F7">
        <v>32</v>
      </c>
      <c r="G7">
        <v>4</v>
      </c>
      <c r="J7">
        <v>2</v>
      </c>
      <c r="K7">
        <v>3</v>
      </c>
      <c r="N7">
        <v>7</v>
      </c>
      <c r="O7">
        <v>4</v>
      </c>
      <c r="Q7">
        <v>3</v>
      </c>
      <c r="R7">
        <v>3</v>
      </c>
      <c r="S7">
        <v>1</v>
      </c>
      <c r="U7" t="s">
        <v>38</v>
      </c>
      <c r="V7">
        <v>1</v>
      </c>
    </row>
    <row r="8" spans="2:22" x14ac:dyDescent="0.25">
      <c r="B8">
        <v>3</v>
      </c>
      <c r="C8">
        <f>IF(Adecco_India[[#This Row],[Attrition]]="Yes",1,0)</f>
        <v>0</v>
      </c>
      <c r="F8">
        <v>59</v>
      </c>
      <c r="G8">
        <v>1</v>
      </c>
      <c r="J8">
        <v>2</v>
      </c>
      <c r="K8">
        <v>4</v>
      </c>
      <c r="N8">
        <v>1</v>
      </c>
      <c r="O8">
        <v>1</v>
      </c>
      <c r="Q8">
        <v>0</v>
      </c>
      <c r="R8">
        <v>4</v>
      </c>
      <c r="S8">
        <v>1</v>
      </c>
      <c r="U8" t="s">
        <v>51</v>
      </c>
      <c r="V8">
        <v>1</v>
      </c>
    </row>
    <row r="9" spans="2:22" x14ac:dyDescent="0.25">
      <c r="B9">
        <v>24</v>
      </c>
      <c r="C9">
        <f>IF(Adecco_India[[#This Row],[Attrition]]="Yes",1,0)</f>
        <v>0</v>
      </c>
      <c r="F9">
        <v>30</v>
      </c>
      <c r="G9">
        <v>3</v>
      </c>
      <c r="J9">
        <v>3</v>
      </c>
      <c r="K9">
        <v>4</v>
      </c>
      <c r="N9">
        <v>1</v>
      </c>
      <c r="O9">
        <v>3</v>
      </c>
      <c r="Q9">
        <v>0</v>
      </c>
      <c r="R9">
        <v>4</v>
      </c>
      <c r="S9">
        <v>1</v>
      </c>
      <c r="U9" t="s">
        <v>38</v>
      </c>
      <c r="V9">
        <v>1</v>
      </c>
    </row>
    <row r="10" spans="2:22" x14ac:dyDescent="0.25">
      <c r="B10">
        <v>23</v>
      </c>
      <c r="C10">
        <f>IF(Adecco_India[[#This Row],[Attrition]]="Yes",1,0)</f>
        <v>0</v>
      </c>
      <c r="F10">
        <v>38</v>
      </c>
      <c r="G10">
        <v>3</v>
      </c>
      <c r="J10">
        <v>3</v>
      </c>
      <c r="K10">
        <v>4</v>
      </c>
      <c r="N10">
        <v>9</v>
      </c>
      <c r="O10">
        <v>3</v>
      </c>
      <c r="Q10">
        <v>1</v>
      </c>
      <c r="R10">
        <v>4</v>
      </c>
      <c r="S10">
        <v>1</v>
      </c>
      <c r="U10" t="s">
        <v>38</v>
      </c>
      <c r="V10">
        <v>1</v>
      </c>
    </row>
    <row r="11" spans="2:22" x14ac:dyDescent="0.25">
      <c r="B11">
        <v>27</v>
      </c>
      <c r="C11">
        <f>IF(Adecco_India[[#This Row],[Attrition]]="Yes",1,0)</f>
        <v>0</v>
      </c>
      <c r="F11">
        <v>36</v>
      </c>
      <c r="G11">
        <v>3</v>
      </c>
      <c r="J11">
        <v>2</v>
      </c>
      <c r="K11">
        <v>3</v>
      </c>
      <c r="N11">
        <v>7</v>
      </c>
      <c r="O11">
        <v>3</v>
      </c>
      <c r="Q11">
        <v>7</v>
      </c>
      <c r="R11">
        <v>3</v>
      </c>
      <c r="S11">
        <v>1</v>
      </c>
      <c r="U11" t="s">
        <v>51</v>
      </c>
      <c r="V11">
        <v>1</v>
      </c>
    </row>
    <row r="12" spans="2:22" x14ac:dyDescent="0.25">
      <c r="B12">
        <v>16</v>
      </c>
      <c r="C12">
        <f>IF(Adecco_India[[#This Row],[Attrition]]="Yes",1,0)</f>
        <v>0</v>
      </c>
      <c r="F12">
        <v>35</v>
      </c>
      <c r="G12">
        <v>2</v>
      </c>
      <c r="J12">
        <v>3</v>
      </c>
      <c r="K12">
        <v>3</v>
      </c>
      <c r="N12">
        <v>5</v>
      </c>
      <c r="O12">
        <v>2</v>
      </c>
      <c r="Q12">
        <v>0</v>
      </c>
      <c r="R12">
        <v>3</v>
      </c>
      <c r="S12">
        <v>1</v>
      </c>
      <c r="U12" t="s">
        <v>51</v>
      </c>
      <c r="V12">
        <v>1</v>
      </c>
    </row>
    <row r="13" spans="2:22" x14ac:dyDescent="0.25">
      <c r="B13">
        <v>15</v>
      </c>
      <c r="C13">
        <f>IF(Adecco_India[[#This Row],[Attrition]]="Yes",1,0)</f>
        <v>0</v>
      </c>
      <c r="F13">
        <v>29</v>
      </c>
      <c r="G13">
        <v>3</v>
      </c>
      <c r="J13">
        <v>3</v>
      </c>
      <c r="K13">
        <v>3</v>
      </c>
      <c r="N13">
        <v>9</v>
      </c>
      <c r="O13">
        <v>3</v>
      </c>
      <c r="Q13">
        <v>0</v>
      </c>
      <c r="R13">
        <v>3</v>
      </c>
      <c r="S13">
        <v>1</v>
      </c>
      <c r="U13" t="s">
        <v>38</v>
      </c>
      <c r="V13">
        <v>1</v>
      </c>
    </row>
    <row r="14" spans="2:22" x14ac:dyDescent="0.25">
      <c r="B14">
        <v>26</v>
      </c>
      <c r="C14">
        <f>IF(Adecco_India[[#This Row],[Attrition]]="Yes",1,0)</f>
        <v>0</v>
      </c>
      <c r="F14">
        <v>31</v>
      </c>
      <c r="G14">
        <v>3</v>
      </c>
      <c r="J14">
        <v>2</v>
      </c>
      <c r="K14">
        <v>3</v>
      </c>
      <c r="N14">
        <v>5</v>
      </c>
      <c r="O14">
        <v>3</v>
      </c>
      <c r="Q14">
        <v>4</v>
      </c>
      <c r="R14">
        <v>3</v>
      </c>
      <c r="S14">
        <v>1</v>
      </c>
      <c r="U14" t="s">
        <v>38</v>
      </c>
      <c r="V14">
        <v>1</v>
      </c>
    </row>
    <row r="15" spans="2:22" x14ac:dyDescent="0.25">
      <c r="B15">
        <v>19</v>
      </c>
      <c r="C15">
        <f>IF(Adecco_India[[#This Row],[Attrition]]="Yes",1,0)</f>
        <v>0</v>
      </c>
      <c r="F15">
        <v>34</v>
      </c>
      <c r="G15">
        <v>4</v>
      </c>
      <c r="J15">
        <v>3</v>
      </c>
      <c r="K15">
        <v>3</v>
      </c>
      <c r="N15">
        <v>2</v>
      </c>
      <c r="O15">
        <v>4</v>
      </c>
      <c r="Q15">
        <v>1</v>
      </c>
      <c r="R15">
        <v>3</v>
      </c>
      <c r="S15">
        <v>1</v>
      </c>
      <c r="U15" t="s">
        <v>51</v>
      </c>
      <c r="V15">
        <v>1</v>
      </c>
    </row>
    <row r="16" spans="2:22" x14ac:dyDescent="0.25">
      <c r="B16">
        <v>24</v>
      </c>
      <c r="C16">
        <f>IF(Adecco_India[[#This Row],[Attrition]]="Yes",1,0)</f>
        <v>1</v>
      </c>
      <c r="F16">
        <v>28</v>
      </c>
      <c r="G16">
        <v>3</v>
      </c>
      <c r="J16">
        <v>3</v>
      </c>
      <c r="K16">
        <v>3</v>
      </c>
      <c r="N16">
        <v>4</v>
      </c>
      <c r="O16">
        <v>3</v>
      </c>
      <c r="Q16">
        <v>0</v>
      </c>
      <c r="R16">
        <v>3</v>
      </c>
      <c r="S16">
        <v>1</v>
      </c>
      <c r="U16" t="s">
        <v>38</v>
      </c>
      <c r="V16">
        <v>1</v>
      </c>
    </row>
    <row r="17" spans="2:22" x14ac:dyDescent="0.25">
      <c r="B17">
        <v>21</v>
      </c>
      <c r="C17">
        <f>IF(Adecco_India[[#This Row],[Attrition]]="Yes",1,0)</f>
        <v>0</v>
      </c>
      <c r="F17">
        <v>29</v>
      </c>
      <c r="G17">
        <v>1</v>
      </c>
      <c r="J17">
        <v>3</v>
      </c>
      <c r="K17">
        <v>3</v>
      </c>
      <c r="N17">
        <v>10</v>
      </c>
      <c r="O17">
        <v>1</v>
      </c>
      <c r="Q17">
        <v>8</v>
      </c>
      <c r="R17">
        <v>3</v>
      </c>
      <c r="S17">
        <v>1</v>
      </c>
      <c r="U17" t="s">
        <v>38</v>
      </c>
      <c r="V17">
        <v>1</v>
      </c>
    </row>
    <row r="18" spans="2:22" x14ac:dyDescent="0.25">
      <c r="B18">
        <v>5</v>
      </c>
      <c r="C18">
        <f>IF(Adecco_India[[#This Row],[Attrition]]="Yes",1,0)</f>
        <v>0</v>
      </c>
      <c r="F18">
        <v>32</v>
      </c>
      <c r="G18">
        <v>2</v>
      </c>
      <c r="J18">
        <v>2</v>
      </c>
      <c r="K18">
        <v>3</v>
      </c>
      <c r="N18">
        <v>6</v>
      </c>
      <c r="O18">
        <v>2</v>
      </c>
      <c r="Q18">
        <v>0</v>
      </c>
      <c r="R18">
        <v>3</v>
      </c>
      <c r="S18">
        <v>1</v>
      </c>
      <c r="U18" t="s">
        <v>38</v>
      </c>
      <c r="V18">
        <v>1</v>
      </c>
    </row>
    <row r="19" spans="2:22" x14ac:dyDescent="0.25">
      <c r="B19">
        <v>16</v>
      </c>
      <c r="C19">
        <f>IF(Adecco_India[[#This Row],[Attrition]]="Yes",1,0)</f>
        <v>0</v>
      </c>
      <c r="F19">
        <v>22</v>
      </c>
      <c r="G19">
        <v>4</v>
      </c>
      <c r="J19">
        <v>2</v>
      </c>
      <c r="K19">
        <v>3</v>
      </c>
      <c r="N19">
        <v>1</v>
      </c>
      <c r="O19">
        <v>4</v>
      </c>
      <c r="Q19">
        <v>0</v>
      </c>
      <c r="R19">
        <v>3</v>
      </c>
      <c r="S19">
        <v>1</v>
      </c>
      <c r="U19" t="s">
        <v>51</v>
      </c>
      <c r="V19">
        <v>1</v>
      </c>
    </row>
    <row r="20" spans="2:22" x14ac:dyDescent="0.25">
      <c r="B20">
        <v>2</v>
      </c>
      <c r="C20">
        <f>IF(Adecco_India[[#This Row],[Attrition]]="Yes",1,0)</f>
        <v>0</v>
      </c>
      <c r="F20">
        <v>53</v>
      </c>
      <c r="G20">
        <v>4</v>
      </c>
      <c r="J20">
        <v>3</v>
      </c>
      <c r="K20">
        <v>3</v>
      </c>
      <c r="N20">
        <v>25</v>
      </c>
      <c r="O20">
        <v>4</v>
      </c>
      <c r="Q20">
        <v>3</v>
      </c>
      <c r="R20">
        <v>3</v>
      </c>
      <c r="S20">
        <v>1</v>
      </c>
      <c r="U20" t="s">
        <v>38</v>
      </c>
      <c r="V20">
        <v>1</v>
      </c>
    </row>
    <row r="21" spans="2:22" x14ac:dyDescent="0.25">
      <c r="B21">
        <v>2</v>
      </c>
      <c r="C21">
        <f>IF(Adecco_India[[#This Row],[Attrition]]="Yes",1,0)</f>
        <v>0</v>
      </c>
      <c r="F21">
        <v>38</v>
      </c>
      <c r="G21">
        <v>4</v>
      </c>
      <c r="J21">
        <v>3</v>
      </c>
      <c r="K21">
        <v>3</v>
      </c>
      <c r="N21">
        <v>3</v>
      </c>
      <c r="O21">
        <v>4</v>
      </c>
      <c r="Q21">
        <v>1</v>
      </c>
      <c r="R21">
        <v>3</v>
      </c>
      <c r="S21">
        <v>1</v>
      </c>
      <c r="U21" t="s">
        <v>38</v>
      </c>
      <c r="V21">
        <v>1</v>
      </c>
    </row>
    <row r="22" spans="2:22" x14ac:dyDescent="0.25">
      <c r="B22">
        <v>11</v>
      </c>
      <c r="C22">
        <f>IF(Adecco_India[[#This Row],[Attrition]]="Yes",1,0)</f>
        <v>0</v>
      </c>
      <c r="F22">
        <v>24</v>
      </c>
      <c r="G22">
        <v>3</v>
      </c>
      <c r="J22">
        <v>2</v>
      </c>
      <c r="K22">
        <v>3</v>
      </c>
      <c r="N22">
        <v>4</v>
      </c>
      <c r="O22">
        <v>3</v>
      </c>
      <c r="Q22">
        <v>1</v>
      </c>
      <c r="R22">
        <v>3</v>
      </c>
      <c r="S22">
        <v>1</v>
      </c>
      <c r="U22" t="s">
        <v>49</v>
      </c>
      <c r="V22">
        <v>1</v>
      </c>
    </row>
    <row r="23" spans="2:22" x14ac:dyDescent="0.25">
      <c r="B23">
        <v>9</v>
      </c>
      <c r="C23">
        <f>IF(Adecco_India[[#This Row],[Attrition]]="Yes",1,0)</f>
        <v>1</v>
      </c>
      <c r="F23">
        <v>36</v>
      </c>
      <c r="G23">
        <v>1</v>
      </c>
      <c r="J23">
        <v>3</v>
      </c>
      <c r="K23">
        <v>4</v>
      </c>
      <c r="N23">
        <v>5</v>
      </c>
      <c r="O23">
        <v>1</v>
      </c>
      <c r="Q23">
        <v>0</v>
      </c>
      <c r="R23">
        <v>4</v>
      </c>
      <c r="S23">
        <v>1</v>
      </c>
      <c r="U23" t="s">
        <v>38</v>
      </c>
      <c r="V23">
        <v>1</v>
      </c>
    </row>
    <row r="24" spans="2:22" x14ac:dyDescent="0.25">
      <c r="B24">
        <v>7</v>
      </c>
      <c r="C24">
        <f>IF(Adecco_India[[#This Row],[Attrition]]="Yes",1,0)</f>
        <v>0</v>
      </c>
      <c r="F24">
        <v>34</v>
      </c>
      <c r="G24">
        <v>2</v>
      </c>
      <c r="J24">
        <v>3</v>
      </c>
      <c r="K24">
        <v>3</v>
      </c>
      <c r="N24">
        <v>12</v>
      </c>
      <c r="O24">
        <v>2</v>
      </c>
      <c r="Q24">
        <v>2</v>
      </c>
      <c r="R24">
        <v>3</v>
      </c>
      <c r="S24">
        <v>1</v>
      </c>
      <c r="U24" t="s">
        <v>38</v>
      </c>
      <c r="V24">
        <v>1</v>
      </c>
    </row>
    <row r="25" spans="2:22" x14ac:dyDescent="0.25">
      <c r="B25">
        <v>15</v>
      </c>
      <c r="C25">
        <f>IF(Adecco_India[[#This Row],[Attrition]]="Yes",1,0)</f>
        <v>0</v>
      </c>
      <c r="F25">
        <v>21</v>
      </c>
      <c r="G25">
        <v>4</v>
      </c>
      <c r="J25">
        <v>3</v>
      </c>
      <c r="K25">
        <v>3</v>
      </c>
      <c r="N25">
        <v>0</v>
      </c>
      <c r="O25">
        <v>4</v>
      </c>
      <c r="Q25">
        <v>0</v>
      </c>
      <c r="R25">
        <v>3</v>
      </c>
      <c r="S25">
        <v>1</v>
      </c>
      <c r="U25" t="s">
        <v>38</v>
      </c>
      <c r="V25">
        <v>1</v>
      </c>
    </row>
    <row r="26" spans="2:22" x14ac:dyDescent="0.25">
      <c r="B26">
        <v>6</v>
      </c>
      <c r="C26">
        <f>IF(Adecco_India[[#This Row],[Attrition]]="Yes",1,0)</f>
        <v>1</v>
      </c>
      <c r="F26">
        <v>34</v>
      </c>
      <c r="G26">
        <v>1</v>
      </c>
      <c r="J26">
        <v>3</v>
      </c>
      <c r="K26">
        <v>3</v>
      </c>
      <c r="N26">
        <v>4</v>
      </c>
      <c r="O26">
        <v>1</v>
      </c>
      <c r="Q26">
        <v>1</v>
      </c>
      <c r="R26">
        <v>3</v>
      </c>
      <c r="S26">
        <v>1</v>
      </c>
      <c r="U26" t="s">
        <v>51</v>
      </c>
      <c r="V26">
        <v>1</v>
      </c>
    </row>
    <row r="27" spans="2:22" x14ac:dyDescent="0.25">
      <c r="B27">
        <v>5</v>
      </c>
      <c r="C27">
        <f>IF(Adecco_India[[#This Row],[Attrition]]="Yes",1,0)</f>
        <v>0</v>
      </c>
      <c r="F27">
        <v>53</v>
      </c>
      <c r="G27">
        <v>3</v>
      </c>
      <c r="J27">
        <v>2</v>
      </c>
      <c r="K27">
        <v>3</v>
      </c>
      <c r="N27">
        <v>14</v>
      </c>
      <c r="O27">
        <v>3</v>
      </c>
      <c r="Q27">
        <v>4</v>
      </c>
      <c r="R27">
        <v>3</v>
      </c>
      <c r="S27">
        <v>1</v>
      </c>
      <c r="U27" t="s">
        <v>49</v>
      </c>
      <c r="V27">
        <v>1</v>
      </c>
    </row>
    <row r="28" spans="2:22" x14ac:dyDescent="0.25">
      <c r="B28">
        <v>16</v>
      </c>
      <c r="C28">
        <f>IF(Adecco_India[[#This Row],[Attrition]]="Yes",1,0)</f>
        <v>1</v>
      </c>
      <c r="F28">
        <v>32</v>
      </c>
      <c r="G28">
        <v>1</v>
      </c>
      <c r="J28">
        <v>3</v>
      </c>
      <c r="K28">
        <v>4</v>
      </c>
      <c r="N28">
        <v>10</v>
      </c>
      <c r="O28">
        <v>1</v>
      </c>
      <c r="Q28">
        <v>6</v>
      </c>
      <c r="R28">
        <v>4</v>
      </c>
      <c r="S28">
        <v>1</v>
      </c>
      <c r="U28" t="s">
        <v>38</v>
      </c>
      <c r="V28">
        <v>1</v>
      </c>
    </row>
    <row r="29" spans="2:22" x14ac:dyDescent="0.25">
      <c r="B29">
        <v>8</v>
      </c>
      <c r="C29">
        <f>IF(Adecco_India[[#This Row],[Attrition]]="Yes",1,0)</f>
        <v>0</v>
      </c>
      <c r="F29">
        <v>42</v>
      </c>
      <c r="G29">
        <v>2</v>
      </c>
      <c r="J29">
        <v>3</v>
      </c>
      <c r="K29">
        <v>3</v>
      </c>
      <c r="N29">
        <v>9</v>
      </c>
      <c r="O29">
        <v>2</v>
      </c>
      <c r="Q29">
        <v>4</v>
      </c>
      <c r="R29">
        <v>3</v>
      </c>
      <c r="S29">
        <v>1</v>
      </c>
      <c r="U29" t="s">
        <v>59</v>
      </c>
      <c r="V29">
        <v>1</v>
      </c>
    </row>
    <row r="30" spans="2:22" x14ac:dyDescent="0.25">
      <c r="B30">
        <v>7</v>
      </c>
      <c r="C30">
        <f>IF(Adecco_India[[#This Row],[Attrition]]="Yes",1,0)</f>
        <v>0</v>
      </c>
      <c r="F30">
        <v>44</v>
      </c>
      <c r="G30">
        <v>4</v>
      </c>
      <c r="J30">
        <v>3</v>
      </c>
      <c r="K30">
        <v>3</v>
      </c>
      <c r="N30">
        <v>22</v>
      </c>
      <c r="O30">
        <v>4</v>
      </c>
      <c r="Q30">
        <v>5</v>
      </c>
      <c r="R30">
        <v>3</v>
      </c>
      <c r="S30">
        <v>1</v>
      </c>
      <c r="U30" t="s">
        <v>51</v>
      </c>
      <c r="V30">
        <v>1</v>
      </c>
    </row>
    <row r="31" spans="2:22" x14ac:dyDescent="0.25">
      <c r="B31">
        <v>2</v>
      </c>
      <c r="C31">
        <f>IF(Adecco_India[[#This Row],[Attrition]]="Yes",1,0)</f>
        <v>0</v>
      </c>
      <c r="F31">
        <v>46</v>
      </c>
      <c r="G31">
        <v>1</v>
      </c>
      <c r="J31">
        <v>2</v>
      </c>
      <c r="K31">
        <v>3</v>
      </c>
      <c r="N31">
        <v>2</v>
      </c>
      <c r="O31">
        <v>1</v>
      </c>
      <c r="Q31">
        <v>2</v>
      </c>
      <c r="R31">
        <v>3</v>
      </c>
      <c r="S31">
        <v>1</v>
      </c>
      <c r="U31" t="s">
        <v>59</v>
      </c>
      <c r="V31">
        <v>1</v>
      </c>
    </row>
    <row r="32" spans="2:22" x14ac:dyDescent="0.25">
      <c r="B32">
        <v>2</v>
      </c>
      <c r="C32">
        <f>IF(Adecco_India[[#This Row],[Attrition]]="Yes",1,0)</f>
        <v>0</v>
      </c>
      <c r="F32">
        <v>33</v>
      </c>
      <c r="G32">
        <v>4</v>
      </c>
      <c r="J32">
        <v>3</v>
      </c>
      <c r="K32">
        <v>3</v>
      </c>
      <c r="N32">
        <v>1</v>
      </c>
      <c r="O32">
        <v>4</v>
      </c>
      <c r="Q32">
        <v>0</v>
      </c>
      <c r="R32">
        <v>3</v>
      </c>
      <c r="S32">
        <v>1</v>
      </c>
      <c r="U32" t="s">
        <v>51</v>
      </c>
      <c r="V32">
        <v>1</v>
      </c>
    </row>
    <row r="33" spans="2:22" x14ac:dyDescent="0.25">
      <c r="B33">
        <v>10</v>
      </c>
      <c r="C33">
        <f>IF(Adecco_India[[#This Row],[Attrition]]="Yes",1,0)</f>
        <v>0</v>
      </c>
      <c r="F33">
        <v>44</v>
      </c>
      <c r="G33">
        <v>4</v>
      </c>
      <c r="J33">
        <v>4</v>
      </c>
      <c r="K33">
        <v>3</v>
      </c>
      <c r="N33">
        <v>4</v>
      </c>
      <c r="O33">
        <v>4</v>
      </c>
      <c r="Q33">
        <v>1</v>
      </c>
      <c r="R33">
        <v>3</v>
      </c>
      <c r="S33">
        <v>1</v>
      </c>
      <c r="U33" t="s">
        <v>49</v>
      </c>
      <c r="V33">
        <v>1</v>
      </c>
    </row>
    <row r="34" spans="2:22" x14ac:dyDescent="0.25">
      <c r="B34">
        <v>9</v>
      </c>
      <c r="C34">
        <f>IF(Adecco_India[[#This Row],[Attrition]]="Yes",1,0)</f>
        <v>0</v>
      </c>
      <c r="F34">
        <v>30</v>
      </c>
      <c r="G34">
        <v>3</v>
      </c>
      <c r="J34">
        <v>3</v>
      </c>
      <c r="K34">
        <v>3</v>
      </c>
      <c r="N34">
        <v>10</v>
      </c>
      <c r="O34">
        <v>3</v>
      </c>
      <c r="Q34">
        <v>1</v>
      </c>
      <c r="R34">
        <v>3</v>
      </c>
      <c r="S34">
        <v>1</v>
      </c>
      <c r="U34" t="s">
        <v>51</v>
      </c>
      <c r="V34">
        <v>1</v>
      </c>
    </row>
    <row r="35" spans="2:22" x14ac:dyDescent="0.25">
      <c r="B35">
        <v>5</v>
      </c>
      <c r="C35">
        <f>IF(Adecco_India[[#This Row],[Attrition]]="Yes",1,0)</f>
        <v>1</v>
      </c>
      <c r="F35">
        <v>39</v>
      </c>
      <c r="G35">
        <v>4</v>
      </c>
      <c r="J35">
        <v>4</v>
      </c>
      <c r="K35">
        <v>3</v>
      </c>
      <c r="N35">
        <v>1</v>
      </c>
      <c r="O35">
        <v>4</v>
      </c>
      <c r="Q35">
        <v>0</v>
      </c>
      <c r="R35">
        <v>3</v>
      </c>
      <c r="S35">
        <v>1</v>
      </c>
      <c r="U35" t="s">
        <v>60</v>
      </c>
      <c r="V35">
        <v>1</v>
      </c>
    </row>
    <row r="36" spans="2:22" x14ac:dyDescent="0.25">
      <c r="B36">
        <v>1</v>
      </c>
      <c r="C36">
        <f>IF(Adecco_India[[#This Row],[Attrition]]="Yes",1,0)</f>
        <v>1</v>
      </c>
      <c r="F36">
        <v>24</v>
      </c>
      <c r="G36">
        <v>4</v>
      </c>
      <c r="J36">
        <v>2</v>
      </c>
      <c r="K36">
        <v>3</v>
      </c>
      <c r="N36">
        <v>2</v>
      </c>
      <c r="O36">
        <v>4</v>
      </c>
      <c r="Q36">
        <v>2</v>
      </c>
      <c r="R36">
        <v>3</v>
      </c>
      <c r="S36">
        <v>1</v>
      </c>
      <c r="U36" t="s">
        <v>51</v>
      </c>
      <c r="V36">
        <v>1</v>
      </c>
    </row>
    <row r="37" spans="2:22" x14ac:dyDescent="0.25">
      <c r="B37">
        <v>2</v>
      </c>
      <c r="C37">
        <f>IF(Adecco_India[[#This Row],[Attrition]]="Yes",1,0)</f>
        <v>0</v>
      </c>
      <c r="F37">
        <v>43</v>
      </c>
      <c r="G37">
        <v>3</v>
      </c>
      <c r="J37">
        <v>2</v>
      </c>
      <c r="K37">
        <v>3</v>
      </c>
      <c r="N37">
        <v>5</v>
      </c>
      <c r="O37">
        <v>3</v>
      </c>
      <c r="Q37">
        <v>1</v>
      </c>
      <c r="R37">
        <v>3</v>
      </c>
      <c r="S37">
        <v>1</v>
      </c>
      <c r="U37" t="s">
        <v>51</v>
      </c>
      <c r="V37">
        <v>1</v>
      </c>
    </row>
    <row r="38" spans="2:22" x14ac:dyDescent="0.25">
      <c r="B38">
        <v>3</v>
      </c>
      <c r="C38">
        <f>IF(Adecco_India[[#This Row],[Attrition]]="Yes",1,0)</f>
        <v>1</v>
      </c>
      <c r="F38">
        <v>50</v>
      </c>
      <c r="G38">
        <v>3</v>
      </c>
      <c r="J38">
        <v>3</v>
      </c>
      <c r="K38">
        <v>3</v>
      </c>
      <c r="N38">
        <v>3</v>
      </c>
      <c r="O38">
        <v>3</v>
      </c>
      <c r="Q38">
        <v>0</v>
      </c>
      <c r="R38">
        <v>3</v>
      </c>
      <c r="S38">
        <v>1</v>
      </c>
      <c r="U38" t="s">
        <v>59</v>
      </c>
      <c r="V38">
        <v>1</v>
      </c>
    </row>
    <row r="39" spans="2:22" x14ac:dyDescent="0.25">
      <c r="B39">
        <v>2</v>
      </c>
      <c r="C39">
        <f>IF(Adecco_India[[#This Row],[Attrition]]="Yes",1,0)</f>
        <v>0</v>
      </c>
      <c r="F39">
        <v>35</v>
      </c>
      <c r="G39">
        <v>4</v>
      </c>
      <c r="J39">
        <v>3</v>
      </c>
      <c r="K39">
        <v>3</v>
      </c>
      <c r="N39">
        <v>2</v>
      </c>
      <c r="O39">
        <v>4</v>
      </c>
      <c r="Q39">
        <v>2</v>
      </c>
      <c r="R39">
        <v>3</v>
      </c>
      <c r="S39">
        <v>1</v>
      </c>
      <c r="U39" t="s">
        <v>59</v>
      </c>
      <c r="V39">
        <v>1</v>
      </c>
    </row>
    <row r="40" spans="2:22" x14ac:dyDescent="0.25">
      <c r="B40">
        <v>5</v>
      </c>
      <c r="C40">
        <f>IF(Adecco_India[[#This Row],[Attrition]]="Yes",1,0)</f>
        <v>0</v>
      </c>
      <c r="F40">
        <v>36</v>
      </c>
      <c r="G40">
        <v>1</v>
      </c>
      <c r="J40">
        <v>4</v>
      </c>
      <c r="K40">
        <v>3</v>
      </c>
      <c r="N40">
        <v>1</v>
      </c>
      <c r="O40">
        <v>1</v>
      </c>
      <c r="Q40">
        <v>0</v>
      </c>
      <c r="R40">
        <v>3</v>
      </c>
      <c r="S40">
        <v>1</v>
      </c>
      <c r="U40" t="s">
        <v>38</v>
      </c>
      <c r="V40">
        <v>1</v>
      </c>
    </row>
    <row r="41" spans="2:22" x14ac:dyDescent="0.25">
      <c r="B41">
        <v>1</v>
      </c>
      <c r="C41">
        <f>IF(Adecco_India[[#This Row],[Attrition]]="Yes",1,0)</f>
        <v>0</v>
      </c>
      <c r="F41">
        <v>33</v>
      </c>
      <c r="G41">
        <v>1</v>
      </c>
      <c r="J41">
        <v>3</v>
      </c>
      <c r="K41">
        <v>3</v>
      </c>
      <c r="N41">
        <v>5</v>
      </c>
      <c r="O41">
        <v>1</v>
      </c>
      <c r="Q41">
        <v>1</v>
      </c>
      <c r="R41">
        <v>3</v>
      </c>
      <c r="S41">
        <v>1</v>
      </c>
      <c r="U41" t="s">
        <v>38</v>
      </c>
      <c r="V41">
        <v>1</v>
      </c>
    </row>
    <row r="42" spans="2:22" x14ac:dyDescent="0.25">
      <c r="B42">
        <v>4</v>
      </c>
      <c r="C42">
        <f>IF(Adecco_India[[#This Row],[Attrition]]="Yes",1,0)</f>
        <v>0</v>
      </c>
      <c r="F42">
        <v>35</v>
      </c>
      <c r="G42">
        <v>4</v>
      </c>
      <c r="J42">
        <v>3</v>
      </c>
      <c r="K42">
        <v>3</v>
      </c>
      <c r="N42">
        <v>1</v>
      </c>
      <c r="O42">
        <v>4</v>
      </c>
      <c r="Q42">
        <v>0</v>
      </c>
      <c r="R42">
        <v>3</v>
      </c>
      <c r="S42">
        <v>1</v>
      </c>
      <c r="U42" t="s">
        <v>49</v>
      </c>
      <c r="V42">
        <v>1</v>
      </c>
    </row>
    <row r="43" spans="2:22" x14ac:dyDescent="0.25">
      <c r="B43">
        <v>2</v>
      </c>
      <c r="C43">
        <f>IF(Adecco_India[[#This Row],[Attrition]]="Yes",1,0)</f>
        <v>0</v>
      </c>
      <c r="F43">
        <v>27</v>
      </c>
      <c r="G43">
        <v>1</v>
      </c>
      <c r="J43">
        <v>3</v>
      </c>
      <c r="K43">
        <v>3</v>
      </c>
      <c r="N43">
        <v>1</v>
      </c>
      <c r="O43">
        <v>1</v>
      </c>
      <c r="Q43">
        <v>0</v>
      </c>
      <c r="R43">
        <v>3</v>
      </c>
      <c r="S43">
        <v>1</v>
      </c>
      <c r="U43" t="s">
        <v>38</v>
      </c>
      <c r="V43">
        <v>1</v>
      </c>
    </row>
    <row r="44" spans="2:22" x14ac:dyDescent="0.25">
      <c r="B44">
        <v>25</v>
      </c>
      <c r="C44">
        <f>IF(Adecco_India[[#This Row],[Attrition]]="Yes",1,0)</f>
        <v>1</v>
      </c>
      <c r="F44">
        <v>26</v>
      </c>
      <c r="G44">
        <v>3</v>
      </c>
      <c r="J44">
        <v>2</v>
      </c>
      <c r="K44">
        <v>3</v>
      </c>
      <c r="N44">
        <v>1</v>
      </c>
      <c r="O44">
        <v>3</v>
      </c>
      <c r="Q44">
        <v>0</v>
      </c>
      <c r="R44">
        <v>3</v>
      </c>
      <c r="S44">
        <v>1</v>
      </c>
      <c r="U44" t="s">
        <v>38</v>
      </c>
      <c r="V44">
        <v>1</v>
      </c>
    </row>
    <row r="45" spans="2:22" x14ac:dyDescent="0.25">
      <c r="B45">
        <v>8</v>
      </c>
      <c r="C45">
        <f>IF(Adecco_India[[#This Row],[Attrition]]="Yes",1,0)</f>
        <v>0</v>
      </c>
      <c r="F45">
        <v>27</v>
      </c>
      <c r="G45">
        <v>3</v>
      </c>
      <c r="J45">
        <v>3</v>
      </c>
      <c r="K45">
        <v>3</v>
      </c>
      <c r="N45">
        <v>9</v>
      </c>
      <c r="O45">
        <v>3</v>
      </c>
      <c r="Q45">
        <v>1</v>
      </c>
      <c r="R45">
        <v>3</v>
      </c>
      <c r="S45">
        <v>1</v>
      </c>
      <c r="U45" t="s">
        <v>38</v>
      </c>
      <c r="V45">
        <v>1</v>
      </c>
    </row>
    <row r="46" spans="2:22" x14ac:dyDescent="0.25">
      <c r="B46">
        <v>1</v>
      </c>
      <c r="C46">
        <f>IF(Adecco_India[[#This Row],[Attrition]]="Yes",1,0)</f>
        <v>0</v>
      </c>
      <c r="F46">
        <v>30</v>
      </c>
      <c r="G46">
        <v>4</v>
      </c>
      <c r="J46">
        <v>3</v>
      </c>
      <c r="K46">
        <v>4</v>
      </c>
      <c r="N46">
        <v>12</v>
      </c>
      <c r="O46">
        <v>4</v>
      </c>
      <c r="Q46">
        <v>3</v>
      </c>
      <c r="R46">
        <v>4</v>
      </c>
      <c r="S46">
        <v>1</v>
      </c>
      <c r="U46" t="s">
        <v>51</v>
      </c>
      <c r="V46">
        <v>1</v>
      </c>
    </row>
    <row r="47" spans="2:22" x14ac:dyDescent="0.25">
      <c r="B47">
        <v>12</v>
      </c>
      <c r="C47">
        <f>IF(Adecco_India[[#This Row],[Attrition]]="Yes",1,0)</f>
        <v>1</v>
      </c>
      <c r="F47">
        <v>41</v>
      </c>
      <c r="G47">
        <v>3</v>
      </c>
      <c r="J47">
        <v>3</v>
      </c>
      <c r="K47">
        <v>3</v>
      </c>
      <c r="N47">
        <v>22</v>
      </c>
      <c r="O47">
        <v>3</v>
      </c>
      <c r="Q47">
        <v>15</v>
      </c>
      <c r="R47">
        <v>3</v>
      </c>
      <c r="S47">
        <v>1</v>
      </c>
      <c r="U47" t="s">
        <v>60</v>
      </c>
      <c r="V47">
        <v>1</v>
      </c>
    </row>
    <row r="48" spans="2:22" x14ac:dyDescent="0.25">
      <c r="B48">
        <v>23</v>
      </c>
      <c r="C48">
        <f>IF(Adecco_India[[#This Row],[Attrition]]="Yes",1,0)</f>
        <v>0</v>
      </c>
      <c r="F48">
        <v>34</v>
      </c>
      <c r="G48">
        <v>3</v>
      </c>
      <c r="J48">
        <v>3</v>
      </c>
      <c r="K48">
        <v>4</v>
      </c>
      <c r="N48">
        <v>9</v>
      </c>
      <c r="O48">
        <v>3</v>
      </c>
      <c r="Q48">
        <v>8</v>
      </c>
      <c r="R48">
        <v>4</v>
      </c>
      <c r="S48">
        <v>1</v>
      </c>
      <c r="U48" t="s">
        <v>59</v>
      </c>
      <c r="V48">
        <v>1</v>
      </c>
    </row>
    <row r="49" spans="2:22" x14ac:dyDescent="0.25">
      <c r="B49">
        <v>19</v>
      </c>
      <c r="C49">
        <f>IF(Adecco_India[[#This Row],[Attrition]]="Yes",1,0)</f>
        <v>0</v>
      </c>
      <c r="F49">
        <v>37</v>
      </c>
      <c r="G49">
        <v>2</v>
      </c>
      <c r="J49">
        <v>3</v>
      </c>
      <c r="K49">
        <v>4</v>
      </c>
      <c r="N49">
        <v>1</v>
      </c>
      <c r="O49">
        <v>2</v>
      </c>
      <c r="Q49">
        <v>0</v>
      </c>
      <c r="R49">
        <v>4</v>
      </c>
      <c r="S49">
        <v>1</v>
      </c>
      <c r="U49" t="s">
        <v>38</v>
      </c>
      <c r="V49">
        <v>1</v>
      </c>
    </row>
    <row r="50" spans="2:22" x14ac:dyDescent="0.25">
      <c r="B50">
        <v>5</v>
      </c>
      <c r="C50">
        <f>IF(Adecco_India[[#This Row],[Attrition]]="Yes",1,0)</f>
        <v>0</v>
      </c>
      <c r="F50">
        <v>46</v>
      </c>
      <c r="G50">
        <v>4</v>
      </c>
      <c r="J50">
        <v>3</v>
      </c>
      <c r="K50">
        <v>4</v>
      </c>
      <c r="N50">
        <v>9</v>
      </c>
      <c r="O50">
        <v>4</v>
      </c>
      <c r="Q50">
        <v>0</v>
      </c>
      <c r="R50">
        <v>4</v>
      </c>
      <c r="S50">
        <v>1</v>
      </c>
      <c r="U50" t="s">
        <v>59</v>
      </c>
      <c r="V50">
        <v>1</v>
      </c>
    </row>
    <row r="51" spans="2:22" x14ac:dyDescent="0.25">
      <c r="B51">
        <v>8</v>
      </c>
      <c r="C51">
        <f>IF(Adecco_India[[#This Row],[Attrition]]="Yes",1,0)</f>
        <v>0</v>
      </c>
      <c r="F51">
        <v>35</v>
      </c>
      <c r="G51">
        <v>4</v>
      </c>
      <c r="J51">
        <v>3</v>
      </c>
      <c r="K51">
        <v>3</v>
      </c>
      <c r="N51">
        <v>1</v>
      </c>
      <c r="O51">
        <v>4</v>
      </c>
      <c r="Q51">
        <v>0</v>
      </c>
      <c r="R51">
        <v>3</v>
      </c>
      <c r="S51">
        <v>1</v>
      </c>
      <c r="U51" t="s">
        <v>38</v>
      </c>
      <c r="V51">
        <v>1</v>
      </c>
    </row>
    <row r="52" spans="2:22" x14ac:dyDescent="0.25">
      <c r="B52">
        <v>1</v>
      </c>
      <c r="C52">
        <f>IF(Adecco_India[[#This Row],[Attrition]]="Yes",1,0)</f>
        <v>1</v>
      </c>
      <c r="F52">
        <v>48</v>
      </c>
      <c r="G52">
        <v>3</v>
      </c>
      <c r="J52">
        <v>3</v>
      </c>
      <c r="K52">
        <v>3</v>
      </c>
      <c r="N52">
        <v>1</v>
      </c>
      <c r="O52">
        <v>3</v>
      </c>
      <c r="Q52">
        <v>0</v>
      </c>
      <c r="R52">
        <v>3</v>
      </c>
      <c r="S52">
        <v>1</v>
      </c>
      <c r="U52" t="s">
        <v>38</v>
      </c>
      <c r="V52">
        <v>1</v>
      </c>
    </row>
    <row r="53" spans="2:22" x14ac:dyDescent="0.25">
      <c r="B53">
        <v>5</v>
      </c>
      <c r="C53">
        <f>IF(Adecco_India[[#This Row],[Attrition]]="Yes",1,0)</f>
        <v>1</v>
      </c>
      <c r="F53">
        <v>28</v>
      </c>
      <c r="G53">
        <v>3</v>
      </c>
      <c r="J53">
        <v>2</v>
      </c>
      <c r="K53">
        <v>3</v>
      </c>
      <c r="N53">
        <v>2</v>
      </c>
      <c r="O53">
        <v>3</v>
      </c>
      <c r="Q53">
        <v>2</v>
      </c>
      <c r="R53">
        <v>3</v>
      </c>
      <c r="S53">
        <v>1</v>
      </c>
      <c r="U53" t="s">
        <v>60</v>
      </c>
      <c r="V53">
        <v>1</v>
      </c>
    </row>
    <row r="54" spans="2:22" x14ac:dyDescent="0.25">
      <c r="B54">
        <v>1</v>
      </c>
      <c r="C54">
        <f>IF(Adecco_India[[#This Row],[Attrition]]="Yes",1,0)</f>
        <v>0</v>
      </c>
      <c r="F54">
        <v>44</v>
      </c>
      <c r="G54">
        <v>1</v>
      </c>
      <c r="J54">
        <v>2</v>
      </c>
      <c r="K54">
        <v>4</v>
      </c>
      <c r="N54">
        <v>4</v>
      </c>
      <c r="O54">
        <v>1</v>
      </c>
      <c r="Q54">
        <v>1</v>
      </c>
      <c r="R54">
        <v>4</v>
      </c>
      <c r="S54">
        <v>1</v>
      </c>
      <c r="U54" t="s">
        <v>59</v>
      </c>
      <c r="V54">
        <v>1</v>
      </c>
    </row>
    <row r="55" spans="2:22" x14ac:dyDescent="0.25">
      <c r="B55">
        <v>11</v>
      </c>
      <c r="C55">
        <f>IF(Adecco_India[[#This Row],[Attrition]]="Yes",1,0)</f>
        <v>0</v>
      </c>
      <c r="F55">
        <v>35</v>
      </c>
      <c r="G55">
        <v>1</v>
      </c>
      <c r="J55">
        <v>3</v>
      </c>
      <c r="K55">
        <v>3</v>
      </c>
      <c r="N55">
        <v>4</v>
      </c>
      <c r="O55">
        <v>1</v>
      </c>
      <c r="Q55">
        <v>2</v>
      </c>
      <c r="R55">
        <v>3</v>
      </c>
      <c r="S55">
        <v>1</v>
      </c>
      <c r="U55" t="s">
        <v>51</v>
      </c>
      <c r="V55">
        <v>1</v>
      </c>
    </row>
    <row r="56" spans="2:22" x14ac:dyDescent="0.25">
      <c r="B56">
        <v>23</v>
      </c>
      <c r="C56">
        <f>IF(Adecco_India[[#This Row],[Attrition]]="Yes",1,0)</f>
        <v>0</v>
      </c>
      <c r="F56">
        <v>26</v>
      </c>
      <c r="G56">
        <v>4</v>
      </c>
      <c r="J56">
        <v>2</v>
      </c>
      <c r="K56">
        <v>3</v>
      </c>
      <c r="N56">
        <v>2</v>
      </c>
      <c r="O56">
        <v>4</v>
      </c>
      <c r="Q56">
        <v>0</v>
      </c>
      <c r="R56">
        <v>3</v>
      </c>
      <c r="S56">
        <v>1</v>
      </c>
      <c r="U56" t="s">
        <v>59</v>
      </c>
      <c r="V56">
        <v>1</v>
      </c>
    </row>
    <row r="57" spans="2:22" x14ac:dyDescent="0.25">
      <c r="B57">
        <v>1</v>
      </c>
      <c r="C57">
        <f>IF(Adecco_India[[#This Row],[Attrition]]="Yes",1,0)</f>
        <v>0</v>
      </c>
      <c r="F57">
        <v>33</v>
      </c>
      <c r="G57">
        <v>4</v>
      </c>
      <c r="J57">
        <v>3</v>
      </c>
      <c r="K57">
        <v>3</v>
      </c>
      <c r="N57">
        <v>15</v>
      </c>
      <c r="O57">
        <v>4</v>
      </c>
      <c r="Q57">
        <v>8</v>
      </c>
      <c r="R57">
        <v>3</v>
      </c>
      <c r="S57">
        <v>1</v>
      </c>
      <c r="U57" t="s">
        <v>38</v>
      </c>
      <c r="V57">
        <v>1</v>
      </c>
    </row>
    <row r="58" spans="2:22" x14ac:dyDescent="0.25">
      <c r="B58">
        <v>18</v>
      </c>
      <c r="C58">
        <f>IF(Adecco_India[[#This Row],[Attrition]]="Yes",1,0)</f>
        <v>0</v>
      </c>
      <c r="F58">
        <v>35</v>
      </c>
      <c r="G58">
        <v>1</v>
      </c>
      <c r="J58">
        <v>2</v>
      </c>
      <c r="K58">
        <v>4</v>
      </c>
      <c r="N58">
        <v>9</v>
      </c>
      <c r="O58">
        <v>1</v>
      </c>
      <c r="Q58">
        <v>1</v>
      </c>
      <c r="R58">
        <v>4</v>
      </c>
      <c r="S58">
        <v>1</v>
      </c>
      <c r="U58" t="s">
        <v>38</v>
      </c>
      <c r="V58">
        <v>1</v>
      </c>
    </row>
    <row r="59" spans="2:22" x14ac:dyDescent="0.25">
      <c r="B59">
        <v>23</v>
      </c>
      <c r="C59">
        <f>IF(Adecco_India[[#This Row],[Attrition]]="Yes",1,0)</f>
        <v>0</v>
      </c>
      <c r="F59">
        <v>35</v>
      </c>
      <c r="G59">
        <v>1</v>
      </c>
      <c r="J59">
        <v>3</v>
      </c>
      <c r="K59">
        <v>3</v>
      </c>
      <c r="N59">
        <v>2</v>
      </c>
      <c r="O59">
        <v>1</v>
      </c>
      <c r="Q59">
        <v>2</v>
      </c>
      <c r="R59">
        <v>3</v>
      </c>
      <c r="S59">
        <v>1</v>
      </c>
      <c r="U59" t="s">
        <v>51</v>
      </c>
      <c r="V59">
        <v>1</v>
      </c>
    </row>
    <row r="60" spans="2:22" x14ac:dyDescent="0.25">
      <c r="B60">
        <v>7</v>
      </c>
      <c r="C60">
        <f>IF(Adecco_India[[#This Row],[Attrition]]="Yes",1,0)</f>
        <v>0</v>
      </c>
      <c r="F60">
        <v>31</v>
      </c>
      <c r="G60">
        <v>4</v>
      </c>
      <c r="J60">
        <v>2</v>
      </c>
      <c r="K60">
        <v>4</v>
      </c>
      <c r="N60">
        <v>7</v>
      </c>
      <c r="O60">
        <v>4</v>
      </c>
      <c r="Q60">
        <v>1</v>
      </c>
      <c r="R60">
        <v>4</v>
      </c>
      <c r="S60">
        <v>1</v>
      </c>
      <c r="U60" t="s">
        <v>38</v>
      </c>
      <c r="V60">
        <v>1</v>
      </c>
    </row>
    <row r="61" spans="2:22" x14ac:dyDescent="0.25">
      <c r="B61">
        <v>1</v>
      </c>
      <c r="C61">
        <f>IF(Adecco_India[[#This Row],[Attrition]]="Yes",1,0)</f>
        <v>0</v>
      </c>
      <c r="F61">
        <v>37</v>
      </c>
      <c r="G61">
        <v>3</v>
      </c>
      <c r="J61">
        <v>4</v>
      </c>
      <c r="K61">
        <v>3</v>
      </c>
      <c r="N61">
        <v>7</v>
      </c>
      <c r="O61">
        <v>3</v>
      </c>
      <c r="Q61">
        <v>0</v>
      </c>
      <c r="R61">
        <v>3</v>
      </c>
      <c r="S61">
        <v>1</v>
      </c>
      <c r="U61" t="s">
        <v>38</v>
      </c>
      <c r="V61">
        <v>1</v>
      </c>
    </row>
    <row r="62" spans="2:22" x14ac:dyDescent="0.25">
      <c r="B62">
        <v>1</v>
      </c>
      <c r="C62">
        <f>IF(Adecco_India[[#This Row],[Attrition]]="Yes",1,0)</f>
        <v>0</v>
      </c>
      <c r="F62">
        <v>32</v>
      </c>
      <c r="G62">
        <v>4</v>
      </c>
      <c r="J62">
        <v>3</v>
      </c>
      <c r="K62">
        <v>4</v>
      </c>
      <c r="N62">
        <v>9</v>
      </c>
      <c r="O62">
        <v>4</v>
      </c>
      <c r="Q62">
        <v>7</v>
      </c>
      <c r="R62">
        <v>4</v>
      </c>
      <c r="S62">
        <v>1</v>
      </c>
      <c r="U62" t="s">
        <v>51</v>
      </c>
      <c r="V62">
        <v>1</v>
      </c>
    </row>
    <row r="63" spans="2:22" x14ac:dyDescent="0.25">
      <c r="B63">
        <v>29</v>
      </c>
      <c r="C63">
        <f>IF(Adecco_India[[#This Row],[Attrition]]="Yes",1,0)</f>
        <v>0</v>
      </c>
      <c r="F63">
        <v>38</v>
      </c>
      <c r="G63">
        <v>4</v>
      </c>
      <c r="J63">
        <v>3</v>
      </c>
      <c r="K63">
        <v>3</v>
      </c>
      <c r="N63">
        <v>10</v>
      </c>
      <c r="O63">
        <v>4</v>
      </c>
      <c r="Q63">
        <v>9</v>
      </c>
      <c r="R63">
        <v>3</v>
      </c>
      <c r="S63">
        <v>1</v>
      </c>
      <c r="U63" t="s">
        <v>38</v>
      </c>
      <c r="V63">
        <v>1</v>
      </c>
    </row>
    <row r="64" spans="2:22" x14ac:dyDescent="0.25">
      <c r="B64">
        <v>7</v>
      </c>
      <c r="C64">
        <f>IF(Adecco_India[[#This Row],[Attrition]]="Yes",1,0)</f>
        <v>0</v>
      </c>
      <c r="F64">
        <v>50</v>
      </c>
      <c r="G64">
        <v>3</v>
      </c>
      <c r="J64">
        <v>2</v>
      </c>
      <c r="K64">
        <v>3</v>
      </c>
      <c r="N64">
        <v>27</v>
      </c>
      <c r="O64">
        <v>3</v>
      </c>
      <c r="Q64">
        <v>13</v>
      </c>
      <c r="R64">
        <v>3</v>
      </c>
      <c r="S64">
        <v>1</v>
      </c>
      <c r="U64" t="s">
        <v>51</v>
      </c>
      <c r="V64">
        <v>1</v>
      </c>
    </row>
    <row r="65" spans="2:22" x14ac:dyDescent="0.25">
      <c r="B65">
        <v>25</v>
      </c>
      <c r="C65">
        <f>IF(Adecco_India[[#This Row],[Attrition]]="Yes",1,0)</f>
        <v>0</v>
      </c>
      <c r="F65">
        <v>59</v>
      </c>
      <c r="G65">
        <v>1</v>
      </c>
      <c r="J65">
        <v>2</v>
      </c>
      <c r="K65">
        <v>3</v>
      </c>
      <c r="N65">
        <v>21</v>
      </c>
      <c r="O65">
        <v>1</v>
      </c>
      <c r="Q65">
        <v>7</v>
      </c>
      <c r="R65">
        <v>3</v>
      </c>
      <c r="S65">
        <v>1</v>
      </c>
      <c r="U65" t="s">
        <v>38</v>
      </c>
      <c r="V65">
        <v>1</v>
      </c>
    </row>
    <row r="66" spans="2:22" x14ac:dyDescent="0.25">
      <c r="B66">
        <v>8</v>
      </c>
      <c r="C66">
        <f>IF(Adecco_India[[#This Row],[Attrition]]="Yes",1,0)</f>
        <v>0</v>
      </c>
      <c r="F66">
        <v>36</v>
      </c>
      <c r="G66">
        <v>3</v>
      </c>
      <c r="J66">
        <v>3</v>
      </c>
      <c r="K66">
        <v>3</v>
      </c>
      <c r="N66">
        <v>17</v>
      </c>
      <c r="O66">
        <v>3</v>
      </c>
      <c r="Q66">
        <v>12</v>
      </c>
      <c r="R66">
        <v>3</v>
      </c>
      <c r="S66">
        <v>1</v>
      </c>
      <c r="U66" t="s">
        <v>60</v>
      </c>
      <c r="V66">
        <v>1</v>
      </c>
    </row>
    <row r="67" spans="2:22" x14ac:dyDescent="0.25">
      <c r="B67">
        <v>8</v>
      </c>
      <c r="C67">
        <f>IF(Adecco_India[[#This Row],[Attrition]]="Yes",1,0)</f>
        <v>0</v>
      </c>
      <c r="F67">
        <v>55</v>
      </c>
      <c r="G67">
        <v>3</v>
      </c>
      <c r="J67">
        <v>3</v>
      </c>
      <c r="K67">
        <v>3</v>
      </c>
      <c r="N67">
        <v>5</v>
      </c>
      <c r="O67">
        <v>3</v>
      </c>
      <c r="Q67">
        <v>0</v>
      </c>
      <c r="R67">
        <v>3</v>
      </c>
      <c r="S67">
        <v>1</v>
      </c>
      <c r="U67" t="s">
        <v>51</v>
      </c>
      <c r="V67">
        <v>1</v>
      </c>
    </row>
    <row r="68" spans="2:22" x14ac:dyDescent="0.25">
      <c r="B68">
        <v>11</v>
      </c>
      <c r="C68">
        <f>IF(Adecco_India[[#This Row],[Attrition]]="Yes",1,0)</f>
        <v>0</v>
      </c>
      <c r="F68">
        <v>36</v>
      </c>
      <c r="G68">
        <v>2</v>
      </c>
      <c r="J68">
        <v>3</v>
      </c>
      <c r="K68">
        <v>3</v>
      </c>
      <c r="N68">
        <v>6</v>
      </c>
      <c r="O68">
        <v>2</v>
      </c>
      <c r="Q68">
        <v>0</v>
      </c>
      <c r="R68">
        <v>3</v>
      </c>
      <c r="S68">
        <v>1</v>
      </c>
      <c r="U68" t="s">
        <v>38</v>
      </c>
      <c r="V68">
        <v>1</v>
      </c>
    </row>
    <row r="69" spans="2:22" x14ac:dyDescent="0.25">
      <c r="B69">
        <v>7</v>
      </c>
      <c r="C69">
        <f>IF(Adecco_India[[#This Row],[Attrition]]="Yes",1,0)</f>
        <v>0</v>
      </c>
      <c r="F69">
        <v>45</v>
      </c>
      <c r="G69">
        <v>1</v>
      </c>
      <c r="J69">
        <v>3</v>
      </c>
      <c r="K69">
        <v>3</v>
      </c>
      <c r="N69">
        <v>1</v>
      </c>
      <c r="O69">
        <v>1</v>
      </c>
      <c r="Q69">
        <v>0</v>
      </c>
      <c r="R69">
        <v>3</v>
      </c>
      <c r="S69">
        <v>1</v>
      </c>
      <c r="U69" t="s">
        <v>38</v>
      </c>
      <c r="V69">
        <v>1</v>
      </c>
    </row>
    <row r="70" spans="2:22" x14ac:dyDescent="0.25">
      <c r="B70">
        <v>1</v>
      </c>
      <c r="C70">
        <f>IF(Adecco_India[[#This Row],[Attrition]]="Yes",1,0)</f>
        <v>0</v>
      </c>
      <c r="F70">
        <v>35</v>
      </c>
      <c r="G70">
        <v>1</v>
      </c>
      <c r="J70">
        <v>2</v>
      </c>
      <c r="K70">
        <v>3</v>
      </c>
      <c r="N70">
        <v>3</v>
      </c>
      <c r="O70">
        <v>1</v>
      </c>
      <c r="Q70">
        <v>1</v>
      </c>
      <c r="R70">
        <v>3</v>
      </c>
      <c r="S70">
        <v>1</v>
      </c>
      <c r="U70" t="s">
        <v>51</v>
      </c>
      <c r="V70">
        <v>1</v>
      </c>
    </row>
    <row r="71" spans="2:22" x14ac:dyDescent="0.25">
      <c r="B71">
        <v>9</v>
      </c>
      <c r="C71">
        <f>IF(Adecco_India[[#This Row],[Attrition]]="Yes",1,0)</f>
        <v>1</v>
      </c>
      <c r="F71">
        <v>36</v>
      </c>
      <c r="G71">
        <v>3</v>
      </c>
      <c r="J71">
        <v>2</v>
      </c>
      <c r="K71">
        <v>3</v>
      </c>
      <c r="N71">
        <v>1</v>
      </c>
      <c r="O71">
        <v>3</v>
      </c>
      <c r="Q71">
        <v>0</v>
      </c>
      <c r="R71">
        <v>3</v>
      </c>
      <c r="S71">
        <v>1</v>
      </c>
      <c r="U71" t="s">
        <v>51</v>
      </c>
      <c r="V71">
        <v>1</v>
      </c>
    </row>
    <row r="72" spans="2:22" x14ac:dyDescent="0.25">
      <c r="B72">
        <v>1</v>
      </c>
      <c r="C72">
        <f>IF(Adecco_India[[#This Row],[Attrition]]="Yes",1,0)</f>
        <v>0</v>
      </c>
      <c r="F72">
        <v>59</v>
      </c>
      <c r="G72">
        <v>3</v>
      </c>
      <c r="J72">
        <v>2</v>
      </c>
      <c r="K72">
        <v>3</v>
      </c>
      <c r="N72">
        <v>4</v>
      </c>
      <c r="O72">
        <v>3</v>
      </c>
      <c r="Q72">
        <v>1</v>
      </c>
      <c r="R72">
        <v>3</v>
      </c>
      <c r="S72">
        <v>1</v>
      </c>
      <c r="U72" t="s">
        <v>38</v>
      </c>
      <c r="V72">
        <v>1</v>
      </c>
    </row>
    <row r="73" spans="2:22" x14ac:dyDescent="0.25">
      <c r="B73">
        <v>2</v>
      </c>
      <c r="C73">
        <f>IF(Adecco_India[[#This Row],[Attrition]]="Yes",1,0)</f>
        <v>0</v>
      </c>
      <c r="F73">
        <v>29</v>
      </c>
      <c r="G73">
        <v>2</v>
      </c>
      <c r="J73">
        <v>3</v>
      </c>
      <c r="K73">
        <v>4</v>
      </c>
      <c r="N73">
        <v>5</v>
      </c>
      <c r="O73">
        <v>2</v>
      </c>
      <c r="Q73">
        <v>0</v>
      </c>
      <c r="R73">
        <v>4</v>
      </c>
      <c r="S73">
        <v>1</v>
      </c>
      <c r="U73" t="s">
        <v>38</v>
      </c>
      <c r="V73">
        <v>1</v>
      </c>
    </row>
    <row r="74" spans="2:22" x14ac:dyDescent="0.25">
      <c r="B74">
        <v>1</v>
      </c>
      <c r="C74">
        <f>IF(Adecco_India[[#This Row],[Attrition]]="Yes",1,0)</f>
        <v>0</v>
      </c>
      <c r="F74">
        <v>31</v>
      </c>
      <c r="G74">
        <v>2</v>
      </c>
      <c r="J74">
        <v>3</v>
      </c>
      <c r="K74">
        <v>3</v>
      </c>
      <c r="N74">
        <v>1</v>
      </c>
      <c r="O74">
        <v>2</v>
      </c>
      <c r="Q74">
        <v>1</v>
      </c>
      <c r="R74">
        <v>3</v>
      </c>
      <c r="S74">
        <v>1</v>
      </c>
      <c r="U74" t="s">
        <v>51</v>
      </c>
      <c r="V74">
        <v>1</v>
      </c>
    </row>
    <row r="75" spans="2:22" x14ac:dyDescent="0.25">
      <c r="B75">
        <v>1</v>
      </c>
      <c r="C75">
        <f>IF(Adecco_India[[#This Row],[Attrition]]="Yes",1,0)</f>
        <v>0</v>
      </c>
      <c r="F75">
        <v>32</v>
      </c>
      <c r="G75">
        <v>2</v>
      </c>
      <c r="J75">
        <v>3</v>
      </c>
      <c r="K75">
        <v>3</v>
      </c>
      <c r="N75">
        <v>10</v>
      </c>
      <c r="O75">
        <v>2</v>
      </c>
      <c r="Q75">
        <v>0</v>
      </c>
      <c r="R75">
        <v>3</v>
      </c>
      <c r="S75">
        <v>1</v>
      </c>
      <c r="U75" t="s">
        <v>38</v>
      </c>
      <c r="V75">
        <v>1</v>
      </c>
    </row>
    <row r="76" spans="2:22" x14ac:dyDescent="0.25">
      <c r="B76">
        <v>6</v>
      </c>
      <c r="C76">
        <f>IF(Adecco_India[[#This Row],[Attrition]]="Yes",1,0)</f>
        <v>0</v>
      </c>
      <c r="F76">
        <v>36</v>
      </c>
      <c r="G76">
        <v>4</v>
      </c>
      <c r="J76">
        <v>3</v>
      </c>
      <c r="K76">
        <v>3</v>
      </c>
      <c r="N76">
        <v>1</v>
      </c>
      <c r="O76">
        <v>4</v>
      </c>
      <c r="Q76">
        <v>0</v>
      </c>
      <c r="R76">
        <v>3</v>
      </c>
      <c r="S76">
        <v>1</v>
      </c>
      <c r="U76" t="s">
        <v>38</v>
      </c>
      <c r="V76">
        <v>1</v>
      </c>
    </row>
    <row r="77" spans="2:22" x14ac:dyDescent="0.25">
      <c r="B77">
        <v>8</v>
      </c>
      <c r="C77">
        <f>IF(Adecco_India[[#This Row],[Attrition]]="Yes",1,0)</f>
        <v>0</v>
      </c>
      <c r="F77">
        <v>31</v>
      </c>
      <c r="G77">
        <v>4</v>
      </c>
      <c r="J77">
        <v>3</v>
      </c>
      <c r="K77">
        <v>4</v>
      </c>
      <c r="N77">
        <v>11</v>
      </c>
      <c r="O77">
        <v>4</v>
      </c>
      <c r="Q77">
        <v>1</v>
      </c>
      <c r="R77">
        <v>4</v>
      </c>
      <c r="S77">
        <v>1</v>
      </c>
      <c r="U77" t="s">
        <v>38</v>
      </c>
      <c r="V77">
        <v>1</v>
      </c>
    </row>
    <row r="78" spans="2:22" x14ac:dyDescent="0.25">
      <c r="B78">
        <v>1</v>
      </c>
      <c r="C78">
        <f>IF(Adecco_India[[#This Row],[Attrition]]="Yes",1,0)</f>
        <v>0</v>
      </c>
      <c r="F78">
        <v>35</v>
      </c>
      <c r="G78">
        <v>1</v>
      </c>
      <c r="J78">
        <v>3</v>
      </c>
      <c r="K78">
        <v>3</v>
      </c>
      <c r="N78">
        <v>15</v>
      </c>
      <c r="O78">
        <v>1</v>
      </c>
      <c r="Q78">
        <v>2</v>
      </c>
      <c r="R78">
        <v>3</v>
      </c>
      <c r="S78">
        <v>1</v>
      </c>
      <c r="U78" t="s">
        <v>59</v>
      </c>
      <c r="V78">
        <v>1</v>
      </c>
    </row>
    <row r="79" spans="2:22" x14ac:dyDescent="0.25">
      <c r="B79">
        <v>6</v>
      </c>
      <c r="C79">
        <f>IF(Adecco_India[[#This Row],[Attrition]]="Yes",1,0)</f>
        <v>0</v>
      </c>
      <c r="F79">
        <v>45</v>
      </c>
      <c r="G79">
        <v>1</v>
      </c>
      <c r="J79">
        <v>4</v>
      </c>
      <c r="K79">
        <v>3</v>
      </c>
      <c r="N79">
        <v>0</v>
      </c>
      <c r="O79">
        <v>1</v>
      </c>
      <c r="Q79">
        <v>0</v>
      </c>
      <c r="R79">
        <v>3</v>
      </c>
      <c r="S79">
        <v>1</v>
      </c>
      <c r="U79" t="s">
        <v>49</v>
      </c>
      <c r="V79">
        <v>1</v>
      </c>
    </row>
    <row r="80" spans="2:22" x14ac:dyDescent="0.25">
      <c r="B80">
        <v>7</v>
      </c>
      <c r="C80">
        <f>IF(Adecco_India[[#This Row],[Attrition]]="Yes",1,0)</f>
        <v>0</v>
      </c>
      <c r="F80">
        <v>37</v>
      </c>
      <c r="G80">
        <v>3</v>
      </c>
      <c r="J80">
        <v>4</v>
      </c>
      <c r="K80">
        <v>3</v>
      </c>
      <c r="N80">
        <v>5</v>
      </c>
      <c r="O80">
        <v>3</v>
      </c>
      <c r="Q80">
        <v>0</v>
      </c>
      <c r="R80">
        <v>3</v>
      </c>
      <c r="S80">
        <v>1</v>
      </c>
      <c r="U80" t="s">
        <v>51</v>
      </c>
      <c r="V80">
        <v>1</v>
      </c>
    </row>
    <row r="81" spans="2:22" x14ac:dyDescent="0.25">
      <c r="B81">
        <v>5</v>
      </c>
      <c r="C81">
        <f>IF(Adecco_India[[#This Row],[Attrition]]="Yes",1,0)</f>
        <v>0</v>
      </c>
      <c r="F81">
        <v>46</v>
      </c>
      <c r="G81">
        <v>2</v>
      </c>
      <c r="J81">
        <v>3</v>
      </c>
      <c r="K81">
        <v>4</v>
      </c>
      <c r="N81">
        <v>4</v>
      </c>
      <c r="O81">
        <v>2</v>
      </c>
      <c r="Q81">
        <v>0</v>
      </c>
      <c r="R81">
        <v>4</v>
      </c>
      <c r="S81">
        <v>1</v>
      </c>
      <c r="U81" t="s">
        <v>51</v>
      </c>
      <c r="V81">
        <v>1</v>
      </c>
    </row>
    <row r="82" spans="2:22" x14ac:dyDescent="0.25">
      <c r="B82">
        <v>1</v>
      </c>
      <c r="C82">
        <f>IF(Adecco_India[[#This Row],[Attrition]]="Yes",1,0)</f>
        <v>0</v>
      </c>
      <c r="F82">
        <v>30</v>
      </c>
      <c r="G82">
        <v>4</v>
      </c>
      <c r="J82">
        <v>2</v>
      </c>
      <c r="K82">
        <v>3</v>
      </c>
      <c r="N82">
        <v>10</v>
      </c>
      <c r="O82">
        <v>4</v>
      </c>
      <c r="Q82">
        <v>3</v>
      </c>
      <c r="R82">
        <v>3</v>
      </c>
      <c r="S82">
        <v>1</v>
      </c>
      <c r="U82" t="s">
        <v>38</v>
      </c>
      <c r="V82">
        <v>1</v>
      </c>
    </row>
    <row r="83" spans="2:22" x14ac:dyDescent="0.25">
      <c r="B83">
        <v>1</v>
      </c>
      <c r="C83">
        <f>IF(Adecco_India[[#This Row],[Attrition]]="Yes",1,0)</f>
        <v>0</v>
      </c>
      <c r="F83">
        <v>35</v>
      </c>
      <c r="G83">
        <v>3</v>
      </c>
      <c r="J83">
        <v>3</v>
      </c>
      <c r="K83">
        <v>3</v>
      </c>
      <c r="N83">
        <v>6</v>
      </c>
      <c r="O83">
        <v>3</v>
      </c>
      <c r="Q83">
        <v>0</v>
      </c>
      <c r="R83">
        <v>3</v>
      </c>
      <c r="S83">
        <v>1</v>
      </c>
      <c r="U83" t="s">
        <v>51</v>
      </c>
      <c r="V83">
        <v>1</v>
      </c>
    </row>
    <row r="84" spans="2:22" x14ac:dyDescent="0.25">
      <c r="B84">
        <v>1</v>
      </c>
      <c r="C84">
        <f>IF(Adecco_India[[#This Row],[Attrition]]="Yes",1,0)</f>
        <v>0</v>
      </c>
      <c r="F84">
        <v>55</v>
      </c>
      <c r="G84">
        <v>4</v>
      </c>
      <c r="J84">
        <v>3</v>
      </c>
      <c r="K84">
        <v>3</v>
      </c>
      <c r="N84">
        <v>1</v>
      </c>
      <c r="O84">
        <v>4</v>
      </c>
      <c r="Q84">
        <v>1</v>
      </c>
      <c r="R84">
        <v>3</v>
      </c>
      <c r="S84">
        <v>1</v>
      </c>
      <c r="U84" t="s">
        <v>38</v>
      </c>
      <c r="V84">
        <v>1</v>
      </c>
    </row>
    <row r="85" spans="2:22" x14ac:dyDescent="0.25">
      <c r="B85">
        <v>6</v>
      </c>
      <c r="C85">
        <f>IF(Adecco_India[[#This Row],[Attrition]]="Yes",1,0)</f>
        <v>0</v>
      </c>
      <c r="F85">
        <v>38</v>
      </c>
      <c r="G85">
        <v>4</v>
      </c>
      <c r="J85">
        <v>3</v>
      </c>
      <c r="K85">
        <v>3</v>
      </c>
      <c r="N85">
        <v>13</v>
      </c>
      <c r="O85">
        <v>4</v>
      </c>
      <c r="Q85">
        <v>1</v>
      </c>
      <c r="R85">
        <v>3</v>
      </c>
      <c r="S85">
        <v>1</v>
      </c>
      <c r="U85" t="s">
        <v>51</v>
      </c>
      <c r="V85">
        <v>1</v>
      </c>
    </row>
    <row r="86" spans="2:22" x14ac:dyDescent="0.25">
      <c r="B86">
        <v>1</v>
      </c>
      <c r="C86">
        <f>IF(Adecco_India[[#This Row],[Attrition]]="Yes",1,0)</f>
        <v>0</v>
      </c>
      <c r="F86">
        <v>34</v>
      </c>
      <c r="G86">
        <v>2</v>
      </c>
      <c r="J86">
        <v>3</v>
      </c>
      <c r="K86">
        <v>3</v>
      </c>
      <c r="N86">
        <v>5</v>
      </c>
      <c r="O86">
        <v>2</v>
      </c>
      <c r="Q86">
        <v>1</v>
      </c>
      <c r="R86">
        <v>3</v>
      </c>
      <c r="S86">
        <v>1</v>
      </c>
      <c r="U86" t="s">
        <v>51</v>
      </c>
      <c r="V86">
        <v>1</v>
      </c>
    </row>
    <row r="87" spans="2:22" x14ac:dyDescent="0.25">
      <c r="B87">
        <v>7</v>
      </c>
      <c r="C87">
        <f>IF(Adecco_India[[#This Row],[Attrition]]="Yes",1,0)</f>
        <v>0</v>
      </c>
      <c r="F87">
        <v>56</v>
      </c>
      <c r="G87">
        <v>4</v>
      </c>
      <c r="J87">
        <v>2</v>
      </c>
      <c r="K87">
        <v>3</v>
      </c>
      <c r="N87">
        <v>6</v>
      </c>
      <c r="O87">
        <v>4</v>
      </c>
      <c r="Q87">
        <v>0</v>
      </c>
      <c r="R87">
        <v>3</v>
      </c>
      <c r="S87">
        <v>1</v>
      </c>
      <c r="U87" t="s">
        <v>38</v>
      </c>
      <c r="V87">
        <v>1</v>
      </c>
    </row>
    <row r="88" spans="2:22" x14ac:dyDescent="0.25">
      <c r="B88">
        <v>2</v>
      </c>
      <c r="C88">
        <f>IF(Adecco_India[[#This Row],[Attrition]]="Yes",1,0)</f>
        <v>0</v>
      </c>
      <c r="F88">
        <v>23</v>
      </c>
      <c r="G88">
        <v>1</v>
      </c>
      <c r="J88">
        <v>3</v>
      </c>
      <c r="K88">
        <v>3</v>
      </c>
      <c r="N88">
        <v>0</v>
      </c>
      <c r="O88">
        <v>1</v>
      </c>
      <c r="Q88">
        <v>0</v>
      </c>
      <c r="R88">
        <v>3</v>
      </c>
      <c r="S88">
        <v>1</v>
      </c>
      <c r="U88" t="s">
        <v>60</v>
      </c>
      <c r="V88">
        <v>1</v>
      </c>
    </row>
    <row r="89" spans="2:22" x14ac:dyDescent="0.25">
      <c r="B89">
        <v>9</v>
      </c>
      <c r="C89">
        <f>IF(Adecco_India[[#This Row],[Attrition]]="Yes",1,0)</f>
        <v>0</v>
      </c>
      <c r="F89">
        <v>51</v>
      </c>
      <c r="G89">
        <v>4</v>
      </c>
      <c r="J89">
        <v>3</v>
      </c>
      <c r="K89">
        <v>4</v>
      </c>
      <c r="N89">
        <v>4</v>
      </c>
      <c r="O89">
        <v>4</v>
      </c>
      <c r="Q89">
        <v>0</v>
      </c>
      <c r="R89">
        <v>4</v>
      </c>
      <c r="S89">
        <v>1</v>
      </c>
      <c r="U89" t="s">
        <v>38</v>
      </c>
      <c r="V89">
        <v>1</v>
      </c>
    </row>
    <row r="90" spans="2:22" x14ac:dyDescent="0.25">
      <c r="B90">
        <v>2</v>
      </c>
      <c r="C90">
        <f>IF(Adecco_India[[#This Row],[Attrition]]="Yes",1,0)</f>
        <v>0</v>
      </c>
      <c r="F90">
        <v>30</v>
      </c>
      <c r="G90">
        <v>4</v>
      </c>
      <c r="J90">
        <v>3</v>
      </c>
      <c r="K90">
        <v>3</v>
      </c>
      <c r="N90">
        <v>11</v>
      </c>
      <c r="O90">
        <v>4</v>
      </c>
      <c r="Q90">
        <v>10</v>
      </c>
      <c r="R90">
        <v>3</v>
      </c>
      <c r="S90">
        <v>1</v>
      </c>
      <c r="U90" t="s">
        <v>38</v>
      </c>
      <c r="V90">
        <v>1</v>
      </c>
    </row>
    <row r="91" spans="2:22" x14ac:dyDescent="0.25">
      <c r="B91">
        <v>9</v>
      </c>
      <c r="C91">
        <f>IF(Adecco_India[[#This Row],[Attrition]]="Yes",1,0)</f>
        <v>1</v>
      </c>
      <c r="F91">
        <v>46</v>
      </c>
      <c r="G91">
        <v>4</v>
      </c>
      <c r="J91">
        <v>3</v>
      </c>
      <c r="K91">
        <v>3</v>
      </c>
      <c r="N91">
        <v>9</v>
      </c>
      <c r="O91">
        <v>4</v>
      </c>
      <c r="Q91">
        <v>4</v>
      </c>
      <c r="R91">
        <v>3</v>
      </c>
      <c r="S91">
        <v>1</v>
      </c>
      <c r="U91" t="s">
        <v>51</v>
      </c>
      <c r="V91">
        <v>1</v>
      </c>
    </row>
    <row r="92" spans="2:22" x14ac:dyDescent="0.25">
      <c r="B92">
        <v>1</v>
      </c>
      <c r="C92">
        <f>IF(Adecco_India[[#This Row],[Attrition]]="Yes",1,0)</f>
        <v>0</v>
      </c>
      <c r="F92">
        <v>40</v>
      </c>
      <c r="G92">
        <v>2</v>
      </c>
      <c r="J92">
        <v>2</v>
      </c>
      <c r="K92">
        <v>4</v>
      </c>
      <c r="N92">
        <v>22</v>
      </c>
      <c r="O92">
        <v>2</v>
      </c>
      <c r="Q92">
        <v>11</v>
      </c>
      <c r="R92">
        <v>4</v>
      </c>
      <c r="S92">
        <v>1</v>
      </c>
      <c r="U92" t="s">
        <v>38</v>
      </c>
      <c r="V92">
        <v>1</v>
      </c>
    </row>
    <row r="93" spans="2:22" x14ac:dyDescent="0.25">
      <c r="B93">
        <v>21</v>
      </c>
      <c r="C93">
        <f>IF(Adecco_India[[#This Row],[Attrition]]="Yes",1,0)</f>
        <v>0</v>
      </c>
      <c r="F93">
        <v>51</v>
      </c>
      <c r="G93">
        <v>4</v>
      </c>
      <c r="J93">
        <v>1</v>
      </c>
      <c r="K93">
        <v>4</v>
      </c>
      <c r="N93">
        <v>10</v>
      </c>
      <c r="O93">
        <v>4</v>
      </c>
      <c r="Q93">
        <v>1</v>
      </c>
      <c r="R93">
        <v>4</v>
      </c>
      <c r="S93">
        <v>1</v>
      </c>
      <c r="U93" t="s">
        <v>59</v>
      </c>
      <c r="V93">
        <v>1</v>
      </c>
    </row>
    <row r="94" spans="2:22" x14ac:dyDescent="0.25">
      <c r="B94">
        <v>4</v>
      </c>
      <c r="C94">
        <f>IF(Adecco_India[[#This Row],[Attrition]]="Yes",1,0)</f>
        <v>0</v>
      </c>
      <c r="F94">
        <v>30</v>
      </c>
      <c r="G94">
        <v>2</v>
      </c>
      <c r="J94">
        <v>2</v>
      </c>
      <c r="K94">
        <v>3</v>
      </c>
      <c r="N94">
        <v>11</v>
      </c>
      <c r="O94">
        <v>2</v>
      </c>
      <c r="Q94">
        <v>2</v>
      </c>
      <c r="R94">
        <v>3</v>
      </c>
      <c r="S94">
        <v>1</v>
      </c>
      <c r="U94" t="s">
        <v>51</v>
      </c>
      <c r="V94">
        <v>1</v>
      </c>
    </row>
    <row r="95" spans="2:22" x14ac:dyDescent="0.25">
      <c r="B95">
        <v>1</v>
      </c>
      <c r="C95">
        <f>IF(Adecco_India[[#This Row],[Attrition]]="Yes",1,0)</f>
        <v>0</v>
      </c>
      <c r="F95">
        <v>46</v>
      </c>
      <c r="G95">
        <v>1</v>
      </c>
      <c r="J95">
        <v>2</v>
      </c>
      <c r="K95">
        <v>3</v>
      </c>
      <c r="N95">
        <v>10</v>
      </c>
      <c r="O95">
        <v>1</v>
      </c>
      <c r="Q95">
        <v>9</v>
      </c>
      <c r="R95">
        <v>3</v>
      </c>
      <c r="S95">
        <v>1</v>
      </c>
      <c r="U95" t="s">
        <v>51</v>
      </c>
      <c r="V95">
        <v>1</v>
      </c>
    </row>
    <row r="96" spans="2:22" x14ac:dyDescent="0.25">
      <c r="B96">
        <v>6</v>
      </c>
      <c r="C96">
        <f>IF(Adecco_India[[#This Row],[Attrition]]="Yes",1,0)</f>
        <v>0</v>
      </c>
      <c r="F96">
        <v>32</v>
      </c>
      <c r="G96">
        <v>3</v>
      </c>
      <c r="J96">
        <v>3</v>
      </c>
      <c r="K96">
        <v>3</v>
      </c>
      <c r="N96">
        <v>11</v>
      </c>
      <c r="O96">
        <v>3</v>
      </c>
      <c r="Q96">
        <v>5</v>
      </c>
      <c r="R96">
        <v>3</v>
      </c>
      <c r="S96">
        <v>1</v>
      </c>
      <c r="U96" t="s">
        <v>51</v>
      </c>
      <c r="V96">
        <v>1</v>
      </c>
    </row>
    <row r="97" spans="2:22" x14ac:dyDescent="0.25">
      <c r="B97">
        <v>2</v>
      </c>
      <c r="C97">
        <f>IF(Adecco_India[[#This Row],[Attrition]]="Yes",1,0)</f>
        <v>0</v>
      </c>
      <c r="F97">
        <v>54</v>
      </c>
      <c r="G97">
        <v>3</v>
      </c>
      <c r="J97">
        <v>1</v>
      </c>
      <c r="K97">
        <v>3</v>
      </c>
      <c r="N97">
        <v>4</v>
      </c>
      <c r="O97">
        <v>3</v>
      </c>
      <c r="Q97">
        <v>0</v>
      </c>
      <c r="R97">
        <v>3</v>
      </c>
      <c r="S97">
        <v>1</v>
      </c>
      <c r="U97" t="s">
        <v>60</v>
      </c>
      <c r="V97">
        <v>1</v>
      </c>
    </row>
    <row r="98" spans="2:22" x14ac:dyDescent="0.25">
      <c r="B98">
        <v>3</v>
      </c>
      <c r="C98">
        <f>IF(Adecco_India[[#This Row],[Attrition]]="Yes",1,0)</f>
        <v>0</v>
      </c>
      <c r="F98">
        <v>24</v>
      </c>
      <c r="G98">
        <v>3</v>
      </c>
      <c r="J98">
        <v>2</v>
      </c>
      <c r="K98">
        <v>4</v>
      </c>
      <c r="N98">
        <v>3</v>
      </c>
      <c r="O98">
        <v>3</v>
      </c>
      <c r="Q98">
        <v>0</v>
      </c>
      <c r="R98">
        <v>4</v>
      </c>
      <c r="S98">
        <v>1</v>
      </c>
      <c r="U98" t="s">
        <v>49</v>
      </c>
      <c r="V98">
        <v>1</v>
      </c>
    </row>
    <row r="99" spans="2:22" x14ac:dyDescent="0.25">
      <c r="B99">
        <v>4</v>
      </c>
      <c r="C99">
        <f>IF(Adecco_India[[#This Row],[Attrition]]="Yes",1,0)</f>
        <v>0</v>
      </c>
      <c r="F99">
        <v>28</v>
      </c>
      <c r="G99">
        <v>3</v>
      </c>
      <c r="J99">
        <v>4</v>
      </c>
      <c r="K99">
        <v>3</v>
      </c>
      <c r="N99">
        <v>5</v>
      </c>
      <c r="O99">
        <v>3</v>
      </c>
      <c r="Q99">
        <v>0</v>
      </c>
      <c r="R99">
        <v>3</v>
      </c>
      <c r="S99">
        <v>1</v>
      </c>
      <c r="U99" t="s">
        <v>51</v>
      </c>
      <c r="V99">
        <v>1</v>
      </c>
    </row>
    <row r="100" spans="2:22" x14ac:dyDescent="0.25">
      <c r="B100">
        <v>10</v>
      </c>
      <c r="C100">
        <f>IF(Adecco_India[[#This Row],[Attrition]]="Yes",1,0)</f>
        <v>0</v>
      </c>
      <c r="F100">
        <v>58</v>
      </c>
      <c r="G100">
        <v>3</v>
      </c>
      <c r="J100">
        <v>2</v>
      </c>
      <c r="K100">
        <v>3</v>
      </c>
      <c r="N100">
        <v>37</v>
      </c>
      <c r="O100">
        <v>3</v>
      </c>
      <c r="Q100">
        <v>1</v>
      </c>
      <c r="R100">
        <v>3</v>
      </c>
      <c r="S100">
        <v>1</v>
      </c>
      <c r="U100" t="s">
        <v>51</v>
      </c>
      <c r="V100">
        <v>1</v>
      </c>
    </row>
    <row r="101" spans="2:22" x14ac:dyDescent="0.25">
      <c r="B101">
        <v>23</v>
      </c>
      <c r="C101">
        <f>IF(Adecco_India[[#This Row],[Attrition]]="Yes",1,0)</f>
        <v>0</v>
      </c>
      <c r="F101">
        <v>44</v>
      </c>
      <c r="G101">
        <v>2</v>
      </c>
      <c r="J101">
        <v>4</v>
      </c>
      <c r="K101">
        <v>3</v>
      </c>
      <c r="N101">
        <v>3</v>
      </c>
      <c r="O101">
        <v>2</v>
      </c>
      <c r="Q101">
        <v>1</v>
      </c>
      <c r="R101">
        <v>3</v>
      </c>
      <c r="S101">
        <v>1</v>
      </c>
      <c r="U101" t="s">
        <v>51</v>
      </c>
      <c r="V101">
        <v>1</v>
      </c>
    </row>
    <row r="102" spans="2:22" x14ac:dyDescent="0.25">
      <c r="B102">
        <v>6</v>
      </c>
      <c r="C102">
        <f>IF(Adecco_India[[#This Row],[Attrition]]="Yes",1,0)</f>
        <v>1</v>
      </c>
      <c r="F102">
        <v>37</v>
      </c>
      <c r="G102">
        <v>1</v>
      </c>
      <c r="J102">
        <v>3</v>
      </c>
      <c r="K102">
        <v>4</v>
      </c>
      <c r="N102">
        <v>3</v>
      </c>
      <c r="O102">
        <v>1</v>
      </c>
      <c r="Q102">
        <v>0</v>
      </c>
      <c r="R102">
        <v>4</v>
      </c>
      <c r="S102">
        <v>1</v>
      </c>
      <c r="U102" t="s">
        <v>61</v>
      </c>
      <c r="V102">
        <v>1</v>
      </c>
    </row>
    <row r="103" spans="2:22" x14ac:dyDescent="0.25">
      <c r="B103">
        <v>1</v>
      </c>
      <c r="C103">
        <f>IF(Adecco_India[[#This Row],[Attrition]]="Yes",1,0)</f>
        <v>0</v>
      </c>
      <c r="F103">
        <v>32</v>
      </c>
      <c r="G103">
        <v>1</v>
      </c>
      <c r="J103">
        <v>3</v>
      </c>
      <c r="K103">
        <v>3</v>
      </c>
      <c r="N103">
        <v>1</v>
      </c>
      <c r="O103">
        <v>1</v>
      </c>
      <c r="Q103">
        <v>0</v>
      </c>
      <c r="R103">
        <v>3</v>
      </c>
      <c r="S103">
        <v>1</v>
      </c>
      <c r="U103" t="s">
        <v>38</v>
      </c>
      <c r="V103">
        <v>1</v>
      </c>
    </row>
    <row r="104" spans="2:22" x14ac:dyDescent="0.25">
      <c r="B104">
        <v>6</v>
      </c>
      <c r="C104">
        <f>IF(Adecco_India[[#This Row],[Attrition]]="Yes",1,0)</f>
        <v>1</v>
      </c>
      <c r="F104">
        <v>20</v>
      </c>
      <c r="G104">
        <v>4</v>
      </c>
      <c r="J104">
        <v>3</v>
      </c>
      <c r="K104">
        <v>3</v>
      </c>
      <c r="N104">
        <v>1</v>
      </c>
      <c r="O104">
        <v>4</v>
      </c>
      <c r="Q104">
        <v>1</v>
      </c>
      <c r="R104">
        <v>3</v>
      </c>
      <c r="S104">
        <v>1</v>
      </c>
      <c r="U104" t="s">
        <v>38</v>
      </c>
      <c r="V104">
        <v>1</v>
      </c>
    </row>
    <row r="105" spans="2:22" x14ac:dyDescent="0.25">
      <c r="B105">
        <v>6</v>
      </c>
      <c r="C105">
        <f>IF(Adecco_India[[#This Row],[Attrition]]="Yes",1,0)</f>
        <v>0</v>
      </c>
      <c r="F105">
        <v>34</v>
      </c>
      <c r="G105">
        <v>3</v>
      </c>
      <c r="J105">
        <v>3</v>
      </c>
      <c r="K105">
        <v>3</v>
      </c>
      <c r="N105">
        <v>16</v>
      </c>
      <c r="O105">
        <v>3</v>
      </c>
      <c r="Q105">
        <v>2</v>
      </c>
      <c r="R105">
        <v>3</v>
      </c>
      <c r="S105">
        <v>1</v>
      </c>
      <c r="U105" t="s">
        <v>49</v>
      </c>
      <c r="V105">
        <v>1</v>
      </c>
    </row>
    <row r="106" spans="2:22" x14ac:dyDescent="0.25">
      <c r="B106">
        <v>2</v>
      </c>
      <c r="C106">
        <f>IF(Adecco_India[[#This Row],[Attrition]]="Yes",1,0)</f>
        <v>0</v>
      </c>
      <c r="F106">
        <v>37</v>
      </c>
      <c r="G106">
        <v>4</v>
      </c>
      <c r="J106">
        <v>4</v>
      </c>
      <c r="K106">
        <v>3</v>
      </c>
      <c r="N106">
        <v>1</v>
      </c>
      <c r="O106">
        <v>4</v>
      </c>
      <c r="Q106">
        <v>0</v>
      </c>
      <c r="R106">
        <v>3</v>
      </c>
      <c r="S106">
        <v>1</v>
      </c>
      <c r="U106" t="s">
        <v>38</v>
      </c>
      <c r="V106">
        <v>1</v>
      </c>
    </row>
    <row r="107" spans="2:22" x14ac:dyDescent="0.25">
      <c r="B107">
        <v>2</v>
      </c>
      <c r="C107">
        <f>IF(Adecco_India[[#This Row],[Attrition]]="Yes",1,0)</f>
        <v>0</v>
      </c>
      <c r="F107">
        <v>59</v>
      </c>
      <c r="G107">
        <v>4</v>
      </c>
      <c r="J107">
        <v>3</v>
      </c>
      <c r="K107">
        <v>4</v>
      </c>
      <c r="N107">
        <v>3</v>
      </c>
      <c r="O107">
        <v>4</v>
      </c>
      <c r="Q107">
        <v>2</v>
      </c>
      <c r="R107">
        <v>4</v>
      </c>
      <c r="S107">
        <v>1</v>
      </c>
      <c r="U107" t="s">
        <v>61</v>
      </c>
      <c r="V107">
        <v>1</v>
      </c>
    </row>
    <row r="108" spans="2:22" x14ac:dyDescent="0.25">
      <c r="B108">
        <v>1</v>
      </c>
      <c r="C108">
        <f>IF(Adecco_India[[#This Row],[Attrition]]="Yes",1,0)</f>
        <v>0</v>
      </c>
      <c r="F108">
        <v>50</v>
      </c>
      <c r="G108">
        <v>2</v>
      </c>
      <c r="J108">
        <v>2</v>
      </c>
      <c r="K108">
        <v>3</v>
      </c>
      <c r="N108">
        <v>8</v>
      </c>
      <c r="O108">
        <v>2</v>
      </c>
      <c r="Q108">
        <v>0</v>
      </c>
      <c r="R108">
        <v>3</v>
      </c>
      <c r="S108">
        <v>1</v>
      </c>
      <c r="U108" t="s">
        <v>38</v>
      </c>
      <c r="V108">
        <v>1</v>
      </c>
    </row>
    <row r="109" spans="2:22" x14ac:dyDescent="0.25">
      <c r="B109">
        <v>5</v>
      </c>
      <c r="C109">
        <f>IF(Adecco_India[[#This Row],[Attrition]]="Yes",1,0)</f>
        <v>1</v>
      </c>
      <c r="F109">
        <v>25</v>
      </c>
      <c r="G109">
        <v>3</v>
      </c>
      <c r="J109">
        <v>3</v>
      </c>
      <c r="K109">
        <v>3</v>
      </c>
      <c r="N109">
        <v>6</v>
      </c>
      <c r="O109">
        <v>3</v>
      </c>
      <c r="Q109">
        <v>0</v>
      </c>
      <c r="R109">
        <v>3</v>
      </c>
      <c r="S109">
        <v>1</v>
      </c>
      <c r="U109" t="s">
        <v>59</v>
      </c>
      <c r="V109">
        <v>1</v>
      </c>
    </row>
    <row r="110" spans="2:22" x14ac:dyDescent="0.25">
      <c r="B110">
        <v>7</v>
      </c>
      <c r="C110">
        <f>IF(Adecco_India[[#This Row],[Attrition]]="Yes",1,0)</f>
        <v>0</v>
      </c>
      <c r="F110">
        <v>25</v>
      </c>
      <c r="G110">
        <v>4</v>
      </c>
      <c r="J110">
        <v>3</v>
      </c>
      <c r="K110">
        <v>3</v>
      </c>
      <c r="N110">
        <v>2</v>
      </c>
      <c r="O110">
        <v>4</v>
      </c>
      <c r="Q110">
        <v>2</v>
      </c>
      <c r="R110">
        <v>3</v>
      </c>
      <c r="S110">
        <v>1</v>
      </c>
      <c r="U110" t="s">
        <v>51</v>
      </c>
      <c r="V110">
        <v>1</v>
      </c>
    </row>
    <row r="111" spans="2:22" x14ac:dyDescent="0.25">
      <c r="B111">
        <v>15</v>
      </c>
      <c r="C111">
        <f>IF(Adecco_India[[#This Row],[Attrition]]="Yes",1,0)</f>
        <v>0</v>
      </c>
      <c r="F111">
        <v>22</v>
      </c>
      <c r="G111">
        <v>4</v>
      </c>
      <c r="J111">
        <v>3</v>
      </c>
      <c r="K111">
        <v>3</v>
      </c>
      <c r="N111">
        <v>0</v>
      </c>
      <c r="O111">
        <v>4</v>
      </c>
      <c r="Q111">
        <v>0</v>
      </c>
      <c r="R111">
        <v>3</v>
      </c>
      <c r="S111">
        <v>1</v>
      </c>
      <c r="U111" t="s">
        <v>51</v>
      </c>
      <c r="V111">
        <v>1</v>
      </c>
    </row>
    <row r="112" spans="2:22" x14ac:dyDescent="0.25">
      <c r="B112">
        <v>1</v>
      </c>
      <c r="C112">
        <f>IF(Adecco_India[[#This Row],[Attrition]]="Yes",1,0)</f>
        <v>0</v>
      </c>
      <c r="F112">
        <v>51</v>
      </c>
      <c r="G112">
        <v>1</v>
      </c>
      <c r="J112">
        <v>2</v>
      </c>
      <c r="K112">
        <v>4</v>
      </c>
      <c r="N112">
        <v>13</v>
      </c>
      <c r="O112">
        <v>1</v>
      </c>
      <c r="Q112">
        <v>12</v>
      </c>
      <c r="R112">
        <v>4</v>
      </c>
      <c r="S112">
        <v>1</v>
      </c>
      <c r="U112" t="s">
        <v>51</v>
      </c>
      <c r="V112">
        <v>1</v>
      </c>
    </row>
    <row r="113" spans="2:22" x14ac:dyDescent="0.25">
      <c r="B113">
        <v>7</v>
      </c>
      <c r="C113">
        <f>IF(Adecco_India[[#This Row],[Attrition]]="Yes",1,0)</f>
        <v>1</v>
      </c>
      <c r="F113">
        <v>34</v>
      </c>
      <c r="G113">
        <v>3</v>
      </c>
      <c r="J113">
        <v>3</v>
      </c>
      <c r="K113">
        <v>4</v>
      </c>
      <c r="N113">
        <v>9</v>
      </c>
      <c r="O113">
        <v>3</v>
      </c>
      <c r="Q113">
        <v>0</v>
      </c>
      <c r="R113">
        <v>4</v>
      </c>
      <c r="S113">
        <v>1</v>
      </c>
      <c r="U113" t="s">
        <v>38</v>
      </c>
      <c r="V113">
        <v>1</v>
      </c>
    </row>
    <row r="114" spans="2:22" x14ac:dyDescent="0.25">
      <c r="B114">
        <v>26</v>
      </c>
      <c r="C114">
        <f>IF(Adecco_India[[#This Row],[Attrition]]="Yes",1,0)</f>
        <v>0</v>
      </c>
      <c r="F114">
        <v>54</v>
      </c>
      <c r="G114">
        <v>4</v>
      </c>
      <c r="J114">
        <v>3</v>
      </c>
      <c r="K114">
        <v>3</v>
      </c>
      <c r="N114">
        <v>5</v>
      </c>
      <c r="O114">
        <v>4</v>
      </c>
      <c r="Q114">
        <v>4</v>
      </c>
      <c r="R114">
        <v>3</v>
      </c>
      <c r="S114">
        <v>1</v>
      </c>
      <c r="U114" t="s">
        <v>61</v>
      </c>
      <c r="V114">
        <v>1</v>
      </c>
    </row>
    <row r="115" spans="2:22" x14ac:dyDescent="0.25">
      <c r="B115">
        <v>18</v>
      </c>
      <c r="C115">
        <f>IF(Adecco_India[[#This Row],[Attrition]]="Yes",1,0)</f>
        <v>0</v>
      </c>
      <c r="F115">
        <v>24</v>
      </c>
      <c r="G115">
        <v>3</v>
      </c>
      <c r="J115">
        <v>3</v>
      </c>
      <c r="K115">
        <v>3</v>
      </c>
      <c r="N115">
        <v>5</v>
      </c>
      <c r="O115">
        <v>3</v>
      </c>
      <c r="Q115">
        <v>1</v>
      </c>
      <c r="R115">
        <v>3</v>
      </c>
      <c r="S115">
        <v>1</v>
      </c>
      <c r="U115" t="s">
        <v>38</v>
      </c>
      <c r="V115">
        <v>1</v>
      </c>
    </row>
    <row r="116" spans="2:22" x14ac:dyDescent="0.25">
      <c r="B116">
        <v>6</v>
      </c>
      <c r="C116">
        <f>IF(Adecco_India[[#This Row],[Attrition]]="Yes",1,0)</f>
        <v>0</v>
      </c>
      <c r="F116">
        <v>34</v>
      </c>
      <c r="G116">
        <v>2</v>
      </c>
      <c r="J116">
        <v>3</v>
      </c>
      <c r="K116">
        <v>3</v>
      </c>
      <c r="N116">
        <v>1</v>
      </c>
      <c r="O116">
        <v>2</v>
      </c>
      <c r="Q116">
        <v>0</v>
      </c>
      <c r="R116">
        <v>3</v>
      </c>
      <c r="S116">
        <v>1</v>
      </c>
      <c r="U116" t="s">
        <v>38</v>
      </c>
      <c r="V116">
        <v>1</v>
      </c>
    </row>
    <row r="117" spans="2:22" x14ac:dyDescent="0.25">
      <c r="B117">
        <v>3</v>
      </c>
      <c r="C117">
        <f>IF(Adecco_India[[#This Row],[Attrition]]="Yes",1,0)</f>
        <v>0</v>
      </c>
      <c r="F117">
        <v>37</v>
      </c>
      <c r="G117">
        <v>4</v>
      </c>
      <c r="J117">
        <v>3</v>
      </c>
      <c r="K117">
        <v>3</v>
      </c>
      <c r="N117">
        <v>5</v>
      </c>
      <c r="O117">
        <v>4</v>
      </c>
      <c r="Q117">
        <v>1</v>
      </c>
      <c r="R117">
        <v>3</v>
      </c>
      <c r="S117">
        <v>1</v>
      </c>
      <c r="U117" t="s">
        <v>38</v>
      </c>
      <c r="V117">
        <v>1</v>
      </c>
    </row>
    <row r="118" spans="2:22" x14ac:dyDescent="0.25">
      <c r="B118">
        <v>5</v>
      </c>
      <c r="C118">
        <f>IF(Adecco_India[[#This Row],[Attrition]]="Yes",1,0)</f>
        <v>0</v>
      </c>
      <c r="F118">
        <v>34</v>
      </c>
      <c r="G118">
        <v>1</v>
      </c>
      <c r="J118">
        <v>3</v>
      </c>
      <c r="K118">
        <v>3</v>
      </c>
      <c r="N118">
        <v>11</v>
      </c>
      <c r="O118">
        <v>1</v>
      </c>
      <c r="Q118">
        <v>5</v>
      </c>
      <c r="R118">
        <v>3</v>
      </c>
      <c r="S118">
        <v>1</v>
      </c>
      <c r="U118" t="s">
        <v>51</v>
      </c>
      <c r="V118">
        <v>1</v>
      </c>
    </row>
    <row r="119" spans="2:22" x14ac:dyDescent="0.25">
      <c r="B119">
        <v>11</v>
      </c>
      <c r="C119">
        <f>IF(Adecco_India[[#This Row],[Attrition]]="Yes",1,0)</f>
        <v>0</v>
      </c>
      <c r="F119">
        <v>36</v>
      </c>
      <c r="G119">
        <v>4</v>
      </c>
      <c r="J119">
        <v>3</v>
      </c>
      <c r="K119">
        <v>3</v>
      </c>
      <c r="N119">
        <v>9</v>
      </c>
      <c r="O119">
        <v>4</v>
      </c>
      <c r="Q119">
        <v>2</v>
      </c>
      <c r="R119">
        <v>3</v>
      </c>
      <c r="S119">
        <v>1</v>
      </c>
      <c r="U119" t="s">
        <v>60</v>
      </c>
      <c r="V119">
        <v>1</v>
      </c>
    </row>
    <row r="120" spans="2:22" x14ac:dyDescent="0.25">
      <c r="B120">
        <v>3</v>
      </c>
      <c r="C120">
        <f>IF(Adecco_India[[#This Row],[Attrition]]="Yes",1,0)</f>
        <v>0</v>
      </c>
      <c r="F120">
        <v>36</v>
      </c>
      <c r="G120">
        <v>4</v>
      </c>
      <c r="J120">
        <v>3</v>
      </c>
      <c r="K120">
        <v>4</v>
      </c>
      <c r="N120">
        <v>1</v>
      </c>
      <c r="O120">
        <v>4</v>
      </c>
      <c r="Q120">
        <v>0</v>
      </c>
      <c r="R120">
        <v>4</v>
      </c>
      <c r="S120">
        <v>1</v>
      </c>
      <c r="U120" t="s">
        <v>38</v>
      </c>
      <c r="V120">
        <v>1</v>
      </c>
    </row>
    <row r="121" spans="2:22" x14ac:dyDescent="0.25">
      <c r="B121">
        <v>26</v>
      </c>
      <c r="C121">
        <f>IF(Adecco_India[[#This Row],[Attrition]]="Yes",1,0)</f>
        <v>0</v>
      </c>
      <c r="F121">
        <v>43</v>
      </c>
      <c r="G121">
        <v>4</v>
      </c>
      <c r="J121">
        <v>4</v>
      </c>
      <c r="K121">
        <v>3</v>
      </c>
      <c r="N121">
        <v>25</v>
      </c>
      <c r="O121">
        <v>4</v>
      </c>
      <c r="Q121">
        <v>4</v>
      </c>
      <c r="R121">
        <v>3</v>
      </c>
      <c r="S121">
        <v>1</v>
      </c>
      <c r="U121" t="s">
        <v>38</v>
      </c>
      <c r="V121">
        <v>1</v>
      </c>
    </row>
    <row r="122" spans="2:22" x14ac:dyDescent="0.25">
      <c r="B122">
        <v>23</v>
      </c>
      <c r="C122">
        <f>IF(Adecco_India[[#This Row],[Attrition]]="Yes",1,0)</f>
        <v>0</v>
      </c>
      <c r="F122">
        <v>30</v>
      </c>
      <c r="G122">
        <v>3</v>
      </c>
      <c r="J122">
        <v>2</v>
      </c>
      <c r="K122">
        <v>4</v>
      </c>
      <c r="N122">
        <v>10</v>
      </c>
      <c r="O122">
        <v>3</v>
      </c>
      <c r="Q122">
        <v>0</v>
      </c>
      <c r="R122">
        <v>4</v>
      </c>
      <c r="S122">
        <v>1</v>
      </c>
      <c r="U122" t="s">
        <v>38</v>
      </c>
      <c r="V122">
        <v>1</v>
      </c>
    </row>
    <row r="123" spans="2:22" x14ac:dyDescent="0.25">
      <c r="B123">
        <v>22</v>
      </c>
      <c r="C123">
        <f>IF(Adecco_India[[#This Row],[Attrition]]="Yes",1,0)</f>
        <v>0</v>
      </c>
      <c r="F123">
        <v>33</v>
      </c>
      <c r="G123">
        <v>2</v>
      </c>
      <c r="J123">
        <v>4</v>
      </c>
      <c r="K123">
        <v>3</v>
      </c>
      <c r="N123">
        <v>7</v>
      </c>
      <c r="O123">
        <v>2</v>
      </c>
      <c r="Q123">
        <v>0</v>
      </c>
      <c r="R123">
        <v>3</v>
      </c>
      <c r="S123">
        <v>1</v>
      </c>
      <c r="U123" t="s">
        <v>59</v>
      </c>
      <c r="V123">
        <v>1</v>
      </c>
    </row>
    <row r="124" spans="2:22" x14ac:dyDescent="0.25">
      <c r="B124">
        <v>14</v>
      </c>
      <c r="C124">
        <f>IF(Adecco_India[[#This Row],[Attrition]]="Yes",1,0)</f>
        <v>1</v>
      </c>
      <c r="F124">
        <v>56</v>
      </c>
      <c r="G124">
        <v>2</v>
      </c>
      <c r="J124">
        <v>3</v>
      </c>
      <c r="K124">
        <v>3</v>
      </c>
      <c r="N124">
        <v>5</v>
      </c>
      <c r="O124">
        <v>2</v>
      </c>
      <c r="Q124">
        <v>4</v>
      </c>
      <c r="R124">
        <v>3</v>
      </c>
      <c r="S124">
        <v>1</v>
      </c>
      <c r="U124" t="s">
        <v>38</v>
      </c>
      <c r="V124">
        <v>1</v>
      </c>
    </row>
    <row r="125" spans="2:22" x14ac:dyDescent="0.25">
      <c r="B125">
        <v>6</v>
      </c>
      <c r="C125">
        <f>IF(Adecco_India[[#This Row],[Attrition]]="Yes",1,0)</f>
        <v>0</v>
      </c>
      <c r="F125">
        <v>51</v>
      </c>
      <c r="G125">
        <v>3</v>
      </c>
      <c r="J125">
        <v>3</v>
      </c>
      <c r="K125">
        <v>3</v>
      </c>
      <c r="N125">
        <v>20</v>
      </c>
      <c r="O125">
        <v>3</v>
      </c>
      <c r="Q125">
        <v>15</v>
      </c>
      <c r="R125">
        <v>3</v>
      </c>
      <c r="S125">
        <v>1</v>
      </c>
      <c r="U125" t="s">
        <v>38</v>
      </c>
      <c r="V125">
        <v>1</v>
      </c>
    </row>
    <row r="126" spans="2:22" x14ac:dyDescent="0.25">
      <c r="B126">
        <v>6</v>
      </c>
      <c r="C126">
        <f>IF(Adecco_India[[#This Row],[Attrition]]="Yes",1,0)</f>
        <v>1</v>
      </c>
      <c r="F126">
        <v>31</v>
      </c>
      <c r="G126">
        <v>3</v>
      </c>
      <c r="J126">
        <v>2</v>
      </c>
      <c r="K126">
        <v>3</v>
      </c>
      <c r="N126">
        <v>7</v>
      </c>
      <c r="O126">
        <v>3</v>
      </c>
      <c r="Q126">
        <v>7</v>
      </c>
      <c r="R126">
        <v>3</v>
      </c>
      <c r="S126">
        <v>1</v>
      </c>
      <c r="U126" t="s">
        <v>38</v>
      </c>
      <c r="V126">
        <v>1</v>
      </c>
    </row>
    <row r="127" spans="2:22" x14ac:dyDescent="0.25">
      <c r="B127">
        <v>6</v>
      </c>
      <c r="C127">
        <f>IF(Adecco_India[[#This Row],[Attrition]]="Yes",1,0)</f>
        <v>0</v>
      </c>
      <c r="F127">
        <v>26</v>
      </c>
      <c r="G127">
        <v>2</v>
      </c>
      <c r="J127">
        <v>2</v>
      </c>
      <c r="K127">
        <v>3</v>
      </c>
      <c r="N127">
        <v>5</v>
      </c>
      <c r="O127">
        <v>2</v>
      </c>
      <c r="Q127">
        <v>4</v>
      </c>
      <c r="R127">
        <v>3</v>
      </c>
      <c r="S127">
        <v>1</v>
      </c>
      <c r="U127" t="s">
        <v>49</v>
      </c>
      <c r="V127">
        <v>1</v>
      </c>
    </row>
    <row r="128" spans="2:22" x14ac:dyDescent="0.25">
      <c r="B128">
        <v>23</v>
      </c>
      <c r="C128">
        <f>IF(Adecco_India[[#This Row],[Attrition]]="Yes",1,0)</f>
        <v>1</v>
      </c>
      <c r="F128">
        <v>58</v>
      </c>
      <c r="G128">
        <v>4</v>
      </c>
      <c r="J128">
        <v>2</v>
      </c>
      <c r="K128">
        <v>3</v>
      </c>
      <c r="N128">
        <v>40</v>
      </c>
      <c r="O128">
        <v>4</v>
      </c>
      <c r="Q128">
        <v>15</v>
      </c>
      <c r="R128">
        <v>3</v>
      </c>
      <c r="S128">
        <v>1</v>
      </c>
      <c r="U128" t="s">
        <v>51</v>
      </c>
      <c r="V128">
        <v>1</v>
      </c>
    </row>
    <row r="129" spans="2:22" x14ac:dyDescent="0.25">
      <c r="B129">
        <v>22</v>
      </c>
      <c r="C129">
        <f>IF(Adecco_India[[#This Row],[Attrition]]="Yes",1,0)</f>
        <v>1</v>
      </c>
      <c r="F129">
        <v>19</v>
      </c>
      <c r="G129">
        <v>3</v>
      </c>
      <c r="J129">
        <v>2</v>
      </c>
      <c r="K129">
        <v>3</v>
      </c>
      <c r="N129">
        <v>0</v>
      </c>
      <c r="O129">
        <v>3</v>
      </c>
      <c r="Q129">
        <v>0</v>
      </c>
      <c r="R129">
        <v>3</v>
      </c>
      <c r="S129">
        <v>1</v>
      </c>
      <c r="U129" t="s">
        <v>59</v>
      </c>
      <c r="V129">
        <v>1</v>
      </c>
    </row>
    <row r="130" spans="2:22" x14ac:dyDescent="0.25">
      <c r="B130">
        <v>2</v>
      </c>
      <c r="C130">
        <f>IF(Adecco_India[[#This Row],[Attrition]]="Yes",1,0)</f>
        <v>0</v>
      </c>
      <c r="F130">
        <v>22</v>
      </c>
      <c r="G130">
        <v>4</v>
      </c>
      <c r="J130">
        <v>3</v>
      </c>
      <c r="K130">
        <v>3</v>
      </c>
      <c r="N130">
        <v>2</v>
      </c>
      <c r="O130">
        <v>4</v>
      </c>
      <c r="Q130">
        <v>2</v>
      </c>
      <c r="R130">
        <v>3</v>
      </c>
      <c r="S130">
        <v>1</v>
      </c>
      <c r="U130" t="s">
        <v>60</v>
      </c>
      <c r="V130">
        <v>1</v>
      </c>
    </row>
    <row r="131" spans="2:22" x14ac:dyDescent="0.25">
      <c r="B131">
        <v>20</v>
      </c>
      <c r="C131">
        <f>IF(Adecco_India[[#This Row],[Attrition]]="Yes",1,0)</f>
        <v>0</v>
      </c>
      <c r="F131">
        <v>49</v>
      </c>
      <c r="G131">
        <v>1</v>
      </c>
      <c r="J131">
        <v>2</v>
      </c>
      <c r="K131">
        <v>3</v>
      </c>
      <c r="N131">
        <v>15</v>
      </c>
      <c r="O131">
        <v>1</v>
      </c>
      <c r="Q131">
        <v>5</v>
      </c>
      <c r="R131">
        <v>3</v>
      </c>
      <c r="S131">
        <v>1</v>
      </c>
      <c r="U131" t="s">
        <v>51</v>
      </c>
      <c r="V131">
        <v>1</v>
      </c>
    </row>
    <row r="132" spans="2:22" x14ac:dyDescent="0.25">
      <c r="B132">
        <v>28</v>
      </c>
      <c r="C132">
        <f>IF(Adecco_India[[#This Row],[Attrition]]="Yes",1,0)</f>
        <v>0</v>
      </c>
      <c r="F132">
        <v>43</v>
      </c>
      <c r="G132">
        <v>3</v>
      </c>
      <c r="J132">
        <v>3</v>
      </c>
      <c r="K132">
        <v>3</v>
      </c>
      <c r="N132">
        <v>3</v>
      </c>
      <c r="O132">
        <v>3</v>
      </c>
      <c r="Q132">
        <v>1</v>
      </c>
      <c r="R132">
        <v>3</v>
      </c>
      <c r="S132">
        <v>1</v>
      </c>
      <c r="U132" t="s">
        <v>51</v>
      </c>
      <c r="V132">
        <v>1</v>
      </c>
    </row>
    <row r="133" spans="2:22" x14ac:dyDescent="0.25">
      <c r="B133">
        <v>12</v>
      </c>
      <c r="C133">
        <f>IF(Adecco_India[[#This Row],[Attrition]]="Yes",1,0)</f>
        <v>0</v>
      </c>
      <c r="F133">
        <v>50</v>
      </c>
      <c r="G133">
        <v>4</v>
      </c>
      <c r="J133">
        <v>3</v>
      </c>
      <c r="K133">
        <v>3</v>
      </c>
      <c r="N133">
        <v>2</v>
      </c>
      <c r="O133">
        <v>4</v>
      </c>
      <c r="Q133">
        <v>2</v>
      </c>
      <c r="R133">
        <v>3</v>
      </c>
      <c r="S133">
        <v>1</v>
      </c>
      <c r="U133" t="s">
        <v>59</v>
      </c>
      <c r="V133">
        <v>1</v>
      </c>
    </row>
    <row r="134" spans="2:22" x14ac:dyDescent="0.25">
      <c r="B134">
        <v>20</v>
      </c>
      <c r="C134">
        <f>IF(Adecco_India[[#This Row],[Attrition]]="Yes",1,0)</f>
        <v>1</v>
      </c>
      <c r="F134">
        <v>31</v>
      </c>
      <c r="G134">
        <v>3</v>
      </c>
      <c r="J134">
        <v>3</v>
      </c>
      <c r="K134">
        <v>3</v>
      </c>
      <c r="N134">
        <v>2</v>
      </c>
      <c r="O134">
        <v>3</v>
      </c>
      <c r="Q134">
        <v>2</v>
      </c>
      <c r="R134">
        <v>3</v>
      </c>
      <c r="S134">
        <v>1</v>
      </c>
      <c r="U134" t="s">
        <v>38</v>
      </c>
      <c r="V134">
        <v>1</v>
      </c>
    </row>
    <row r="135" spans="2:22" x14ac:dyDescent="0.25">
      <c r="B135">
        <v>9</v>
      </c>
      <c r="C135">
        <f>IF(Adecco_India[[#This Row],[Attrition]]="Yes",1,0)</f>
        <v>0</v>
      </c>
      <c r="F135">
        <v>41</v>
      </c>
      <c r="G135">
        <v>3</v>
      </c>
      <c r="J135">
        <v>3</v>
      </c>
      <c r="K135">
        <v>3</v>
      </c>
      <c r="N135">
        <v>9</v>
      </c>
      <c r="O135">
        <v>3</v>
      </c>
      <c r="Q135">
        <v>0</v>
      </c>
      <c r="R135">
        <v>3</v>
      </c>
      <c r="S135">
        <v>1</v>
      </c>
      <c r="U135" t="s">
        <v>38</v>
      </c>
      <c r="V135">
        <v>1</v>
      </c>
    </row>
    <row r="136" spans="2:22" x14ac:dyDescent="0.25">
      <c r="B136">
        <v>25</v>
      </c>
      <c r="C136">
        <f>IF(Adecco_India[[#This Row],[Attrition]]="Yes",1,0)</f>
        <v>0</v>
      </c>
      <c r="F136">
        <v>26</v>
      </c>
      <c r="G136">
        <v>3</v>
      </c>
      <c r="J136">
        <v>3</v>
      </c>
      <c r="K136">
        <v>4</v>
      </c>
      <c r="N136">
        <v>8</v>
      </c>
      <c r="O136">
        <v>3</v>
      </c>
      <c r="Q136">
        <v>5</v>
      </c>
      <c r="R136">
        <v>4</v>
      </c>
      <c r="S136">
        <v>1</v>
      </c>
      <c r="U136" t="s">
        <v>38</v>
      </c>
      <c r="V136">
        <v>1</v>
      </c>
    </row>
    <row r="137" spans="2:22" x14ac:dyDescent="0.25">
      <c r="B137">
        <v>6</v>
      </c>
      <c r="C137">
        <f>IF(Adecco_India[[#This Row],[Attrition]]="Yes",1,0)</f>
        <v>0</v>
      </c>
      <c r="F137">
        <v>36</v>
      </c>
      <c r="G137">
        <v>2</v>
      </c>
      <c r="J137">
        <v>3</v>
      </c>
      <c r="K137">
        <v>4</v>
      </c>
      <c r="N137">
        <v>3</v>
      </c>
      <c r="O137">
        <v>2</v>
      </c>
      <c r="Q137">
        <v>0</v>
      </c>
      <c r="R137">
        <v>4</v>
      </c>
      <c r="S137">
        <v>1</v>
      </c>
      <c r="U137" t="s">
        <v>51</v>
      </c>
      <c r="V137">
        <v>1</v>
      </c>
    </row>
    <row r="138" spans="2:22" x14ac:dyDescent="0.25">
      <c r="B138">
        <v>8</v>
      </c>
      <c r="C138">
        <f>IF(Adecco_India[[#This Row],[Attrition]]="Yes",1,0)</f>
        <v>1</v>
      </c>
      <c r="F138">
        <v>51</v>
      </c>
      <c r="G138">
        <v>4</v>
      </c>
      <c r="J138">
        <v>3</v>
      </c>
      <c r="K138">
        <v>3</v>
      </c>
      <c r="N138">
        <v>4</v>
      </c>
      <c r="O138">
        <v>4</v>
      </c>
      <c r="Q138">
        <v>0</v>
      </c>
      <c r="R138">
        <v>3</v>
      </c>
      <c r="S138">
        <v>1</v>
      </c>
      <c r="U138" t="s">
        <v>38</v>
      </c>
      <c r="V138">
        <v>1</v>
      </c>
    </row>
    <row r="139" spans="2:22" x14ac:dyDescent="0.25">
      <c r="B139">
        <v>4</v>
      </c>
      <c r="C139">
        <f>IF(Adecco_India[[#This Row],[Attrition]]="Yes",1,0)</f>
        <v>0</v>
      </c>
      <c r="F139">
        <v>39</v>
      </c>
      <c r="G139">
        <v>3</v>
      </c>
      <c r="J139">
        <v>4</v>
      </c>
      <c r="K139">
        <v>3</v>
      </c>
      <c r="N139">
        <v>15</v>
      </c>
      <c r="O139">
        <v>3</v>
      </c>
      <c r="Q139">
        <v>5</v>
      </c>
      <c r="R139">
        <v>3</v>
      </c>
      <c r="S139">
        <v>1</v>
      </c>
      <c r="U139" t="s">
        <v>38</v>
      </c>
      <c r="V139">
        <v>1</v>
      </c>
    </row>
    <row r="140" spans="2:22" x14ac:dyDescent="0.25">
      <c r="B140">
        <v>28</v>
      </c>
      <c r="C140">
        <f>IF(Adecco_India[[#This Row],[Attrition]]="Yes",1,0)</f>
        <v>0</v>
      </c>
      <c r="F140">
        <v>25</v>
      </c>
      <c r="G140">
        <v>3</v>
      </c>
      <c r="J140">
        <v>3</v>
      </c>
      <c r="K140">
        <v>3</v>
      </c>
      <c r="N140">
        <v>2</v>
      </c>
      <c r="O140">
        <v>3</v>
      </c>
      <c r="Q140">
        <v>2</v>
      </c>
      <c r="R140">
        <v>3</v>
      </c>
      <c r="S140">
        <v>1</v>
      </c>
      <c r="U140" t="s">
        <v>38</v>
      </c>
      <c r="V140">
        <v>1</v>
      </c>
    </row>
    <row r="141" spans="2:22" x14ac:dyDescent="0.25">
      <c r="B141">
        <v>9</v>
      </c>
      <c r="C141">
        <f>IF(Adecco_India[[#This Row],[Attrition]]="Yes",1,0)</f>
        <v>0</v>
      </c>
      <c r="F141">
        <v>30</v>
      </c>
      <c r="G141">
        <v>4</v>
      </c>
      <c r="J141">
        <v>1</v>
      </c>
      <c r="K141">
        <v>3</v>
      </c>
      <c r="N141">
        <v>11</v>
      </c>
      <c r="O141">
        <v>4</v>
      </c>
      <c r="Q141">
        <v>4</v>
      </c>
      <c r="R141">
        <v>3</v>
      </c>
      <c r="S141">
        <v>1</v>
      </c>
      <c r="U141" t="s">
        <v>61</v>
      </c>
      <c r="V141">
        <v>1</v>
      </c>
    </row>
    <row r="142" spans="2:22" x14ac:dyDescent="0.25">
      <c r="B142">
        <v>9</v>
      </c>
      <c r="C142">
        <f>IF(Adecco_India[[#This Row],[Attrition]]="Yes",1,0)</f>
        <v>1</v>
      </c>
      <c r="F142">
        <v>32</v>
      </c>
      <c r="G142">
        <v>1</v>
      </c>
      <c r="J142">
        <v>4</v>
      </c>
      <c r="K142">
        <v>4</v>
      </c>
      <c r="N142">
        <v>5</v>
      </c>
      <c r="O142">
        <v>1</v>
      </c>
      <c r="Q142">
        <v>0</v>
      </c>
      <c r="R142">
        <v>4</v>
      </c>
      <c r="S142">
        <v>1</v>
      </c>
      <c r="U142" t="s">
        <v>51</v>
      </c>
      <c r="V142">
        <v>1</v>
      </c>
    </row>
    <row r="143" spans="2:22" x14ac:dyDescent="0.25">
      <c r="B143">
        <v>29</v>
      </c>
      <c r="C143">
        <f>IF(Adecco_India[[#This Row],[Attrition]]="Yes",1,0)</f>
        <v>0</v>
      </c>
      <c r="F143">
        <v>45</v>
      </c>
      <c r="G143">
        <v>4</v>
      </c>
      <c r="J143">
        <v>2</v>
      </c>
      <c r="K143">
        <v>3</v>
      </c>
      <c r="N143">
        <v>6</v>
      </c>
      <c r="O143">
        <v>4</v>
      </c>
      <c r="Q143">
        <v>0</v>
      </c>
      <c r="R143">
        <v>3</v>
      </c>
      <c r="S143">
        <v>1</v>
      </c>
      <c r="U143" t="s">
        <v>51</v>
      </c>
      <c r="V143">
        <v>1</v>
      </c>
    </row>
    <row r="144" spans="2:22" x14ac:dyDescent="0.25">
      <c r="B144">
        <v>3</v>
      </c>
      <c r="C144">
        <f>IF(Adecco_India[[#This Row],[Attrition]]="Yes",1,0)</f>
        <v>0</v>
      </c>
      <c r="F144">
        <v>38</v>
      </c>
      <c r="G144">
        <v>3</v>
      </c>
      <c r="J144">
        <v>3</v>
      </c>
      <c r="K144">
        <v>4</v>
      </c>
      <c r="N144">
        <v>3</v>
      </c>
      <c r="O144">
        <v>3</v>
      </c>
      <c r="Q144">
        <v>2</v>
      </c>
      <c r="R144">
        <v>4</v>
      </c>
      <c r="S144">
        <v>1</v>
      </c>
      <c r="U144" t="s">
        <v>60</v>
      </c>
      <c r="V144">
        <v>1</v>
      </c>
    </row>
    <row r="145" spans="2:22" x14ac:dyDescent="0.25">
      <c r="B145">
        <v>18</v>
      </c>
      <c r="C145">
        <f>IF(Adecco_India[[#This Row],[Attrition]]="Yes",1,0)</f>
        <v>0</v>
      </c>
      <c r="F145">
        <v>30</v>
      </c>
      <c r="G145">
        <v>3</v>
      </c>
      <c r="J145">
        <v>2</v>
      </c>
      <c r="K145">
        <v>3</v>
      </c>
      <c r="N145">
        <v>5</v>
      </c>
      <c r="O145">
        <v>3</v>
      </c>
      <c r="Q145">
        <v>0</v>
      </c>
      <c r="R145">
        <v>3</v>
      </c>
      <c r="S145">
        <v>1</v>
      </c>
      <c r="U145" t="s">
        <v>38</v>
      </c>
      <c r="V145">
        <v>1</v>
      </c>
    </row>
    <row r="146" spans="2:22" x14ac:dyDescent="0.25">
      <c r="B146">
        <v>9</v>
      </c>
      <c r="C146">
        <f>IF(Adecco_India[[#This Row],[Attrition]]="Yes",1,0)</f>
        <v>0</v>
      </c>
      <c r="F146">
        <v>32</v>
      </c>
      <c r="G146">
        <v>4</v>
      </c>
      <c r="J146">
        <v>4</v>
      </c>
      <c r="K146">
        <v>3</v>
      </c>
      <c r="N146">
        <v>8</v>
      </c>
      <c r="O146">
        <v>4</v>
      </c>
      <c r="Q146">
        <v>0</v>
      </c>
      <c r="R146">
        <v>3</v>
      </c>
      <c r="S146">
        <v>1</v>
      </c>
      <c r="U146" t="s">
        <v>51</v>
      </c>
      <c r="V146">
        <v>1</v>
      </c>
    </row>
    <row r="147" spans="2:22" x14ac:dyDescent="0.25">
      <c r="B147">
        <v>5</v>
      </c>
      <c r="C147">
        <f>IF(Adecco_India[[#This Row],[Attrition]]="Yes",1,0)</f>
        <v>0</v>
      </c>
      <c r="F147">
        <v>30</v>
      </c>
      <c r="G147">
        <v>1</v>
      </c>
      <c r="J147">
        <v>3</v>
      </c>
      <c r="K147">
        <v>3</v>
      </c>
      <c r="N147">
        <v>3</v>
      </c>
      <c r="O147">
        <v>1</v>
      </c>
      <c r="Q147">
        <v>2</v>
      </c>
      <c r="R147">
        <v>3</v>
      </c>
      <c r="S147">
        <v>1</v>
      </c>
      <c r="U147" t="s">
        <v>60</v>
      </c>
      <c r="V147">
        <v>1</v>
      </c>
    </row>
    <row r="148" spans="2:22" x14ac:dyDescent="0.25">
      <c r="B148">
        <v>2</v>
      </c>
      <c r="C148">
        <f>IF(Adecco_India[[#This Row],[Attrition]]="Yes",1,0)</f>
        <v>0</v>
      </c>
      <c r="F148">
        <v>30</v>
      </c>
      <c r="G148">
        <v>4</v>
      </c>
      <c r="J148">
        <v>3</v>
      </c>
      <c r="K148">
        <v>3</v>
      </c>
      <c r="N148">
        <v>5</v>
      </c>
      <c r="O148">
        <v>4</v>
      </c>
      <c r="Q148">
        <v>1</v>
      </c>
      <c r="R148">
        <v>3</v>
      </c>
      <c r="S148">
        <v>1</v>
      </c>
      <c r="U148" t="s">
        <v>51</v>
      </c>
      <c r="V148">
        <v>1</v>
      </c>
    </row>
    <row r="149" spans="2:22" x14ac:dyDescent="0.25">
      <c r="B149">
        <v>10</v>
      </c>
      <c r="C149">
        <f>IF(Adecco_India[[#This Row],[Attrition]]="Yes",1,0)</f>
        <v>0</v>
      </c>
      <c r="F149">
        <v>41</v>
      </c>
      <c r="G149">
        <v>1</v>
      </c>
      <c r="J149">
        <v>2</v>
      </c>
      <c r="K149">
        <v>3</v>
      </c>
      <c r="N149">
        <v>7</v>
      </c>
      <c r="O149">
        <v>1</v>
      </c>
      <c r="Q149">
        <v>7</v>
      </c>
      <c r="R149">
        <v>3</v>
      </c>
      <c r="S149">
        <v>1</v>
      </c>
      <c r="U149" t="s">
        <v>38</v>
      </c>
      <c r="V149">
        <v>1</v>
      </c>
    </row>
    <row r="150" spans="2:22" x14ac:dyDescent="0.25">
      <c r="B150">
        <v>9</v>
      </c>
      <c r="C150">
        <f>IF(Adecco_India[[#This Row],[Attrition]]="Yes",1,0)</f>
        <v>0</v>
      </c>
      <c r="F150">
        <v>41</v>
      </c>
      <c r="G150">
        <v>1</v>
      </c>
      <c r="J150">
        <v>3</v>
      </c>
      <c r="K150">
        <v>4</v>
      </c>
      <c r="N150">
        <v>5</v>
      </c>
      <c r="O150">
        <v>1</v>
      </c>
      <c r="Q150">
        <v>1</v>
      </c>
      <c r="R150">
        <v>4</v>
      </c>
      <c r="S150">
        <v>1</v>
      </c>
      <c r="U150" t="s">
        <v>38</v>
      </c>
      <c r="V150">
        <v>1</v>
      </c>
    </row>
    <row r="151" spans="2:22" x14ac:dyDescent="0.25">
      <c r="B151">
        <v>3</v>
      </c>
      <c r="C151">
        <f>IF(Adecco_India[[#This Row],[Attrition]]="Yes",1,0)</f>
        <v>0</v>
      </c>
      <c r="F151">
        <v>19</v>
      </c>
      <c r="G151">
        <v>2</v>
      </c>
      <c r="J151">
        <v>3</v>
      </c>
      <c r="K151">
        <v>3</v>
      </c>
      <c r="N151">
        <v>1</v>
      </c>
      <c r="O151">
        <v>2</v>
      </c>
      <c r="Q151">
        <v>0</v>
      </c>
      <c r="R151">
        <v>3</v>
      </c>
      <c r="S151">
        <v>1</v>
      </c>
      <c r="U151" t="s">
        <v>51</v>
      </c>
      <c r="V151">
        <v>1</v>
      </c>
    </row>
    <row r="152" spans="2:22" x14ac:dyDescent="0.25">
      <c r="B152">
        <v>26</v>
      </c>
      <c r="C152">
        <f>IF(Adecco_India[[#This Row],[Attrition]]="Yes",1,0)</f>
        <v>0</v>
      </c>
      <c r="F152">
        <v>40</v>
      </c>
      <c r="G152">
        <v>2</v>
      </c>
      <c r="J152">
        <v>3</v>
      </c>
      <c r="K152">
        <v>3</v>
      </c>
      <c r="N152">
        <v>20</v>
      </c>
      <c r="O152">
        <v>2</v>
      </c>
      <c r="Q152">
        <v>2</v>
      </c>
      <c r="R152">
        <v>3</v>
      </c>
      <c r="S152">
        <v>1</v>
      </c>
      <c r="U152" t="s">
        <v>51</v>
      </c>
      <c r="V152">
        <v>1</v>
      </c>
    </row>
    <row r="153" spans="2:22" x14ac:dyDescent="0.25">
      <c r="B153">
        <v>1</v>
      </c>
      <c r="C153">
        <f>IF(Adecco_India[[#This Row],[Attrition]]="Yes",1,0)</f>
        <v>0</v>
      </c>
      <c r="F153">
        <v>35</v>
      </c>
      <c r="G153">
        <v>2</v>
      </c>
      <c r="J153">
        <v>3</v>
      </c>
      <c r="K153">
        <v>3</v>
      </c>
      <c r="N153">
        <v>10</v>
      </c>
      <c r="O153">
        <v>2</v>
      </c>
      <c r="Q153">
        <v>0</v>
      </c>
      <c r="R153">
        <v>3</v>
      </c>
      <c r="S153">
        <v>1</v>
      </c>
      <c r="U153" t="s">
        <v>59</v>
      </c>
      <c r="V153">
        <v>1</v>
      </c>
    </row>
    <row r="154" spans="2:22" x14ac:dyDescent="0.25">
      <c r="B154">
        <v>6</v>
      </c>
      <c r="C154">
        <f>IF(Adecco_India[[#This Row],[Attrition]]="Yes",1,0)</f>
        <v>0</v>
      </c>
      <c r="F154">
        <v>53</v>
      </c>
      <c r="G154">
        <v>3</v>
      </c>
      <c r="J154">
        <v>1</v>
      </c>
      <c r="K154">
        <v>4</v>
      </c>
      <c r="N154">
        <v>7</v>
      </c>
      <c r="O154">
        <v>3</v>
      </c>
      <c r="Q154">
        <v>4</v>
      </c>
      <c r="R154">
        <v>4</v>
      </c>
      <c r="S154">
        <v>1</v>
      </c>
      <c r="U154" t="s">
        <v>59</v>
      </c>
      <c r="V154">
        <v>1</v>
      </c>
    </row>
    <row r="155" spans="2:22" x14ac:dyDescent="0.25">
      <c r="B155">
        <v>9</v>
      </c>
      <c r="C155">
        <f>IF(Adecco_India[[#This Row],[Attrition]]="Yes",1,0)</f>
        <v>0</v>
      </c>
      <c r="F155">
        <v>45</v>
      </c>
      <c r="G155">
        <v>2</v>
      </c>
      <c r="J155">
        <v>1</v>
      </c>
      <c r="K155">
        <v>3</v>
      </c>
      <c r="N155">
        <v>17</v>
      </c>
      <c r="O155">
        <v>2</v>
      </c>
      <c r="Q155">
        <v>0</v>
      </c>
      <c r="R155">
        <v>3</v>
      </c>
      <c r="S155">
        <v>1</v>
      </c>
      <c r="U155" t="s">
        <v>38</v>
      </c>
      <c r="V155">
        <v>1</v>
      </c>
    </row>
    <row r="156" spans="2:22" x14ac:dyDescent="0.25">
      <c r="B156">
        <v>8</v>
      </c>
      <c r="C156">
        <f>IF(Adecco_India[[#This Row],[Attrition]]="Yes",1,0)</f>
        <v>0</v>
      </c>
      <c r="F156">
        <v>32</v>
      </c>
      <c r="G156">
        <v>4</v>
      </c>
      <c r="J156">
        <v>3</v>
      </c>
      <c r="K156">
        <v>3</v>
      </c>
      <c r="N156">
        <v>9</v>
      </c>
      <c r="O156">
        <v>4</v>
      </c>
      <c r="Q156">
        <v>3</v>
      </c>
      <c r="R156">
        <v>3</v>
      </c>
      <c r="S156">
        <v>1</v>
      </c>
      <c r="U156" t="s">
        <v>59</v>
      </c>
      <c r="V156">
        <v>1</v>
      </c>
    </row>
    <row r="157" spans="2:22" x14ac:dyDescent="0.25">
      <c r="B157">
        <v>1</v>
      </c>
      <c r="C157">
        <f>IF(Adecco_India[[#This Row],[Attrition]]="Yes",1,0)</f>
        <v>0</v>
      </c>
      <c r="F157">
        <v>29</v>
      </c>
      <c r="G157">
        <v>3</v>
      </c>
      <c r="J157">
        <v>3</v>
      </c>
      <c r="K157">
        <v>3</v>
      </c>
      <c r="N157">
        <v>10</v>
      </c>
      <c r="O157">
        <v>3</v>
      </c>
      <c r="Q157">
        <v>0</v>
      </c>
      <c r="R157">
        <v>3</v>
      </c>
      <c r="S157">
        <v>1</v>
      </c>
      <c r="U157" t="s">
        <v>60</v>
      </c>
      <c r="V157">
        <v>1</v>
      </c>
    </row>
    <row r="158" spans="2:22" x14ac:dyDescent="0.25">
      <c r="B158">
        <v>7</v>
      </c>
      <c r="C158">
        <f>IF(Adecco_India[[#This Row],[Attrition]]="Yes",1,0)</f>
        <v>0</v>
      </c>
      <c r="F158">
        <v>51</v>
      </c>
      <c r="G158">
        <v>3</v>
      </c>
      <c r="J158">
        <v>3</v>
      </c>
      <c r="K158">
        <v>3</v>
      </c>
      <c r="N158">
        <v>1</v>
      </c>
      <c r="O158">
        <v>3</v>
      </c>
      <c r="Q158">
        <v>0</v>
      </c>
      <c r="R158">
        <v>3</v>
      </c>
      <c r="S158">
        <v>1</v>
      </c>
      <c r="U158" t="s">
        <v>51</v>
      </c>
      <c r="V158">
        <v>1</v>
      </c>
    </row>
    <row r="159" spans="2:22" x14ac:dyDescent="0.25">
      <c r="B159">
        <v>9</v>
      </c>
      <c r="C159">
        <f>IF(Adecco_India[[#This Row],[Attrition]]="Yes",1,0)</f>
        <v>0</v>
      </c>
      <c r="F159">
        <v>58</v>
      </c>
      <c r="G159">
        <v>2</v>
      </c>
      <c r="J159">
        <v>2</v>
      </c>
      <c r="K159">
        <v>4</v>
      </c>
      <c r="N159">
        <v>1</v>
      </c>
      <c r="O159">
        <v>2</v>
      </c>
      <c r="Q159">
        <v>0</v>
      </c>
      <c r="R159">
        <v>4</v>
      </c>
      <c r="S159">
        <v>1</v>
      </c>
      <c r="U159" t="s">
        <v>51</v>
      </c>
      <c r="V159">
        <v>1</v>
      </c>
    </row>
    <row r="160" spans="2:22" x14ac:dyDescent="0.25">
      <c r="B160">
        <v>4</v>
      </c>
      <c r="C160">
        <f>IF(Adecco_India[[#This Row],[Attrition]]="Yes",1,0)</f>
        <v>0</v>
      </c>
      <c r="F160">
        <v>40</v>
      </c>
      <c r="G160">
        <v>4</v>
      </c>
      <c r="J160">
        <v>2</v>
      </c>
      <c r="K160">
        <v>3</v>
      </c>
      <c r="N160">
        <v>12</v>
      </c>
      <c r="O160">
        <v>4</v>
      </c>
      <c r="Q160">
        <v>2</v>
      </c>
      <c r="R160">
        <v>3</v>
      </c>
      <c r="S160">
        <v>1</v>
      </c>
      <c r="U160" t="s">
        <v>59</v>
      </c>
      <c r="V160">
        <v>1</v>
      </c>
    </row>
    <row r="161" spans="2:22" x14ac:dyDescent="0.25">
      <c r="B161">
        <v>2</v>
      </c>
      <c r="C161">
        <f>IF(Adecco_India[[#This Row],[Attrition]]="Yes",1,0)</f>
        <v>0</v>
      </c>
      <c r="F161">
        <v>34</v>
      </c>
      <c r="G161">
        <v>3</v>
      </c>
      <c r="J161">
        <v>3</v>
      </c>
      <c r="K161">
        <v>3</v>
      </c>
      <c r="N161">
        <v>4</v>
      </c>
      <c r="O161">
        <v>3</v>
      </c>
      <c r="Q161">
        <v>1</v>
      </c>
      <c r="R161">
        <v>3</v>
      </c>
      <c r="S161">
        <v>1</v>
      </c>
      <c r="U161" t="s">
        <v>59</v>
      </c>
      <c r="V161">
        <v>1</v>
      </c>
    </row>
    <row r="162" spans="2:22" x14ac:dyDescent="0.25">
      <c r="B162">
        <v>19</v>
      </c>
      <c r="C162">
        <f>IF(Adecco_India[[#This Row],[Attrition]]="Yes",1,0)</f>
        <v>0</v>
      </c>
      <c r="F162">
        <v>22</v>
      </c>
      <c r="G162">
        <v>4</v>
      </c>
      <c r="J162">
        <v>3</v>
      </c>
      <c r="K162">
        <v>4</v>
      </c>
      <c r="N162">
        <v>2</v>
      </c>
      <c r="O162">
        <v>4</v>
      </c>
      <c r="Q162">
        <v>2</v>
      </c>
      <c r="R162">
        <v>4</v>
      </c>
      <c r="S162">
        <v>1</v>
      </c>
      <c r="U162" t="s">
        <v>51</v>
      </c>
      <c r="V162">
        <v>1</v>
      </c>
    </row>
    <row r="163" spans="2:22" x14ac:dyDescent="0.25">
      <c r="B163">
        <v>9</v>
      </c>
      <c r="C163">
        <f>IF(Adecco_India[[#This Row],[Attrition]]="Yes",1,0)</f>
        <v>0</v>
      </c>
      <c r="F163">
        <v>27</v>
      </c>
      <c r="G163">
        <v>2</v>
      </c>
      <c r="J163">
        <v>1</v>
      </c>
      <c r="K163">
        <v>3</v>
      </c>
      <c r="N163">
        <v>2</v>
      </c>
      <c r="O163">
        <v>2</v>
      </c>
      <c r="Q163">
        <v>2</v>
      </c>
      <c r="R163">
        <v>3</v>
      </c>
      <c r="S163">
        <v>1</v>
      </c>
      <c r="U163" t="s">
        <v>51</v>
      </c>
      <c r="V163">
        <v>1</v>
      </c>
    </row>
    <row r="164" spans="2:22" x14ac:dyDescent="0.25">
      <c r="B164">
        <v>21</v>
      </c>
      <c r="C164">
        <f>IF(Adecco_India[[#This Row],[Attrition]]="Yes",1,0)</f>
        <v>0</v>
      </c>
      <c r="F164">
        <v>28</v>
      </c>
      <c r="G164">
        <v>4</v>
      </c>
      <c r="J164">
        <v>1</v>
      </c>
      <c r="K164">
        <v>3</v>
      </c>
      <c r="N164">
        <v>5</v>
      </c>
      <c r="O164">
        <v>4</v>
      </c>
      <c r="Q164">
        <v>0</v>
      </c>
      <c r="R164">
        <v>3</v>
      </c>
      <c r="S164">
        <v>1</v>
      </c>
      <c r="U164" t="s">
        <v>51</v>
      </c>
      <c r="V164">
        <v>1</v>
      </c>
    </row>
    <row r="165" spans="2:22" x14ac:dyDescent="0.25">
      <c r="B165">
        <v>24</v>
      </c>
      <c r="C165">
        <f>IF(Adecco_India[[#This Row],[Attrition]]="Yes",1,0)</f>
        <v>0</v>
      </c>
      <c r="F165">
        <v>57</v>
      </c>
      <c r="G165">
        <v>4</v>
      </c>
      <c r="J165">
        <v>1</v>
      </c>
      <c r="K165">
        <v>3</v>
      </c>
      <c r="N165">
        <v>5</v>
      </c>
      <c r="O165">
        <v>4</v>
      </c>
      <c r="Q165">
        <v>1</v>
      </c>
      <c r="R165">
        <v>3</v>
      </c>
      <c r="S165">
        <v>1</v>
      </c>
      <c r="U165" t="s">
        <v>38</v>
      </c>
      <c r="V165">
        <v>1</v>
      </c>
    </row>
    <row r="166" spans="2:22" x14ac:dyDescent="0.25">
      <c r="B166">
        <v>3</v>
      </c>
      <c r="C166">
        <f>IF(Adecco_India[[#This Row],[Attrition]]="Yes",1,0)</f>
        <v>0</v>
      </c>
      <c r="F166">
        <v>27</v>
      </c>
      <c r="G166">
        <v>3</v>
      </c>
      <c r="J166">
        <v>2</v>
      </c>
      <c r="K166">
        <v>3</v>
      </c>
      <c r="N166">
        <v>1</v>
      </c>
      <c r="O166">
        <v>3</v>
      </c>
      <c r="Q166">
        <v>0</v>
      </c>
      <c r="R166">
        <v>3</v>
      </c>
      <c r="S166">
        <v>1</v>
      </c>
      <c r="U166" t="s">
        <v>51</v>
      </c>
      <c r="V166">
        <v>1</v>
      </c>
    </row>
    <row r="167" spans="2:22" x14ac:dyDescent="0.25">
      <c r="B167">
        <v>11</v>
      </c>
      <c r="C167">
        <f>IF(Adecco_India[[#This Row],[Attrition]]="Yes",1,0)</f>
        <v>0</v>
      </c>
      <c r="F167">
        <v>50</v>
      </c>
      <c r="G167">
        <v>2</v>
      </c>
      <c r="J167">
        <v>3</v>
      </c>
      <c r="K167">
        <v>3</v>
      </c>
      <c r="N167">
        <v>5</v>
      </c>
      <c r="O167">
        <v>2</v>
      </c>
      <c r="Q167">
        <v>4</v>
      </c>
      <c r="R167">
        <v>3</v>
      </c>
      <c r="S167">
        <v>1</v>
      </c>
      <c r="U167" t="s">
        <v>38</v>
      </c>
      <c r="V167">
        <v>1</v>
      </c>
    </row>
    <row r="168" spans="2:22" x14ac:dyDescent="0.25">
      <c r="B168">
        <v>14</v>
      </c>
      <c r="C168">
        <f>IF(Adecco_India[[#This Row],[Attrition]]="Yes",1,0)</f>
        <v>0</v>
      </c>
      <c r="F168">
        <v>41</v>
      </c>
      <c r="G168">
        <v>3</v>
      </c>
      <c r="J168">
        <v>3</v>
      </c>
      <c r="K168">
        <v>3</v>
      </c>
      <c r="N168">
        <v>9</v>
      </c>
      <c r="O168">
        <v>3</v>
      </c>
      <c r="Q168">
        <v>1</v>
      </c>
      <c r="R168">
        <v>3</v>
      </c>
      <c r="S168">
        <v>1</v>
      </c>
      <c r="U168" t="s">
        <v>38</v>
      </c>
      <c r="V168">
        <v>1</v>
      </c>
    </row>
    <row r="169" spans="2:22" x14ac:dyDescent="0.25">
      <c r="B169">
        <v>5</v>
      </c>
      <c r="C169">
        <f>IF(Adecco_India[[#This Row],[Attrition]]="Yes",1,0)</f>
        <v>0</v>
      </c>
      <c r="F169">
        <v>30</v>
      </c>
      <c r="G169">
        <v>4</v>
      </c>
      <c r="J169">
        <v>3</v>
      </c>
      <c r="K169">
        <v>3</v>
      </c>
      <c r="N169">
        <v>10</v>
      </c>
      <c r="O169">
        <v>4</v>
      </c>
      <c r="Q169">
        <v>7</v>
      </c>
      <c r="R169">
        <v>3</v>
      </c>
      <c r="S169">
        <v>1</v>
      </c>
      <c r="U169" t="s">
        <v>38</v>
      </c>
      <c r="V169">
        <v>1</v>
      </c>
    </row>
    <row r="170" spans="2:22" x14ac:dyDescent="0.25">
      <c r="B170">
        <v>1</v>
      </c>
      <c r="C170">
        <f>IF(Adecco_India[[#This Row],[Attrition]]="Yes",1,0)</f>
        <v>0</v>
      </c>
      <c r="F170">
        <v>38</v>
      </c>
      <c r="G170">
        <v>4</v>
      </c>
      <c r="J170">
        <v>4</v>
      </c>
      <c r="K170">
        <v>4</v>
      </c>
      <c r="N170">
        <v>8</v>
      </c>
      <c r="O170">
        <v>4</v>
      </c>
      <c r="Q170">
        <v>0</v>
      </c>
      <c r="R170">
        <v>4</v>
      </c>
      <c r="S170">
        <v>1</v>
      </c>
      <c r="U170" t="s">
        <v>38</v>
      </c>
      <c r="V170">
        <v>1</v>
      </c>
    </row>
    <row r="171" spans="2:22" x14ac:dyDescent="0.25">
      <c r="B171">
        <v>6</v>
      </c>
      <c r="C171">
        <f>IF(Adecco_India[[#This Row],[Attrition]]="Yes",1,0)</f>
        <v>0</v>
      </c>
      <c r="F171">
        <v>32</v>
      </c>
      <c r="G171">
        <v>3</v>
      </c>
      <c r="J171">
        <v>3</v>
      </c>
      <c r="K171">
        <v>4</v>
      </c>
      <c r="N171">
        <v>5</v>
      </c>
      <c r="O171">
        <v>3</v>
      </c>
      <c r="Q171">
        <v>1</v>
      </c>
      <c r="R171">
        <v>4</v>
      </c>
      <c r="S171">
        <v>1</v>
      </c>
      <c r="U171" t="s">
        <v>38</v>
      </c>
      <c r="V171">
        <v>1</v>
      </c>
    </row>
    <row r="172" spans="2:22" x14ac:dyDescent="0.25">
      <c r="B172">
        <v>17</v>
      </c>
      <c r="C172">
        <f>IF(Adecco_India[[#This Row],[Attrition]]="Yes",1,0)</f>
        <v>0</v>
      </c>
      <c r="F172">
        <v>27</v>
      </c>
      <c r="G172">
        <v>2</v>
      </c>
      <c r="J172">
        <v>2</v>
      </c>
      <c r="K172">
        <v>3</v>
      </c>
      <c r="N172">
        <v>5</v>
      </c>
      <c r="O172">
        <v>2</v>
      </c>
      <c r="Q172">
        <v>1</v>
      </c>
      <c r="R172">
        <v>3</v>
      </c>
      <c r="S172">
        <v>1</v>
      </c>
      <c r="U172" t="s">
        <v>60</v>
      </c>
      <c r="V172">
        <v>1</v>
      </c>
    </row>
    <row r="173" spans="2:22" x14ac:dyDescent="0.25">
      <c r="B173">
        <v>1</v>
      </c>
      <c r="C173">
        <f>IF(Adecco_India[[#This Row],[Attrition]]="Yes",1,0)</f>
        <v>1</v>
      </c>
      <c r="F173">
        <v>19</v>
      </c>
      <c r="G173">
        <v>1</v>
      </c>
      <c r="J173">
        <v>4</v>
      </c>
      <c r="K173">
        <v>4</v>
      </c>
      <c r="N173">
        <v>0</v>
      </c>
      <c r="O173">
        <v>1</v>
      </c>
      <c r="Q173">
        <v>0</v>
      </c>
      <c r="R173">
        <v>4</v>
      </c>
      <c r="S173">
        <v>1</v>
      </c>
      <c r="U173" t="s">
        <v>60</v>
      </c>
      <c r="V173">
        <v>1</v>
      </c>
    </row>
    <row r="174" spans="2:22" x14ac:dyDescent="0.25">
      <c r="B174">
        <v>3</v>
      </c>
      <c r="C174">
        <f>IF(Adecco_India[[#This Row],[Attrition]]="Yes",1,0)</f>
        <v>0</v>
      </c>
      <c r="F174">
        <v>36</v>
      </c>
      <c r="G174">
        <v>2</v>
      </c>
      <c r="J174">
        <v>2</v>
      </c>
      <c r="K174">
        <v>3</v>
      </c>
      <c r="N174">
        <v>8</v>
      </c>
      <c r="O174">
        <v>2</v>
      </c>
      <c r="Q174">
        <v>7</v>
      </c>
      <c r="R174">
        <v>3</v>
      </c>
      <c r="S174">
        <v>1</v>
      </c>
      <c r="U174" t="s">
        <v>51</v>
      </c>
      <c r="V174">
        <v>1</v>
      </c>
    </row>
    <row r="175" spans="2:22" x14ac:dyDescent="0.25">
      <c r="B175">
        <v>9</v>
      </c>
      <c r="C175">
        <f>IF(Adecco_India[[#This Row],[Attrition]]="Yes",1,0)</f>
        <v>0</v>
      </c>
      <c r="F175">
        <v>30</v>
      </c>
      <c r="G175">
        <v>1</v>
      </c>
      <c r="J175">
        <v>3</v>
      </c>
      <c r="K175">
        <v>3</v>
      </c>
      <c r="N175">
        <v>12</v>
      </c>
      <c r="O175">
        <v>1</v>
      </c>
      <c r="Q175">
        <v>6</v>
      </c>
      <c r="R175">
        <v>3</v>
      </c>
      <c r="S175">
        <v>1</v>
      </c>
      <c r="U175" t="s">
        <v>51</v>
      </c>
      <c r="V175">
        <v>1</v>
      </c>
    </row>
    <row r="176" spans="2:22" x14ac:dyDescent="0.25">
      <c r="B176">
        <v>4</v>
      </c>
      <c r="C176">
        <f>IF(Adecco_India[[#This Row],[Attrition]]="Yes",1,0)</f>
        <v>0</v>
      </c>
      <c r="F176">
        <v>45</v>
      </c>
      <c r="G176">
        <v>1</v>
      </c>
      <c r="J176">
        <v>4</v>
      </c>
      <c r="K176">
        <v>3</v>
      </c>
      <c r="N176">
        <v>5</v>
      </c>
      <c r="O176">
        <v>1</v>
      </c>
      <c r="Q176">
        <v>0</v>
      </c>
      <c r="R176">
        <v>3</v>
      </c>
      <c r="S176">
        <v>1</v>
      </c>
      <c r="U176" t="s">
        <v>38</v>
      </c>
      <c r="V176">
        <v>1</v>
      </c>
    </row>
    <row r="177" spans="2:22" x14ac:dyDescent="0.25">
      <c r="B177">
        <v>8</v>
      </c>
      <c r="C177">
        <f>IF(Adecco_India[[#This Row],[Attrition]]="Yes",1,0)</f>
        <v>0</v>
      </c>
      <c r="F177">
        <v>56</v>
      </c>
      <c r="G177">
        <v>1</v>
      </c>
      <c r="J177">
        <v>3</v>
      </c>
      <c r="K177">
        <v>3</v>
      </c>
      <c r="N177">
        <v>2</v>
      </c>
      <c r="O177">
        <v>1</v>
      </c>
      <c r="Q177">
        <v>2</v>
      </c>
      <c r="R177">
        <v>3</v>
      </c>
      <c r="S177">
        <v>1</v>
      </c>
      <c r="U177" t="s">
        <v>38</v>
      </c>
      <c r="V177">
        <v>1</v>
      </c>
    </row>
    <row r="178" spans="2:22" x14ac:dyDescent="0.25">
      <c r="B178">
        <v>2</v>
      </c>
      <c r="C178">
        <f>IF(Adecco_India[[#This Row],[Attrition]]="Yes",1,0)</f>
        <v>0</v>
      </c>
      <c r="F178">
        <v>33</v>
      </c>
      <c r="G178">
        <v>4</v>
      </c>
      <c r="J178">
        <v>4</v>
      </c>
      <c r="K178">
        <v>3</v>
      </c>
      <c r="N178">
        <v>3</v>
      </c>
      <c r="O178">
        <v>4</v>
      </c>
      <c r="Q178">
        <v>0</v>
      </c>
      <c r="R178">
        <v>3</v>
      </c>
      <c r="S178">
        <v>1</v>
      </c>
      <c r="U178" t="s">
        <v>38</v>
      </c>
      <c r="V178">
        <v>1</v>
      </c>
    </row>
    <row r="179" spans="2:22" x14ac:dyDescent="0.25">
      <c r="B179">
        <v>2</v>
      </c>
      <c r="C179">
        <f>IF(Adecco_India[[#This Row],[Attrition]]="Yes",1,0)</f>
        <v>1</v>
      </c>
      <c r="F179">
        <v>19</v>
      </c>
      <c r="G179">
        <v>4</v>
      </c>
      <c r="J179">
        <v>2</v>
      </c>
      <c r="K179">
        <v>4</v>
      </c>
      <c r="N179">
        <v>1</v>
      </c>
      <c r="O179">
        <v>4</v>
      </c>
      <c r="Q179">
        <v>1</v>
      </c>
      <c r="R179">
        <v>4</v>
      </c>
      <c r="S179">
        <v>1</v>
      </c>
      <c r="U179" t="s">
        <v>38</v>
      </c>
      <c r="V179">
        <v>1</v>
      </c>
    </row>
    <row r="180" spans="2:22" x14ac:dyDescent="0.25">
      <c r="B180">
        <v>1</v>
      </c>
      <c r="C180">
        <f>IF(Adecco_India[[#This Row],[Attrition]]="Yes",1,0)</f>
        <v>0</v>
      </c>
      <c r="F180">
        <v>46</v>
      </c>
      <c r="G180">
        <v>1</v>
      </c>
      <c r="J180">
        <v>3</v>
      </c>
      <c r="K180">
        <v>4</v>
      </c>
      <c r="N180">
        <v>24</v>
      </c>
      <c r="O180">
        <v>1</v>
      </c>
      <c r="Q180">
        <v>15</v>
      </c>
      <c r="R180">
        <v>4</v>
      </c>
      <c r="S180">
        <v>1</v>
      </c>
      <c r="U180" t="s">
        <v>59</v>
      </c>
      <c r="V180">
        <v>1</v>
      </c>
    </row>
    <row r="181" spans="2:22" x14ac:dyDescent="0.25">
      <c r="B181">
        <v>9</v>
      </c>
      <c r="C181">
        <f>IF(Adecco_India[[#This Row],[Attrition]]="Yes",1,0)</f>
        <v>0</v>
      </c>
      <c r="F181">
        <v>38</v>
      </c>
      <c r="G181">
        <v>4</v>
      </c>
      <c r="J181">
        <v>3</v>
      </c>
      <c r="K181">
        <v>3</v>
      </c>
      <c r="N181">
        <v>2</v>
      </c>
      <c r="O181">
        <v>4</v>
      </c>
      <c r="Q181">
        <v>2</v>
      </c>
      <c r="R181">
        <v>3</v>
      </c>
      <c r="S181">
        <v>1</v>
      </c>
      <c r="U181" t="s">
        <v>38</v>
      </c>
      <c r="V181">
        <v>1</v>
      </c>
    </row>
    <row r="182" spans="2:22" x14ac:dyDescent="0.25">
      <c r="B182">
        <v>12</v>
      </c>
      <c r="C182">
        <f>IF(Adecco_India[[#This Row],[Attrition]]="Yes",1,0)</f>
        <v>0</v>
      </c>
      <c r="F182">
        <v>31</v>
      </c>
      <c r="G182">
        <v>4</v>
      </c>
      <c r="J182">
        <v>3</v>
      </c>
      <c r="K182">
        <v>4</v>
      </c>
      <c r="N182">
        <v>4</v>
      </c>
      <c r="O182">
        <v>4</v>
      </c>
      <c r="Q182">
        <v>0</v>
      </c>
      <c r="R182">
        <v>4</v>
      </c>
      <c r="S182">
        <v>1</v>
      </c>
      <c r="U182" t="s">
        <v>51</v>
      </c>
      <c r="V182">
        <v>1</v>
      </c>
    </row>
    <row r="183" spans="2:22" x14ac:dyDescent="0.25">
      <c r="B183">
        <v>27</v>
      </c>
      <c r="C183">
        <f>IF(Adecco_India[[#This Row],[Attrition]]="Yes",1,0)</f>
        <v>0</v>
      </c>
      <c r="F183">
        <v>34</v>
      </c>
      <c r="G183">
        <v>2</v>
      </c>
      <c r="J183">
        <v>3</v>
      </c>
      <c r="K183">
        <v>3</v>
      </c>
      <c r="N183">
        <v>3</v>
      </c>
      <c r="O183">
        <v>2</v>
      </c>
      <c r="Q183">
        <v>1</v>
      </c>
      <c r="R183">
        <v>3</v>
      </c>
      <c r="S183">
        <v>1</v>
      </c>
      <c r="U183" t="s">
        <v>51</v>
      </c>
      <c r="V183">
        <v>1</v>
      </c>
    </row>
    <row r="184" spans="2:22" x14ac:dyDescent="0.25">
      <c r="B184">
        <v>20</v>
      </c>
      <c r="C184">
        <f>IF(Adecco_India[[#This Row],[Attrition]]="Yes",1,0)</f>
        <v>1</v>
      </c>
      <c r="F184">
        <v>41</v>
      </c>
      <c r="G184">
        <v>2</v>
      </c>
      <c r="J184">
        <v>2</v>
      </c>
      <c r="K184">
        <v>4</v>
      </c>
      <c r="N184">
        <v>4</v>
      </c>
      <c r="O184">
        <v>2</v>
      </c>
      <c r="Q184">
        <v>0</v>
      </c>
      <c r="R184">
        <v>4</v>
      </c>
      <c r="S184">
        <v>1</v>
      </c>
      <c r="U184" t="s">
        <v>59</v>
      </c>
      <c r="V184">
        <v>1</v>
      </c>
    </row>
    <row r="185" spans="2:22" x14ac:dyDescent="0.25">
      <c r="B185">
        <v>1</v>
      </c>
      <c r="C185">
        <f>IF(Adecco_India[[#This Row],[Attrition]]="Yes",1,0)</f>
        <v>0</v>
      </c>
      <c r="F185">
        <v>50</v>
      </c>
      <c r="G185">
        <v>3</v>
      </c>
      <c r="J185">
        <v>2</v>
      </c>
      <c r="K185">
        <v>3</v>
      </c>
      <c r="N185">
        <v>3</v>
      </c>
      <c r="O185">
        <v>3</v>
      </c>
      <c r="Q185">
        <v>0</v>
      </c>
      <c r="R185">
        <v>3</v>
      </c>
      <c r="S185">
        <v>1</v>
      </c>
      <c r="U185" t="s">
        <v>51</v>
      </c>
      <c r="V185">
        <v>1</v>
      </c>
    </row>
    <row r="186" spans="2:22" x14ac:dyDescent="0.25">
      <c r="B186">
        <v>13</v>
      </c>
      <c r="C186">
        <f>IF(Adecco_India[[#This Row],[Attrition]]="Yes",1,0)</f>
        <v>0</v>
      </c>
      <c r="F186">
        <v>53</v>
      </c>
      <c r="G186">
        <v>1</v>
      </c>
      <c r="J186">
        <v>3</v>
      </c>
      <c r="K186">
        <v>3</v>
      </c>
      <c r="N186">
        <v>4</v>
      </c>
      <c r="O186">
        <v>1</v>
      </c>
      <c r="Q186">
        <v>1</v>
      </c>
      <c r="R186">
        <v>3</v>
      </c>
      <c r="S186">
        <v>1</v>
      </c>
      <c r="U186" t="s">
        <v>51</v>
      </c>
      <c r="V186">
        <v>1</v>
      </c>
    </row>
    <row r="187" spans="2:22" x14ac:dyDescent="0.25">
      <c r="B187">
        <v>14</v>
      </c>
      <c r="C187">
        <f>IF(Adecco_India[[#This Row],[Attrition]]="Yes",1,0)</f>
        <v>0</v>
      </c>
      <c r="F187">
        <v>33</v>
      </c>
      <c r="G187">
        <v>2</v>
      </c>
      <c r="J187">
        <v>3</v>
      </c>
      <c r="K187">
        <v>3</v>
      </c>
      <c r="N187">
        <v>8</v>
      </c>
      <c r="O187">
        <v>2</v>
      </c>
      <c r="Q187">
        <v>1</v>
      </c>
      <c r="R187">
        <v>3</v>
      </c>
      <c r="S187">
        <v>1</v>
      </c>
      <c r="U187" t="s">
        <v>51</v>
      </c>
      <c r="V187">
        <v>1</v>
      </c>
    </row>
    <row r="188" spans="2:22" x14ac:dyDescent="0.25">
      <c r="B188">
        <v>4</v>
      </c>
      <c r="C188">
        <f>IF(Adecco_India[[#This Row],[Attrition]]="Yes",1,0)</f>
        <v>0</v>
      </c>
      <c r="F188">
        <v>40</v>
      </c>
      <c r="G188">
        <v>3</v>
      </c>
      <c r="J188">
        <v>3</v>
      </c>
      <c r="K188">
        <v>3</v>
      </c>
      <c r="N188">
        <v>20</v>
      </c>
      <c r="O188">
        <v>3</v>
      </c>
      <c r="Q188">
        <v>9</v>
      </c>
      <c r="R188">
        <v>3</v>
      </c>
      <c r="S188">
        <v>1</v>
      </c>
      <c r="U188" t="s">
        <v>51</v>
      </c>
      <c r="V188">
        <v>1</v>
      </c>
    </row>
    <row r="189" spans="2:22" x14ac:dyDescent="0.25">
      <c r="B189">
        <v>14</v>
      </c>
      <c r="C189">
        <f>IF(Adecco_India[[#This Row],[Attrition]]="Yes",1,0)</f>
        <v>0</v>
      </c>
      <c r="F189">
        <v>55</v>
      </c>
      <c r="G189">
        <v>2</v>
      </c>
      <c r="J189">
        <v>3</v>
      </c>
      <c r="K189">
        <v>3</v>
      </c>
      <c r="N189">
        <v>24</v>
      </c>
      <c r="O189">
        <v>2</v>
      </c>
      <c r="Q189">
        <v>2</v>
      </c>
      <c r="R189">
        <v>3</v>
      </c>
      <c r="S189">
        <v>1</v>
      </c>
      <c r="U189" t="s">
        <v>51</v>
      </c>
      <c r="V189">
        <v>1</v>
      </c>
    </row>
    <row r="190" spans="2:22" x14ac:dyDescent="0.25">
      <c r="B190">
        <v>2</v>
      </c>
      <c r="C190">
        <f>IF(Adecco_India[[#This Row],[Attrition]]="Yes",1,0)</f>
        <v>0</v>
      </c>
      <c r="F190">
        <v>34</v>
      </c>
      <c r="G190">
        <v>3</v>
      </c>
      <c r="J190">
        <v>2</v>
      </c>
      <c r="K190">
        <v>3</v>
      </c>
      <c r="N190">
        <v>10</v>
      </c>
      <c r="O190">
        <v>3</v>
      </c>
      <c r="Q190">
        <v>1</v>
      </c>
      <c r="R190">
        <v>3</v>
      </c>
      <c r="S190">
        <v>1</v>
      </c>
      <c r="U190" t="s">
        <v>38</v>
      </c>
      <c r="V190">
        <v>1</v>
      </c>
    </row>
    <row r="191" spans="2:22" x14ac:dyDescent="0.25">
      <c r="B191">
        <v>3</v>
      </c>
      <c r="C191">
        <f>IF(Adecco_India[[#This Row],[Attrition]]="Yes",1,0)</f>
        <v>0</v>
      </c>
      <c r="F191">
        <v>51</v>
      </c>
      <c r="G191">
        <v>2</v>
      </c>
      <c r="J191">
        <v>3</v>
      </c>
      <c r="K191">
        <v>3</v>
      </c>
      <c r="N191">
        <v>7</v>
      </c>
      <c r="O191">
        <v>2</v>
      </c>
      <c r="Q191">
        <v>1</v>
      </c>
      <c r="R191">
        <v>3</v>
      </c>
      <c r="S191">
        <v>1</v>
      </c>
      <c r="U191" t="s">
        <v>51</v>
      </c>
      <c r="V191">
        <v>1</v>
      </c>
    </row>
    <row r="192" spans="2:22" x14ac:dyDescent="0.25">
      <c r="B192">
        <v>1</v>
      </c>
      <c r="C192">
        <f>IF(Adecco_India[[#This Row],[Attrition]]="Yes",1,0)</f>
        <v>0</v>
      </c>
      <c r="F192">
        <v>52</v>
      </c>
      <c r="G192">
        <v>3</v>
      </c>
      <c r="J192">
        <v>3</v>
      </c>
      <c r="K192">
        <v>3</v>
      </c>
      <c r="N192">
        <v>33</v>
      </c>
      <c r="O192">
        <v>3</v>
      </c>
      <c r="Q192">
        <v>11</v>
      </c>
      <c r="R192">
        <v>3</v>
      </c>
      <c r="S192">
        <v>1</v>
      </c>
      <c r="U192" t="s">
        <v>38</v>
      </c>
      <c r="V192">
        <v>1</v>
      </c>
    </row>
    <row r="193" spans="2:22" x14ac:dyDescent="0.25">
      <c r="B193">
        <v>9</v>
      </c>
      <c r="C193">
        <f>IF(Adecco_India[[#This Row],[Attrition]]="Yes",1,0)</f>
        <v>0</v>
      </c>
      <c r="F193">
        <v>27</v>
      </c>
      <c r="G193">
        <v>2</v>
      </c>
      <c r="J193">
        <v>2</v>
      </c>
      <c r="K193">
        <v>3</v>
      </c>
      <c r="N193">
        <v>7</v>
      </c>
      <c r="O193">
        <v>2</v>
      </c>
      <c r="Q193">
        <v>0</v>
      </c>
      <c r="R193">
        <v>3</v>
      </c>
      <c r="S193">
        <v>1</v>
      </c>
      <c r="U193" t="s">
        <v>51</v>
      </c>
      <c r="V193">
        <v>1</v>
      </c>
    </row>
    <row r="194" spans="2:22" x14ac:dyDescent="0.25">
      <c r="B194">
        <v>23</v>
      </c>
      <c r="C194">
        <f>IF(Adecco_India[[#This Row],[Attrition]]="Yes",1,0)</f>
        <v>1</v>
      </c>
      <c r="F194">
        <v>35</v>
      </c>
      <c r="G194">
        <v>3</v>
      </c>
      <c r="J194">
        <v>3</v>
      </c>
      <c r="K194">
        <v>3</v>
      </c>
      <c r="N194">
        <v>1</v>
      </c>
      <c r="O194">
        <v>3</v>
      </c>
      <c r="Q194">
        <v>0</v>
      </c>
      <c r="R194">
        <v>3</v>
      </c>
      <c r="S194">
        <v>1</v>
      </c>
      <c r="U194" t="s">
        <v>38</v>
      </c>
      <c r="V194">
        <v>1</v>
      </c>
    </row>
    <row r="195" spans="2:22" x14ac:dyDescent="0.25">
      <c r="B195">
        <v>7</v>
      </c>
      <c r="C195">
        <f>IF(Adecco_India[[#This Row],[Attrition]]="Yes",1,0)</f>
        <v>0</v>
      </c>
      <c r="F195">
        <v>43</v>
      </c>
      <c r="G195">
        <v>4</v>
      </c>
      <c r="J195">
        <v>4</v>
      </c>
      <c r="K195">
        <v>3</v>
      </c>
      <c r="N195">
        <v>5</v>
      </c>
      <c r="O195">
        <v>4</v>
      </c>
      <c r="Q195">
        <v>2</v>
      </c>
      <c r="R195">
        <v>3</v>
      </c>
      <c r="S195">
        <v>1</v>
      </c>
      <c r="U195" t="s">
        <v>51</v>
      </c>
      <c r="V195">
        <v>1</v>
      </c>
    </row>
    <row r="196" spans="2:22" x14ac:dyDescent="0.25">
      <c r="B196">
        <v>2</v>
      </c>
      <c r="C196">
        <f>IF(Adecco_India[[#This Row],[Attrition]]="Yes",1,0)</f>
        <v>0</v>
      </c>
      <c r="F196">
        <v>45</v>
      </c>
      <c r="G196">
        <v>4</v>
      </c>
      <c r="J196">
        <v>3</v>
      </c>
      <c r="K196">
        <v>4</v>
      </c>
      <c r="N196">
        <v>20</v>
      </c>
      <c r="O196">
        <v>4</v>
      </c>
      <c r="Q196">
        <v>11</v>
      </c>
      <c r="R196">
        <v>4</v>
      </c>
      <c r="S196">
        <v>1</v>
      </c>
      <c r="U196" t="s">
        <v>51</v>
      </c>
      <c r="V196">
        <v>1</v>
      </c>
    </row>
    <row r="197" spans="2:22" x14ac:dyDescent="0.25">
      <c r="B197">
        <v>21</v>
      </c>
      <c r="C197">
        <f>IF(Adecco_India[[#This Row],[Attrition]]="Yes",1,0)</f>
        <v>0</v>
      </c>
      <c r="F197">
        <v>37</v>
      </c>
      <c r="G197">
        <v>1</v>
      </c>
      <c r="J197">
        <v>2</v>
      </c>
      <c r="K197">
        <v>3</v>
      </c>
      <c r="N197">
        <v>8</v>
      </c>
      <c r="O197">
        <v>1</v>
      </c>
      <c r="Q197">
        <v>1</v>
      </c>
      <c r="R197">
        <v>3</v>
      </c>
      <c r="S197">
        <v>1</v>
      </c>
      <c r="U197" t="s">
        <v>38</v>
      </c>
      <c r="V197">
        <v>1</v>
      </c>
    </row>
    <row r="198" spans="2:22" x14ac:dyDescent="0.25">
      <c r="B198">
        <v>2</v>
      </c>
      <c r="C198">
        <f>IF(Adecco_India[[#This Row],[Attrition]]="Yes",1,0)</f>
        <v>0</v>
      </c>
      <c r="F198">
        <v>35</v>
      </c>
      <c r="G198">
        <v>2</v>
      </c>
      <c r="J198">
        <v>3</v>
      </c>
      <c r="K198">
        <v>3</v>
      </c>
      <c r="N198">
        <v>6</v>
      </c>
      <c r="O198">
        <v>2</v>
      </c>
      <c r="Q198">
        <v>1</v>
      </c>
      <c r="R198">
        <v>3</v>
      </c>
      <c r="S198">
        <v>1</v>
      </c>
      <c r="U198" t="s">
        <v>51</v>
      </c>
      <c r="V198">
        <v>1</v>
      </c>
    </row>
    <row r="199" spans="2:22" x14ac:dyDescent="0.25">
      <c r="B199">
        <v>21</v>
      </c>
      <c r="C199">
        <f>IF(Adecco_India[[#This Row],[Attrition]]="Yes",1,0)</f>
        <v>0</v>
      </c>
      <c r="F199">
        <v>42</v>
      </c>
      <c r="G199">
        <v>3</v>
      </c>
      <c r="J199">
        <v>3</v>
      </c>
      <c r="K199">
        <v>3</v>
      </c>
      <c r="N199">
        <v>5</v>
      </c>
      <c r="O199">
        <v>3</v>
      </c>
      <c r="Q199">
        <v>0</v>
      </c>
      <c r="R199">
        <v>3</v>
      </c>
      <c r="S199">
        <v>1</v>
      </c>
      <c r="U199" t="s">
        <v>51</v>
      </c>
      <c r="V199">
        <v>1</v>
      </c>
    </row>
    <row r="200" spans="2:22" x14ac:dyDescent="0.25">
      <c r="B200">
        <v>2</v>
      </c>
      <c r="C200">
        <f>IF(Adecco_India[[#This Row],[Attrition]]="Yes",1,0)</f>
        <v>0</v>
      </c>
      <c r="F200">
        <v>38</v>
      </c>
      <c r="G200">
        <v>3</v>
      </c>
      <c r="J200">
        <v>3</v>
      </c>
      <c r="K200">
        <v>3</v>
      </c>
      <c r="N200">
        <v>1</v>
      </c>
      <c r="O200">
        <v>3</v>
      </c>
      <c r="Q200">
        <v>0</v>
      </c>
      <c r="R200">
        <v>3</v>
      </c>
      <c r="S200">
        <v>1</v>
      </c>
      <c r="U200" t="s">
        <v>38</v>
      </c>
      <c r="V200">
        <v>1</v>
      </c>
    </row>
    <row r="201" spans="2:22" x14ac:dyDescent="0.25">
      <c r="B201">
        <v>29</v>
      </c>
      <c r="C201">
        <f>IF(Adecco_India[[#This Row],[Attrition]]="Yes",1,0)</f>
        <v>0</v>
      </c>
      <c r="F201">
        <v>38</v>
      </c>
      <c r="G201">
        <v>4</v>
      </c>
      <c r="J201">
        <v>1</v>
      </c>
      <c r="K201">
        <v>3</v>
      </c>
      <c r="N201">
        <v>7</v>
      </c>
      <c r="O201">
        <v>4</v>
      </c>
      <c r="Q201">
        <v>1</v>
      </c>
      <c r="R201">
        <v>3</v>
      </c>
      <c r="S201">
        <v>1</v>
      </c>
      <c r="U201" t="s">
        <v>60</v>
      </c>
      <c r="V201">
        <v>1</v>
      </c>
    </row>
    <row r="202" spans="2:22" x14ac:dyDescent="0.25">
      <c r="B202">
        <v>1</v>
      </c>
      <c r="C202">
        <f>IF(Adecco_India[[#This Row],[Attrition]]="Yes",1,0)</f>
        <v>0</v>
      </c>
      <c r="F202">
        <v>27</v>
      </c>
      <c r="G202">
        <v>1</v>
      </c>
      <c r="J202">
        <v>3</v>
      </c>
      <c r="K202">
        <v>3</v>
      </c>
      <c r="N202">
        <v>2</v>
      </c>
      <c r="O202">
        <v>1</v>
      </c>
      <c r="Q202">
        <v>2</v>
      </c>
      <c r="R202">
        <v>3</v>
      </c>
      <c r="S202">
        <v>1</v>
      </c>
      <c r="U202" t="s">
        <v>60</v>
      </c>
      <c r="V202">
        <v>1</v>
      </c>
    </row>
    <row r="203" spans="2:22" x14ac:dyDescent="0.25">
      <c r="B203">
        <v>18</v>
      </c>
      <c r="C203">
        <f>IF(Adecco_India[[#This Row],[Attrition]]="Yes",1,0)</f>
        <v>0</v>
      </c>
      <c r="F203">
        <v>49</v>
      </c>
      <c r="G203">
        <v>4</v>
      </c>
      <c r="J203">
        <v>3</v>
      </c>
      <c r="K203">
        <v>3</v>
      </c>
      <c r="N203">
        <v>7</v>
      </c>
      <c r="O203">
        <v>4</v>
      </c>
      <c r="Q203">
        <v>1</v>
      </c>
      <c r="R203">
        <v>3</v>
      </c>
      <c r="S203">
        <v>1</v>
      </c>
      <c r="U203" t="s">
        <v>38</v>
      </c>
      <c r="V203">
        <v>1</v>
      </c>
    </row>
    <row r="204" spans="2:22" x14ac:dyDescent="0.25">
      <c r="B204">
        <v>10</v>
      </c>
      <c r="C204">
        <f>IF(Adecco_India[[#This Row],[Attrition]]="Yes",1,0)</f>
        <v>0</v>
      </c>
      <c r="F204">
        <v>34</v>
      </c>
      <c r="G204">
        <v>3</v>
      </c>
      <c r="J204">
        <v>4</v>
      </c>
      <c r="K204">
        <v>3</v>
      </c>
      <c r="N204">
        <v>5</v>
      </c>
      <c r="O204">
        <v>3</v>
      </c>
      <c r="Q204">
        <v>2</v>
      </c>
      <c r="R204">
        <v>3</v>
      </c>
      <c r="S204">
        <v>1</v>
      </c>
      <c r="U204" t="s">
        <v>51</v>
      </c>
      <c r="V204">
        <v>1</v>
      </c>
    </row>
    <row r="205" spans="2:22" x14ac:dyDescent="0.25">
      <c r="B205">
        <v>19</v>
      </c>
      <c r="C205">
        <f>IF(Adecco_India[[#This Row],[Attrition]]="Yes",1,0)</f>
        <v>0</v>
      </c>
      <c r="F205">
        <v>40</v>
      </c>
      <c r="G205">
        <v>4</v>
      </c>
      <c r="J205">
        <v>4</v>
      </c>
      <c r="K205">
        <v>3</v>
      </c>
      <c r="N205">
        <v>7</v>
      </c>
      <c r="O205">
        <v>4</v>
      </c>
      <c r="Q205">
        <v>3</v>
      </c>
      <c r="R205">
        <v>3</v>
      </c>
      <c r="S205">
        <v>1</v>
      </c>
      <c r="U205" t="s">
        <v>51</v>
      </c>
      <c r="V205">
        <v>1</v>
      </c>
    </row>
    <row r="206" spans="2:22" x14ac:dyDescent="0.25">
      <c r="B206">
        <v>29</v>
      </c>
      <c r="C206">
        <f>IF(Adecco_India[[#This Row],[Attrition]]="Yes",1,0)</f>
        <v>1</v>
      </c>
      <c r="F206">
        <v>38</v>
      </c>
      <c r="G206">
        <v>1</v>
      </c>
      <c r="J206">
        <v>3</v>
      </c>
      <c r="K206">
        <v>3</v>
      </c>
      <c r="N206">
        <v>1</v>
      </c>
      <c r="O206">
        <v>1</v>
      </c>
      <c r="Q206">
        <v>0</v>
      </c>
      <c r="R206">
        <v>3</v>
      </c>
      <c r="S206">
        <v>1</v>
      </c>
      <c r="U206" t="s">
        <v>51</v>
      </c>
      <c r="V206">
        <v>1</v>
      </c>
    </row>
    <row r="207" spans="2:22" x14ac:dyDescent="0.25">
      <c r="B207">
        <v>27</v>
      </c>
      <c r="C207">
        <f>IF(Adecco_India[[#This Row],[Attrition]]="Yes",1,0)</f>
        <v>1</v>
      </c>
      <c r="F207">
        <v>29</v>
      </c>
      <c r="G207">
        <v>4</v>
      </c>
      <c r="J207">
        <v>2</v>
      </c>
      <c r="K207">
        <v>4</v>
      </c>
      <c r="N207">
        <v>10</v>
      </c>
      <c r="O207">
        <v>4</v>
      </c>
      <c r="Q207">
        <v>1</v>
      </c>
      <c r="R207">
        <v>4</v>
      </c>
      <c r="S207">
        <v>1</v>
      </c>
      <c r="U207" t="s">
        <v>59</v>
      </c>
      <c r="V207">
        <v>1</v>
      </c>
    </row>
    <row r="208" spans="2:22" x14ac:dyDescent="0.25">
      <c r="B208">
        <v>5</v>
      </c>
      <c r="C208">
        <f>IF(Adecco_India[[#This Row],[Attrition]]="Yes",1,0)</f>
        <v>0</v>
      </c>
      <c r="F208">
        <v>22</v>
      </c>
      <c r="G208">
        <v>2</v>
      </c>
      <c r="J208">
        <v>2</v>
      </c>
      <c r="K208">
        <v>3</v>
      </c>
      <c r="N208">
        <v>4</v>
      </c>
      <c r="O208">
        <v>2</v>
      </c>
      <c r="Q208">
        <v>2</v>
      </c>
      <c r="R208">
        <v>3</v>
      </c>
      <c r="S208">
        <v>1</v>
      </c>
      <c r="U208" t="s">
        <v>38</v>
      </c>
      <c r="V208">
        <v>1</v>
      </c>
    </row>
    <row r="209" spans="2:22" x14ac:dyDescent="0.25">
      <c r="B209">
        <v>18</v>
      </c>
      <c r="C209">
        <f>IF(Adecco_India[[#This Row],[Attrition]]="Yes",1,0)</f>
        <v>0</v>
      </c>
      <c r="F209">
        <v>36</v>
      </c>
      <c r="G209">
        <v>4</v>
      </c>
      <c r="J209">
        <v>3</v>
      </c>
      <c r="K209">
        <v>3</v>
      </c>
      <c r="N209">
        <v>8</v>
      </c>
      <c r="O209">
        <v>4</v>
      </c>
      <c r="Q209">
        <v>1</v>
      </c>
      <c r="R209">
        <v>3</v>
      </c>
      <c r="S209">
        <v>1</v>
      </c>
      <c r="U209" t="s">
        <v>51</v>
      </c>
      <c r="V209">
        <v>1</v>
      </c>
    </row>
    <row r="210" spans="2:22" x14ac:dyDescent="0.25">
      <c r="B210">
        <v>9</v>
      </c>
      <c r="C210">
        <f>IF(Adecco_India[[#This Row],[Attrition]]="Yes",1,0)</f>
        <v>0</v>
      </c>
      <c r="F210">
        <v>40</v>
      </c>
      <c r="G210">
        <v>4</v>
      </c>
      <c r="J210">
        <v>1</v>
      </c>
      <c r="K210">
        <v>3</v>
      </c>
      <c r="N210">
        <v>3</v>
      </c>
      <c r="O210">
        <v>4</v>
      </c>
      <c r="Q210">
        <v>0</v>
      </c>
      <c r="R210">
        <v>3</v>
      </c>
      <c r="S210">
        <v>1</v>
      </c>
      <c r="U210" t="s">
        <v>38</v>
      </c>
      <c r="V210">
        <v>1</v>
      </c>
    </row>
    <row r="211" spans="2:22" x14ac:dyDescent="0.25">
      <c r="B211">
        <v>1</v>
      </c>
      <c r="C211">
        <f>IF(Adecco_India[[#This Row],[Attrition]]="Yes",1,0)</f>
        <v>0</v>
      </c>
      <c r="F211">
        <v>46</v>
      </c>
      <c r="G211">
        <v>1</v>
      </c>
      <c r="J211">
        <v>3</v>
      </c>
      <c r="K211">
        <v>3</v>
      </c>
      <c r="N211">
        <v>4</v>
      </c>
      <c r="O211">
        <v>1</v>
      </c>
      <c r="Q211">
        <v>0</v>
      </c>
      <c r="R211">
        <v>3</v>
      </c>
      <c r="S211">
        <v>1</v>
      </c>
      <c r="U211" t="s">
        <v>51</v>
      </c>
      <c r="V211">
        <v>1</v>
      </c>
    </row>
    <row r="212" spans="2:22" x14ac:dyDescent="0.25">
      <c r="B212">
        <v>4</v>
      </c>
      <c r="C212">
        <f>IF(Adecco_India[[#This Row],[Attrition]]="Yes",1,0)</f>
        <v>1</v>
      </c>
      <c r="F212">
        <v>32</v>
      </c>
      <c r="G212">
        <v>4</v>
      </c>
      <c r="J212">
        <v>2</v>
      </c>
      <c r="K212">
        <v>3</v>
      </c>
      <c r="N212">
        <v>14</v>
      </c>
      <c r="O212">
        <v>4</v>
      </c>
      <c r="Q212">
        <v>9</v>
      </c>
      <c r="R212">
        <v>3</v>
      </c>
      <c r="S212">
        <v>1</v>
      </c>
      <c r="U212" t="s">
        <v>51</v>
      </c>
      <c r="V212">
        <v>1</v>
      </c>
    </row>
    <row r="213" spans="2:22" x14ac:dyDescent="0.25">
      <c r="B213">
        <v>1</v>
      </c>
      <c r="C213">
        <f>IF(Adecco_India[[#This Row],[Attrition]]="Yes",1,0)</f>
        <v>0</v>
      </c>
      <c r="F213">
        <v>30</v>
      </c>
      <c r="G213">
        <v>3</v>
      </c>
      <c r="J213">
        <v>3</v>
      </c>
      <c r="K213">
        <v>4</v>
      </c>
      <c r="N213">
        <v>11</v>
      </c>
      <c r="O213">
        <v>3</v>
      </c>
      <c r="Q213">
        <v>5</v>
      </c>
      <c r="R213">
        <v>4</v>
      </c>
      <c r="S213">
        <v>1</v>
      </c>
      <c r="U213" t="s">
        <v>38</v>
      </c>
      <c r="V213">
        <v>1</v>
      </c>
    </row>
    <row r="214" spans="2:22" x14ac:dyDescent="0.25">
      <c r="B214">
        <v>20</v>
      </c>
      <c r="C214">
        <f>IF(Adecco_India[[#This Row],[Attrition]]="Yes",1,0)</f>
        <v>0</v>
      </c>
      <c r="F214">
        <v>27</v>
      </c>
      <c r="G214">
        <v>3</v>
      </c>
      <c r="J214">
        <v>3</v>
      </c>
      <c r="K214">
        <v>3</v>
      </c>
      <c r="N214">
        <v>7</v>
      </c>
      <c r="O214">
        <v>3</v>
      </c>
      <c r="Q214">
        <v>0</v>
      </c>
      <c r="R214">
        <v>3</v>
      </c>
      <c r="S214">
        <v>1</v>
      </c>
      <c r="U214" t="s">
        <v>38</v>
      </c>
      <c r="V214">
        <v>1</v>
      </c>
    </row>
    <row r="215" spans="2:22" x14ac:dyDescent="0.25">
      <c r="B215">
        <v>8</v>
      </c>
      <c r="C215">
        <f>IF(Adecco_India[[#This Row],[Attrition]]="Yes",1,0)</f>
        <v>0</v>
      </c>
      <c r="F215">
        <v>51</v>
      </c>
      <c r="G215">
        <v>2</v>
      </c>
      <c r="J215">
        <v>1</v>
      </c>
      <c r="K215">
        <v>3</v>
      </c>
      <c r="N215">
        <v>10</v>
      </c>
      <c r="O215">
        <v>2</v>
      </c>
      <c r="Q215">
        <v>4</v>
      </c>
      <c r="R215">
        <v>3</v>
      </c>
      <c r="S215">
        <v>1</v>
      </c>
      <c r="U215" t="s">
        <v>38</v>
      </c>
      <c r="V215">
        <v>1</v>
      </c>
    </row>
    <row r="216" spans="2:22" x14ac:dyDescent="0.25">
      <c r="B216">
        <v>3</v>
      </c>
      <c r="C216">
        <f>IF(Adecco_India[[#This Row],[Attrition]]="Yes",1,0)</f>
        <v>1</v>
      </c>
      <c r="F216">
        <v>30</v>
      </c>
      <c r="G216">
        <v>1</v>
      </c>
      <c r="J216">
        <v>3</v>
      </c>
      <c r="K216">
        <v>3</v>
      </c>
      <c r="N216">
        <v>5</v>
      </c>
      <c r="O216">
        <v>1</v>
      </c>
      <c r="Q216">
        <v>0</v>
      </c>
      <c r="R216">
        <v>3</v>
      </c>
      <c r="S216">
        <v>1</v>
      </c>
      <c r="U216" t="s">
        <v>60</v>
      </c>
      <c r="V216">
        <v>1</v>
      </c>
    </row>
    <row r="217" spans="2:22" x14ac:dyDescent="0.25">
      <c r="B217">
        <v>6</v>
      </c>
      <c r="C217">
        <f>IF(Adecco_India[[#This Row],[Attrition]]="Yes",1,0)</f>
        <v>0</v>
      </c>
      <c r="F217">
        <v>41</v>
      </c>
      <c r="G217">
        <v>4</v>
      </c>
      <c r="J217">
        <v>3</v>
      </c>
      <c r="K217">
        <v>3</v>
      </c>
      <c r="N217">
        <v>1</v>
      </c>
      <c r="O217">
        <v>4</v>
      </c>
      <c r="Q217">
        <v>0</v>
      </c>
      <c r="R217">
        <v>3</v>
      </c>
      <c r="S217">
        <v>1</v>
      </c>
      <c r="U217" t="s">
        <v>38</v>
      </c>
      <c r="V217">
        <v>1</v>
      </c>
    </row>
    <row r="218" spans="2:22" x14ac:dyDescent="0.25">
      <c r="B218">
        <v>26</v>
      </c>
      <c r="C218">
        <f>IF(Adecco_India[[#This Row],[Attrition]]="Yes",1,0)</f>
        <v>1</v>
      </c>
      <c r="F218">
        <v>30</v>
      </c>
      <c r="G218">
        <v>1</v>
      </c>
      <c r="J218">
        <v>2</v>
      </c>
      <c r="K218">
        <v>3</v>
      </c>
      <c r="N218">
        <v>6</v>
      </c>
      <c r="O218">
        <v>1</v>
      </c>
      <c r="Q218">
        <v>0</v>
      </c>
      <c r="R218">
        <v>3</v>
      </c>
      <c r="S218">
        <v>1</v>
      </c>
      <c r="U218" t="s">
        <v>59</v>
      </c>
      <c r="V218">
        <v>1</v>
      </c>
    </row>
    <row r="219" spans="2:22" x14ac:dyDescent="0.25">
      <c r="B219">
        <v>1</v>
      </c>
      <c r="C219">
        <f>IF(Adecco_India[[#This Row],[Attrition]]="Yes",1,0)</f>
        <v>1</v>
      </c>
      <c r="F219">
        <v>29</v>
      </c>
      <c r="G219">
        <v>3</v>
      </c>
      <c r="J219">
        <v>2</v>
      </c>
      <c r="K219">
        <v>3</v>
      </c>
      <c r="N219">
        <v>6</v>
      </c>
      <c r="O219">
        <v>3</v>
      </c>
      <c r="Q219">
        <v>1</v>
      </c>
      <c r="R219">
        <v>3</v>
      </c>
      <c r="S219">
        <v>1</v>
      </c>
      <c r="U219" t="s">
        <v>60</v>
      </c>
      <c r="V219">
        <v>1</v>
      </c>
    </row>
    <row r="220" spans="2:22" x14ac:dyDescent="0.25">
      <c r="B220">
        <v>6</v>
      </c>
      <c r="C220">
        <f>IF(Adecco_India[[#This Row],[Attrition]]="Yes",1,0)</f>
        <v>0</v>
      </c>
      <c r="F220">
        <v>45</v>
      </c>
      <c r="G220">
        <v>4</v>
      </c>
      <c r="J220">
        <v>3</v>
      </c>
      <c r="K220">
        <v>3</v>
      </c>
      <c r="N220">
        <v>19</v>
      </c>
      <c r="O220">
        <v>4</v>
      </c>
      <c r="Q220">
        <v>12</v>
      </c>
      <c r="R220">
        <v>3</v>
      </c>
      <c r="S220">
        <v>1</v>
      </c>
      <c r="U220" t="s">
        <v>51</v>
      </c>
      <c r="V220">
        <v>1</v>
      </c>
    </row>
    <row r="221" spans="2:22" x14ac:dyDescent="0.25">
      <c r="B221">
        <v>3</v>
      </c>
      <c r="C221">
        <f>IF(Adecco_India[[#This Row],[Attrition]]="Yes",1,0)</f>
        <v>0</v>
      </c>
      <c r="F221">
        <v>54</v>
      </c>
      <c r="G221">
        <v>1</v>
      </c>
      <c r="J221">
        <v>3</v>
      </c>
      <c r="K221">
        <v>3</v>
      </c>
      <c r="N221">
        <v>6</v>
      </c>
      <c r="O221">
        <v>1</v>
      </c>
      <c r="Q221">
        <v>0</v>
      </c>
      <c r="R221">
        <v>3</v>
      </c>
      <c r="S221">
        <v>1</v>
      </c>
      <c r="U221" t="s">
        <v>59</v>
      </c>
      <c r="V221">
        <v>1</v>
      </c>
    </row>
    <row r="222" spans="2:22" x14ac:dyDescent="0.25">
      <c r="B222">
        <v>5</v>
      </c>
      <c r="C222">
        <f>IF(Adecco_India[[#This Row],[Attrition]]="Yes",1,0)</f>
        <v>0</v>
      </c>
      <c r="F222">
        <v>36</v>
      </c>
      <c r="G222">
        <v>2</v>
      </c>
      <c r="J222">
        <v>4</v>
      </c>
      <c r="K222">
        <v>3</v>
      </c>
      <c r="N222">
        <v>13</v>
      </c>
      <c r="O222">
        <v>2</v>
      </c>
      <c r="Q222">
        <v>3</v>
      </c>
      <c r="R222">
        <v>3</v>
      </c>
      <c r="S222">
        <v>1</v>
      </c>
      <c r="U222" t="s">
        <v>38</v>
      </c>
      <c r="V222">
        <v>1</v>
      </c>
    </row>
    <row r="223" spans="2:22" x14ac:dyDescent="0.25">
      <c r="B223">
        <v>4</v>
      </c>
      <c r="C223">
        <f>IF(Adecco_India[[#This Row],[Attrition]]="Yes",1,0)</f>
        <v>0</v>
      </c>
      <c r="F223">
        <v>33</v>
      </c>
      <c r="G223">
        <v>2</v>
      </c>
      <c r="J223">
        <v>3</v>
      </c>
      <c r="K223">
        <v>4</v>
      </c>
      <c r="N223">
        <v>3</v>
      </c>
      <c r="O223">
        <v>2</v>
      </c>
      <c r="Q223">
        <v>1</v>
      </c>
      <c r="R223">
        <v>4</v>
      </c>
      <c r="S223">
        <v>1</v>
      </c>
      <c r="U223" t="s">
        <v>51</v>
      </c>
      <c r="V223">
        <v>1</v>
      </c>
    </row>
    <row r="224" spans="2:22" x14ac:dyDescent="0.25">
      <c r="B224">
        <v>11</v>
      </c>
      <c r="C224">
        <f>IF(Adecco_India[[#This Row],[Attrition]]="Yes",1,0)</f>
        <v>0</v>
      </c>
      <c r="F224">
        <v>37</v>
      </c>
      <c r="G224">
        <v>4</v>
      </c>
      <c r="J224">
        <v>3</v>
      </c>
      <c r="K224">
        <v>3</v>
      </c>
      <c r="N224">
        <v>10</v>
      </c>
      <c r="O224">
        <v>4</v>
      </c>
      <c r="Q224">
        <v>0</v>
      </c>
      <c r="R224">
        <v>3</v>
      </c>
      <c r="S224">
        <v>1</v>
      </c>
      <c r="U224" t="s">
        <v>49</v>
      </c>
      <c r="V224">
        <v>1</v>
      </c>
    </row>
    <row r="225" spans="2:22" x14ac:dyDescent="0.25">
      <c r="B225">
        <v>3</v>
      </c>
      <c r="C225">
        <f>IF(Adecco_India[[#This Row],[Attrition]]="Yes",1,0)</f>
        <v>0</v>
      </c>
      <c r="F225">
        <v>38</v>
      </c>
      <c r="G225">
        <v>3</v>
      </c>
      <c r="J225">
        <v>2</v>
      </c>
      <c r="K225">
        <v>3</v>
      </c>
      <c r="N225">
        <v>16</v>
      </c>
      <c r="O225">
        <v>3</v>
      </c>
      <c r="Q225">
        <v>5</v>
      </c>
      <c r="R225">
        <v>3</v>
      </c>
      <c r="S225">
        <v>1</v>
      </c>
      <c r="U225" t="s">
        <v>38</v>
      </c>
      <c r="V225">
        <v>1</v>
      </c>
    </row>
    <row r="226" spans="2:22" x14ac:dyDescent="0.25">
      <c r="B226">
        <v>1</v>
      </c>
      <c r="C226">
        <f>IF(Adecco_India[[#This Row],[Attrition]]="Yes",1,0)</f>
        <v>0</v>
      </c>
      <c r="F226">
        <v>31</v>
      </c>
      <c r="G226">
        <v>3</v>
      </c>
      <c r="J226">
        <v>3</v>
      </c>
      <c r="K226">
        <v>3</v>
      </c>
      <c r="N226">
        <v>5</v>
      </c>
      <c r="O226">
        <v>3</v>
      </c>
      <c r="Q226">
        <v>1</v>
      </c>
      <c r="R226">
        <v>3</v>
      </c>
      <c r="S226">
        <v>1</v>
      </c>
      <c r="U226" t="s">
        <v>51</v>
      </c>
      <c r="V226">
        <v>1</v>
      </c>
    </row>
    <row r="227" spans="2:22" x14ac:dyDescent="0.25">
      <c r="B227">
        <v>3</v>
      </c>
      <c r="C227">
        <f>IF(Adecco_India[[#This Row],[Attrition]]="Yes",1,0)</f>
        <v>0</v>
      </c>
      <c r="F227">
        <v>59</v>
      </c>
      <c r="G227">
        <v>4</v>
      </c>
      <c r="J227">
        <v>3</v>
      </c>
      <c r="K227">
        <v>3</v>
      </c>
      <c r="N227">
        <v>1</v>
      </c>
      <c r="O227">
        <v>4</v>
      </c>
      <c r="Q227">
        <v>0</v>
      </c>
      <c r="R227">
        <v>3</v>
      </c>
      <c r="S227">
        <v>1</v>
      </c>
      <c r="U227" t="s">
        <v>38</v>
      </c>
      <c r="V227">
        <v>1</v>
      </c>
    </row>
    <row r="228" spans="2:22" x14ac:dyDescent="0.25">
      <c r="B228">
        <v>4</v>
      </c>
      <c r="C228">
        <f>IF(Adecco_India[[#This Row],[Attrition]]="Yes",1,0)</f>
        <v>0</v>
      </c>
      <c r="F228">
        <v>37</v>
      </c>
      <c r="G228">
        <v>4</v>
      </c>
      <c r="J228">
        <v>3</v>
      </c>
      <c r="K228">
        <v>3</v>
      </c>
      <c r="N228">
        <v>9</v>
      </c>
      <c r="O228">
        <v>4</v>
      </c>
      <c r="Q228">
        <v>5</v>
      </c>
      <c r="R228">
        <v>3</v>
      </c>
      <c r="S228">
        <v>1</v>
      </c>
      <c r="U228" t="s">
        <v>59</v>
      </c>
      <c r="V228">
        <v>1</v>
      </c>
    </row>
    <row r="229" spans="2:22" x14ac:dyDescent="0.25">
      <c r="B229">
        <v>1</v>
      </c>
      <c r="C229">
        <f>IF(Adecco_India[[#This Row],[Attrition]]="Yes",1,0)</f>
        <v>0</v>
      </c>
      <c r="F229">
        <v>29</v>
      </c>
      <c r="G229">
        <v>4</v>
      </c>
      <c r="J229">
        <v>3</v>
      </c>
      <c r="K229">
        <v>3</v>
      </c>
      <c r="N229">
        <v>11</v>
      </c>
      <c r="O229">
        <v>4</v>
      </c>
      <c r="Q229">
        <v>4</v>
      </c>
      <c r="R229">
        <v>3</v>
      </c>
      <c r="S229">
        <v>1</v>
      </c>
      <c r="U229" t="s">
        <v>51</v>
      </c>
      <c r="V229">
        <v>1</v>
      </c>
    </row>
    <row r="230" spans="2:22" x14ac:dyDescent="0.25">
      <c r="B230">
        <v>1</v>
      </c>
      <c r="C230">
        <f>IF(Adecco_India[[#This Row],[Attrition]]="Yes",1,0)</f>
        <v>0</v>
      </c>
      <c r="F230">
        <v>35</v>
      </c>
      <c r="G230">
        <v>3</v>
      </c>
      <c r="J230">
        <v>4</v>
      </c>
      <c r="K230">
        <v>3</v>
      </c>
      <c r="N230">
        <v>10</v>
      </c>
      <c r="O230">
        <v>3</v>
      </c>
      <c r="Q230">
        <v>0</v>
      </c>
      <c r="R230">
        <v>3</v>
      </c>
      <c r="S230">
        <v>1</v>
      </c>
      <c r="U230" t="s">
        <v>59</v>
      </c>
      <c r="V230">
        <v>1</v>
      </c>
    </row>
    <row r="231" spans="2:22" x14ac:dyDescent="0.25">
      <c r="B231">
        <v>18</v>
      </c>
      <c r="C231">
        <f>IF(Adecco_India[[#This Row],[Attrition]]="Yes",1,0)</f>
        <v>1</v>
      </c>
      <c r="F231">
        <v>29</v>
      </c>
      <c r="G231">
        <v>4</v>
      </c>
      <c r="J231">
        <v>2</v>
      </c>
      <c r="K231">
        <v>3</v>
      </c>
      <c r="N231">
        <v>4</v>
      </c>
      <c r="O231">
        <v>4</v>
      </c>
      <c r="Q231">
        <v>0</v>
      </c>
      <c r="R231">
        <v>3</v>
      </c>
      <c r="S231">
        <v>1</v>
      </c>
      <c r="U231" t="s">
        <v>51</v>
      </c>
      <c r="V231">
        <v>1</v>
      </c>
    </row>
    <row r="232" spans="2:22" x14ac:dyDescent="0.25">
      <c r="B232">
        <v>2</v>
      </c>
      <c r="C232">
        <f>IF(Adecco_India[[#This Row],[Attrition]]="Yes",1,0)</f>
        <v>0</v>
      </c>
      <c r="F232">
        <v>52</v>
      </c>
      <c r="G232">
        <v>4</v>
      </c>
      <c r="J232">
        <v>2</v>
      </c>
      <c r="K232">
        <v>3</v>
      </c>
      <c r="N232">
        <v>2</v>
      </c>
      <c r="O232">
        <v>4</v>
      </c>
      <c r="Q232">
        <v>2</v>
      </c>
      <c r="R232">
        <v>3</v>
      </c>
      <c r="S232">
        <v>1</v>
      </c>
      <c r="U232" t="s">
        <v>38</v>
      </c>
      <c r="V232">
        <v>1</v>
      </c>
    </row>
    <row r="233" spans="2:22" x14ac:dyDescent="0.25">
      <c r="B233">
        <v>4</v>
      </c>
      <c r="C233">
        <f>IF(Adecco_India[[#This Row],[Attrition]]="Yes",1,0)</f>
        <v>0</v>
      </c>
      <c r="F233">
        <v>42</v>
      </c>
      <c r="G233">
        <v>4</v>
      </c>
      <c r="J233">
        <v>3</v>
      </c>
      <c r="K233">
        <v>3</v>
      </c>
      <c r="N233">
        <v>22</v>
      </c>
      <c r="O233">
        <v>4</v>
      </c>
      <c r="Q233">
        <v>11</v>
      </c>
      <c r="R233">
        <v>3</v>
      </c>
      <c r="S233">
        <v>1</v>
      </c>
      <c r="U233" t="s">
        <v>60</v>
      </c>
      <c r="V233">
        <v>1</v>
      </c>
    </row>
    <row r="234" spans="2:22" x14ac:dyDescent="0.25">
      <c r="B234">
        <v>6</v>
      </c>
      <c r="C234">
        <f>IF(Adecco_India[[#This Row],[Attrition]]="Yes",1,0)</f>
        <v>0</v>
      </c>
      <c r="F234">
        <v>59</v>
      </c>
      <c r="G234">
        <v>3</v>
      </c>
      <c r="J234">
        <v>2</v>
      </c>
      <c r="K234">
        <v>3</v>
      </c>
      <c r="N234">
        <v>2</v>
      </c>
      <c r="O234">
        <v>3</v>
      </c>
      <c r="Q234">
        <v>2</v>
      </c>
      <c r="R234">
        <v>3</v>
      </c>
      <c r="S234">
        <v>1</v>
      </c>
      <c r="U234" t="s">
        <v>51</v>
      </c>
      <c r="V234">
        <v>1</v>
      </c>
    </row>
    <row r="235" spans="2:22" x14ac:dyDescent="0.25">
      <c r="B235">
        <v>1</v>
      </c>
      <c r="C235">
        <f>IF(Adecco_India[[#This Row],[Attrition]]="Yes",1,0)</f>
        <v>0</v>
      </c>
      <c r="F235">
        <v>50</v>
      </c>
      <c r="G235">
        <v>4</v>
      </c>
      <c r="J235">
        <v>2</v>
      </c>
      <c r="K235">
        <v>3</v>
      </c>
      <c r="N235">
        <v>7</v>
      </c>
      <c r="O235">
        <v>4</v>
      </c>
      <c r="Q235">
        <v>0</v>
      </c>
      <c r="R235">
        <v>3</v>
      </c>
      <c r="S235">
        <v>1</v>
      </c>
      <c r="U235" t="s">
        <v>51</v>
      </c>
      <c r="V235">
        <v>1</v>
      </c>
    </row>
    <row r="236" spans="2:22" x14ac:dyDescent="0.25">
      <c r="B236">
        <v>14</v>
      </c>
      <c r="C236">
        <f>IF(Adecco_India[[#This Row],[Attrition]]="Yes",1,0)</f>
        <v>1</v>
      </c>
      <c r="F236">
        <v>33</v>
      </c>
      <c r="G236">
        <v>4</v>
      </c>
      <c r="J236">
        <v>1</v>
      </c>
      <c r="K236">
        <v>3</v>
      </c>
      <c r="N236">
        <v>5</v>
      </c>
      <c r="O236">
        <v>4</v>
      </c>
      <c r="Q236">
        <v>0</v>
      </c>
      <c r="R236">
        <v>3</v>
      </c>
      <c r="S236">
        <v>1</v>
      </c>
      <c r="U236" t="s">
        <v>51</v>
      </c>
      <c r="V236">
        <v>1</v>
      </c>
    </row>
    <row r="237" spans="2:22" x14ac:dyDescent="0.25">
      <c r="B237">
        <v>16</v>
      </c>
      <c r="C237">
        <f>IF(Adecco_India[[#This Row],[Attrition]]="Yes",1,0)</f>
        <v>0</v>
      </c>
      <c r="F237">
        <v>43</v>
      </c>
      <c r="G237">
        <v>4</v>
      </c>
      <c r="J237">
        <v>3</v>
      </c>
      <c r="K237">
        <v>4</v>
      </c>
      <c r="N237">
        <v>17</v>
      </c>
      <c r="O237">
        <v>4</v>
      </c>
      <c r="Q237">
        <v>1</v>
      </c>
      <c r="R237">
        <v>4</v>
      </c>
      <c r="S237">
        <v>1</v>
      </c>
      <c r="U237" t="s">
        <v>59</v>
      </c>
      <c r="V237">
        <v>1</v>
      </c>
    </row>
    <row r="238" spans="2:22" x14ac:dyDescent="0.25">
      <c r="B238">
        <v>2</v>
      </c>
      <c r="C238">
        <f>IF(Adecco_India[[#This Row],[Attrition]]="Yes",1,0)</f>
        <v>1</v>
      </c>
      <c r="F238">
        <v>33</v>
      </c>
      <c r="G238">
        <v>1</v>
      </c>
      <c r="J238">
        <v>4</v>
      </c>
      <c r="K238">
        <v>4</v>
      </c>
      <c r="N238">
        <v>9</v>
      </c>
      <c r="O238">
        <v>1</v>
      </c>
      <c r="Q238">
        <v>1</v>
      </c>
      <c r="R238">
        <v>4</v>
      </c>
      <c r="S238">
        <v>1</v>
      </c>
      <c r="U238" t="s">
        <v>38</v>
      </c>
      <c r="V238">
        <v>1</v>
      </c>
    </row>
    <row r="239" spans="2:22" x14ac:dyDescent="0.25">
      <c r="B239">
        <v>2</v>
      </c>
      <c r="C239">
        <f>IF(Adecco_India[[#This Row],[Attrition]]="Yes",1,0)</f>
        <v>0</v>
      </c>
      <c r="F239">
        <v>52</v>
      </c>
      <c r="G239">
        <v>3</v>
      </c>
      <c r="J239">
        <v>4</v>
      </c>
      <c r="K239">
        <v>3</v>
      </c>
      <c r="N239">
        <v>33</v>
      </c>
      <c r="O239">
        <v>3</v>
      </c>
      <c r="Q239">
        <v>15</v>
      </c>
      <c r="R239">
        <v>3</v>
      </c>
      <c r="S239">
        <v>1</v>
      </c>
      <c r="U239" t="s">
        <v>38</v>
      </c>
      <c r="V239">
        <v>1</v>
      </c>
    </row>
    <row r="240" spans="2:22" x14ac:dyDescent="0.25">
      <c r="B240">
        <v>4</v>
      </c>
      <c r="C240">
        <f>IF(Adecco_India[[#This Row],[Attrition]]="Yes",1,0)</f>
        <v>0</v>
      </c>
      <c r="F240">
        <v>32</v>
      </c>
      <c r="G240">
        <v>2</v>
      </c>
      <c r="J240">
        <v>3</v>
      </c>
      <c r="K240">
        <v>3</v>
      </c>
      <c r="N240">
        <v>4</v>
      </c>
      <c r="O240">
        <v>2</v>
      </c>
      <c r="Q240">
        <v>1</v>
      </c>
      <c r="R240">
        <v>3</v>
      </c>
      <c r="S240">
        <v>1</v>
      </c>
      <c r="U240" t="s">
        <v>38</v>
      </c>
      <c r="V240">
        <v>1</v>
      </c>
    </row>
    <row r="241" spans="2:22" x14ac:dyDescent="0.25">
      <c r="B241">
        <v>1</v>
      </c>
      <c r="C241">
        <f>IF(Adecco_India[[#This Row],[Attrition]]="Yes",1,0)</f>
        <v>1</v>
      </c>
      <c r="F241">
        <v>32</v>
      </c>
      <c r="G241">
        <v>3</v>
      </c>
      <c r="J241">
        <v>1</v>
      </c>
      <c r="K241">
        <v>3</v>
      </c>
      <c r="N241">
        <v>3</v>
      </c>
      <c r="O241">
        <v>3</v>
      </c>
      <c r="Q241">
        <v>1</v>
      </c>
      <c r="R241">
        <v>3</v>
      </c>
      <c r="S241">
        <v>1</v>
      </c>
      <c r="U241" t="s">
        <v>38</v>
      </c>
      <c r="V241">
        <v>1</v>
      </c>
    </row>
    <row r="242" spans="2:22" x14ac:dyDescent="0.25">
      <c r="B242">
        <v>1</v>
      </c>
      <c r="C242">
        <f>IF(Adecco_India[[#This Row],[Attrition]]="Yes",1,0)</f>
        <v>0</v>
      </c>
      <c r="F242">
        <v>39</v>
      </c>
      <c r="G242">
        <v>3</v>
      </c>
      <c r="J242">
        <v>3</v>
      </c>
      <c r="K242">
        <v>3</v>
      </c>
      <c r="N242">
        <v>3</v>
      </c>
      <c r="O242">
        <v>3</v>
      </c>
      <c r="Q242">
        <v>1</v>
      </c>
      <c r="R242">
        <v>3</v>
      </c>
      <c r="S242">
        <v>1</v>
      </c>
      <c r="U242" t="s">
        <v>51</v>
      </c>
      <c r="V242">
        <v>1</v>
      </c>
    </row>
    <row r="243" spans="2:22" x14ac:dyDescent="0.25">
      <c r="B243">
        <v>26</v>
      </c>
      <c r="C243">
        <f>IF(Adecco_India[[#This Row],[Attrition]]="Yes",1,0)</f>
        <v>0</v>
      </c>
      <c r="F243">
        <v>32</v>
      </c>
      <c r="G243">
        <v>4</v>
      </c>
      <c r="J243">
        <v>3</v>
      </c>
      <c r="K243">
        <v>3</v>
      </c>
      <c r="N243">
        <v>3</v>
      </c>
      <c r="O243">
        <v>4</v>
      </c>
      <c r="Q243">
        <v>2</v>
      </c>
      <c r="R243">
        <v>3</v>
      </c>
      <c r="S243">
        <v>1</v>
      </c>
      <c r="U243" t="s">
        <v>59</v>
      </c>
      <c r="V243">
        <v>1</v>
      </c>
    </row>
    <row r="244" spans="2:22" x14ac:dyDescent="0.25">
      <c r="B244">
        <v>19</v>
      </c>
      <c r="C244">
        <f>IF(Adecco_India[[#This Row],[Attrition]]="Yes",1,0)</f>
        <v>0</v>
      </c>
      <c r="F244">
        <v>41</v>
      </c>
      <c r="G244">
        <v>1</v>
      </c>
      <c r="J244">
        <v>2</v>
      </c>
      <c r="K244">
        <v>3</v>
      </c>
      <c r="N244">
        <v>1</v>
      </c>
      <c r="O244">
        <v>1</v>
      </c>
      <c r="Q244">
        <v>0</v>
      </c>
      <c r="R244">
        <v>3</v>
      </c>
      <c r="S244">
        <v>1</v>
      </c>
      <c r="U244" t="s">
        <v>38</v>
      </c>
      <c r="V244">
        <v>1</v>
      </c>
    </row>
    <row r="245" spans="2:22" x14ac:dyDescent="0.25">
      <c r="B245">
        <v>24</v>
      </c>
      <c r="C245">
        <f>IF(Adecco_India[[#This Row],[Attrition]]="Yes",1,0)</f>
        <v>0</v>
      </c>
      <c r="F245">
        <v>40</v>
      </c>
      <c r="G245">
        <v>4</v>
      </c>
      <c r="J245">
        <v>3</v>
      </c>
      <c r="K245">
        <v>3</v>
      </c>
      <c r="N245">
        <v>9</v>
      </c>
      <c r="O245">
        <v>4</v>
      </c>
      <c r="Q245">
        <v>4</v>
      </c>
      <c r="R245">
        <v>3</v>
      </c>
      <c r="S245">
        <v>1</v>
      </c>
      <c r="U245" t="s">
        <v>60</v>
      </c>
      <c r="V245">
        <v>1</v>
      </c>
    </row>
    <row r="246" spans="2:22" x14ac:dyDescent="0.25">
      <c r="B246">
        <v>1</v>
      </c>
      <c r="C246">
        <f>IF(Adecco_India[[#This Row],[Attrition]]="Yes",1,0)</f>
        <v>0</v>
      </c>
      <c r="F246">
        <v>45</v>
      </c>
      <c r="G246">
        <v>4</v>
      </c>
      <c r="J246">
        <v>3</v>
      </c>
      <c r="K246">
        <v>3</v>
      </c>
      <c r="N246">
        <v>24</v>
      </c>
      <c r="O246">
        <v>4</v>
      </c>
      <c r="Q246">
        <v>1</v>
      </c>
      <c r="R246">
        <v>3</v>
      </c>
      <c r="S246">
        <v>1</v>
      </c>
      <c r="U246" t="s">
        <v>49</v>
      </c>
      <c r="V246">
        <v>1</v>
      </c>
    </row>
    <row r="247" spans="2:22" x14ac:dyDescent="0.25">
      <c r="B247">
        <v>3</v>
      </c>
      <c r="C247">
        <f>IF(Adecco_India[[#This Row],[Attrition]]="Yes",1,0)</f>
        <v>0</v>
      </c>
      <c r="F247">
        <v>31</v>
      </c>
      <c r="G247">
        <v>3</v>
      </c>
      <c r="J247">
        <v>3</v>
      </c>
      <c r="K247">
        <v>3</v>
      </c>
      <c r="N247">
        <v>2</v>
      </c>
      <c r="O247">
        <v>3</v>
      </c>
      <c r="Q247">
        <v>2</v>
      </c>
      <c r="R247">
        <v>3</v>
      </c>
      <c r="S247">
        <v>1</v>
      </c>
      <c r="U247" t="s">
        <v>51</v>
      </c>
      <c r="V247">
        <v>1</v>
      </c>
    </row>
    <row r="248" spans="2:22" x14ac:dyDescent="0.25">
      <c r="B248">
        <v>5</v>
      </c>
      <c r="C248">
        <f>IF(Adecco_India[[#This Row],[Attrition]]="Yes",1,0)</f>
        <v>0</v>
      </c>
      <c r="F248">
        <v>33</v>
      </c>
      <c r="G248">
        <v>4</v>
      </c>
      <c r="J248">
        <v>2</v>
      </c>
      <c r="K248">
        <v>3</v>
      </c>
      <c r="N248">
        <v>2</v>
      </c>
      <c r="O248">
        <v>4</v>
      </c>
      <c r="Q248">
        <v>0</v>
      </c>
      <c r="R248">
        <v>3</v>
      </c>
      <c r="S248">
        <v>1</v>
      </c>
      <c r="U248" t="s">
        <v>38</v>
      </c>
      <c r="V248">
        <v>1</v>
      </c>
    </row>
    <row r="249" spans="2:22" x14ac:dyDescent="0.25">
      <c r="B249">
        <v>2</v>
      </c>
      <c r="C249">
        <f>IF(Adecco_India[[#This Row],[Attrition]]="Yes",1,0)</f>
        <v>0</v>
      </c>
      <c r="F249">
        <v>34</v>
      </c>
      <c r="G249">
        <v>1</v>
      </c>
      <c r="J249">
        <v>3</v>
      </c>
      <c r="K249">
        <v>3</v>
      </c>
      <c r="N249">
        <v>11</v>
      </c>
      <c r="O249">
        <v>1</v>
      </c>
      <c r="Q249">
        <v>5</v>
      </c>
      <c r="R249">
        <v>3</v>
      </c>
      <c r="S249">
        <v>1</v>
      </c>
      <c r="U249" t="s">
        <v>38</v>
      </c>
      <c r="V249">
        <v>1</v>
      </c>
    </row>
    <row r="250" spans="2:22" x14ac:dyDescent="0.25">
      <c r="B250">
        <v>1</v>
      </c>
      <c r="C250">
        <f>IF(Adecco_India[[#This Row],[Attrition]]="Yes",1,0)</f>
        <v>0</v>
      </c>
      <c r="F250">
        <v>37</v>
      </c>
      <c r="G250">
        <v>1</v>
      </c>
      <c r="J250">
        <v>2</v>
      </c>
      <c r="K250">
        <v>3</v>
      </c>
      <c r="N250">
        <v>3</v>
      </c>
      <c r="O250">
        <v>1</v>
      </c>
      <c r="Q250">
        <v>0</v>
      </c>
      <c r="R250">
        <v>3</v>
      </c>
      <c r="S250">
        <v>1</v>
      </c>
      <c r="U250" t="s">
        <v>51</v>
      </c>
      <c r="V250">
        <v>1</v>
      </c>
    </row>
    <row r="251" spans="2:22" x14ac:dyDescent="0.25">
      <c r="B251">
        <v>7</v>
      </c>
      <c r="C251">
        <f>IF(Adecco_India[[#This Row],[Attrition]]="Yes",1,0)</f>
        <v>0</v>
      </c>
      <c r="F251">
        <v>45</v>
      </c>
      <c r="G251">
        <v>3</v>
      </c>
      <c r="J251">
        <v>3</v>
      </c>
      <c r="K251">
        <v>3</v>
      </c>
      <c r="N251">
        <v>3</v>
      </c>
      <c r="O251">
        <v>3</v>
      </c>
      <c r="Q251">
        <v>0</v>
      </c>
      <c r="R251">
        <v>3</v>
      </c>
      <c r="S251">
        <v>1</v>
      </c>
      <c r="U251" t="s">
        <v>38</v>
      </c>
      <c r="V251">
        <v>1</v>
      </c>
    </row>
    <row r="252" spans="2:22" x14ac:dyDescent="0.25">
      <c r="B252">
        <v>10</v>
      </c>
      <c r="C252">
        <f>IF(Adecco_India[[#This Row],[Attrition]]="Yes",1,0)</f>
        <v>1</v>
      </c>
      <c r="F252">
        <v>37</v>
      </c>
      <c r="G252">
        <v>3</v>
      </c>
      <c r="J252">
        <v>3</v>
      </c>
      <c r="K252">
        <v>3</v>
      </c>
      <c r="N252">
        <v>1</v>
      </c>
      <c r="O252">
        <v>3</v>
      </c>
      <c r="Q252">
        <v>0</v>
      </c>
      <c r="R252">
        <v>3</v>
      </c>
      <c r="S252">
        <v>1</v>
      </c>
      <c r="U252" t="s">
        <v>51</v>
      </c>
      <c r="V252">
        <v>1</v>
      </c>
    </row>
    <row r="253" spans="2:22" x14ac:dyDescent="0.25">
      <c r="B253">
        <v>2</v>
      </c>
      <c r="C253">
        <f>IF(Adecco_India[[#This Row],[Attrition]]="Yes",1,0)</f>
        <v>0</v>
      </c>
      <c r="F253">
        <v>39</v>
      </c>
      <c r="G253">
        <v>3</v>
      </c>
      <c r="J253">
        <v>3</v>
      </c>
      <c r="K253">
        <v>4</v>
      </c>
      <c r="N253">
        <v>19</v>
      </c>
      <c r="O253">
        <v>3</v>
      </c>
      <c r="Q253">
        <v>11</v>
      </c>
      <c r="R253">
        <v>4</v>
      </c>
      <c r="S253">
        <v>1</v>
      </c>
      <c r="U253" t="s">
        <v>60</v>
      </c>
      <c r="V253">
        <v>1</v>
      </c>
    </row>
    <row r="254" spans="2:22" x14ac:dyDescent="0.25">
      <c r="B254">
        <v>15</v>
      </c>
      <c r="C254">
        <f>IF(Adecco_India[[#This Row],[Attrition]]="Yes",1,0)</f>
        <v>0</v>
      </c>
      <c r="F254">
        <v>29</v>
      </c>
      <c r="G254">
        <v>4</v>
      </c>
      <c r="J254">
        <v>3</v>
      </c>
      <c r="K254">
        <v>3</v>
      </c>
      <c r="N254">
        <v>6</v>
      </c>
      <c r="O254">
        <v>4</v>
      </c>
      <c r="Q254">
        <v>1</v>
      </c>
      <c r="R254">
        <v>3</v>
      </c>
      <c r="S254">
        <v>1</v>
      </c>
      <c r="U254" t="s">
        <v>38</v>
      </c>
      <c r="V254">
        <v>1</v>
      </c>
    </row>
    <row r="255" spans="2:22" x14ac:dyDescent="0.25">
      <c r="B255">
        <v>17</v>
      </c>
      <c r="C255">
        <f>IF(Adecco_India[[#This Row],[Attrition]]="Yes",1,0)</f>
        <v>0</v>
      </c>
      <c r="F255">
        <v>42</v>
      </c>
      <c r="G255">
        <v>1</v>
      </c>
      <c r="J255">
        <v>3</v>
      </c>
      <c r="K255">
        <v>3</v>
      </c>
      <c r="N255">
        <v>3</v>
      </c>
      <c r="O255">
        <v>1</v>
      </c>
      <c r="Q255">
        <v>0</v>
      </c>
      <c r="R255">
        <v>3</v>
      </c>
      <c r="S255">
        <v>1</v>
      </c>
      <c r="U255" t="s">
        <v>38</v>
      </c>
      <c r="V255">
        <v>1</v>
      </c>
    </row>
    <row r="256" spans="2:22" x14ac:dyDescent="0.25">
      <c r="B256">
        <v>20</v>
      </c>
      <c r="C256">
        <f>IF(Adecco_India[[#This Row],[Attrition]]="Yes",1,0)</f>
        <v>0</v>
      </c>
      <c r="F256">
        <v>29</v>
      </c>
      <c r="G256">
        <v>4</v>
      </c>
      <c r="J256">
        <v>3</v>
      </c>
      <c r="K256">
        <v>3</v>
      </c>
      <c r="N256">
        <v>3</v>
      </c>
      <c r="O256">
        <v>4</v>
      </c>
      <c r="Q256">
        <v>0</v>
      </c>
      <c r="R256">
        <v>3</v>
      </c>
      <c r="S256">
        <v>1</v>
      </c>
      <c r="U256" t="s">
        <v>59</v>
      </c>
      <c r="V256">
        <v>1</v>
      </c>
    </row>
    <row r="257" spans="2:22" x14ac:dyDescent="0.25">
      <c r="B257">
        <v>1</v>
      </c>
      <c r="C257">
        <f>IF(Adecco_India[[#This Row],[Attrition]]="Yes",1,0)</f>
        <v>0</v>
      </c>
      <c r="F257">
        <v>25</v>
      </c>
      <c r="G257">
        <v>3</v>
      </c>
      <c r="J257">
        <v>3</v>
      </c>
      <c r="K257">
        <v>3</v>
      </c>
      <c r="N257">
        <v>4</v>
      </c>
      <c r="O257">
        <v>3</v>
      </c>
      <c r="Q257">
        <v>1</v>
      </c>
      <c r="R257">
        <v>3</v>
      </c>
      <c r="S257">
        <v>1</v>
      </c>
      <c r="U257" t="s">
        <v>38</v>
      </c>
      <c r="V257">
        <v>1</v>
      </c>
    </row>
    <row r="258" spans="2:22" x14ac:dyDescent="0.25">
      <c r="B258">
        <v>2</v>
      </c>
      <c r="C258">
        <f>IF(Adecco_India[[#This Row],[Attrition]]="Yes",1,0)</f>
        <v>0</v>
      </c>
      <c r="F258">
        <v>42</v>
      </c>
      <c r="G258">
        <v>1</v>
      </c>
      <c r="J258">
        <v>3</v>
      </c>
      <c r="K258">
        <v>3</v>
      </c>
      <c r="N258">
        <v>9</v>
      </c>
      <c r="O258">
        <v>1</v>
      </c>
      <c r="Q258">
        <v>7</v>
      </c>
      <c r="R258">
        <v>3</v>
      </c>
      <c r="S258">
        <v>1</v>
      </c>
      <c r="U258" t="s">
        <v>51</v>
      </c>
      <c r="V258">
        <v>1</v>
      </c>
    </row>
    <row r="259" spans="2:22" x14ac:dyDescent="0.25">
      <c r="B259">
        <v>2</v>
      </c>
      <c r="C259">
        <f>IF(Adecco_India[[#This Row],[Attrition]]="Yes",1,0)</f>
        <v>0</v>
      </c>
      <c r="F259">
        <v>40</v>
      </c>
      <c r="G259">
        <v>3</v>
      </c>
      <c r="J259">
        <v>3</v>
      </c>
      <c r="K259">
        <v>3</v>
      </c>
      <c r="N259">
        <v>21</v>
      </c>
      <c r="O259">
        <v>3</v>
      </c>
      <c r="Q259">
        <v>3</v>
      </c>
      <c r="R259">
        <v>3</v>
      </c>
      <c r="S259">
        <v>1</v>
      </c>
      <c r="U259" t="s">
        <v>51</v>
      </c>
      <c r="V259">
        <v>1</v>
      </c>
    </row>
    <row r="260" spans="2:22" x14ac:dyDescent="0.25">
      <c r="B260">
        <v>1</v>
      </c>
      <c r="C260">
        <f>IF(Adecco_India[[#This Row],[Attrition]]="Yes",1,0)</f>
        <v>0</v>
      </c>
      <c r="F260">
        <v>51</v>
      </c>
      <c r="G260">
        <v>4</v>
      </c>
      <c r="J260">
        <v>2</v>
      </c>
      <c r="K260">
        <v>3</v>
      </c>
      <c r="N260">
        <v>1</v>
      </c>
      <c r="O260">
        <v>4</v>
      </c>
      <c r="Q260">
        <v>0</v>
      </c>
      <c r="R260">
        <v>3</v>
      </c>
      <c r="S260">
        <v>1</v>
      </c>
      <c r="U260" t="s">
        <v>38</v>
      </c>
      <c r="V260">
        <v>1</v>
      </c>
    </row>
    <row r="261" spans="2:22" x14ac:dyDescent="0.25">
      <c r="B261">
        <v>29</v>
      </c>
      <c r="C261">
        <f>IF(Adecco_India[[#This Row],[Attrition]]="Yes",1,0)</f>
        <v>1</v>
      </c>
      <c r="F261">
        <v>31</v>
      </c>
      <c r="G261">
        <v>2</v>
      </c>
      <c r="J261">
        <v>4</v>
      </c>
      <c r="K261">
        <v>3</v>
      </c>
      <c r="N261">
        <v>5</v>
      </c>
      <c r="O261">
        <v>2</v>
      </c>
      <c r="Q261">
        <v>1</v>
      </c>
      <c r="R261">
        <v>3</v>
      </c>
      <c r="S261">
        <v>1</v>
      </c>
      <c r="U261" t="s">
        <v>51</v>
      </c>
      <c r="V261">
        <v>1</v>
      </c>
    </row>
    <row r="262" spans="2:22" x14ac:dyDescent="0.25">
      <c r="B262">
        <v>7</v>
      </c>
      <c r="C262">
        <f>IF(Adecco_India[[#This Row],[Attrition]]="Yes",1,0)</f>
        <v>0</v>
      </c>
      <c r="F262">
        <v>32</v>
      </c>
      <c r="G262">
        <v>2</v>
      </c>
      <c r="J262">
        <v>1</v>
      </c>
      <c r="K262">
        <v>4</v>
      </c>
      <c r="N262">
        <v>5</v>
      </c>
      <c r="O262">
        <v>2</v>
      </c>
      <c r="Q262">
        <v>0</v>
      </c>
      <c r="R262">
        <v>4</v>
      </c>
      <c r="S262">
        <v>1</v>
      </c>
      <c r="U262" t="s">
        <v>38</v>
      </c>
      <c r="V262">
        <v>1</v>
      </c>
    </row>
    <row r="263" spans="2:22" x14ac:dyDescent="0.25">
      <c r="B263">
        <v>2</v>
      </c>
      <c r="C263">
        <f>IF(Adecco_India[[#This Row],[Attrition]]="Yes",1,0)</f>
        <v>0</v>
      </c>
      <c r="F263">
        <v>38</v>
      </c>
      <c r="G263">
        <v>4</v>
      </c>
      <c r="J263">
        <v>3</v>
      </c>
      <c r="K263">
        <v>3</v>
      </c>
      <c r="N263">
        <v>8</v>
      </c>
      <c r="O263">
        <v>4</v>
      </c>
      <c r="Q263">
        <v>7</v>
      </c>
      <c r="R263">
        <v>3</v>
      </c>
      <c r="S263">
        <v>1</v>
      </c>
      <c r="U263" t="s">
        <v>38</v>
      </c>
      <c r="V263">
        <v>1</v>
      </c>
    </row>
    <row r="264" spans="2:22" x14ac:dyDescent="0.25">
      <c r="B264">
        <v>2</v>
      </c>
      <c r="C264">
        <f>IF(Adecco_India[[#This Row],[Attrition]]="Yes",1,0)</f>
        <v>0</v>
      </c>
      <c r="F264">
        <v>32</v>
      </c>
      <c r="G264">
        <v>1</v>
      </c>
      <c r="J264">
        <v>3</v>
      </c>
      <c r="K264">
        <v>3</v>
      </c>
      <c r="N264">
        <v>6</v>
      </c>
      <c r="O264">
        <v>1</v>
      </c>
      <c r="Q264">
        <v>0</v>
      </c>
      <c r="R264">
        <v>3</v>
      </c>
      <c r="S264">
        <v>1</v>
      </c>
      <c r="U264" t="s">
        <v>60</v>
      </c>
      <c r="V264">
        <v>1</v>
      </c>
    </row>
    <row r="265" spans="2:22" x14ac:dyDescent="0.25">
      <c r="B265">
        <v>2</v>
      </c>
      <c r="C265">
        <f>IF(Adecco_India[[#This Row],[Attrition]]="Yes",1,0)</f>
        <v>0</v>
      </c>
      <c r="F265">
        <v>46</v>
      </c>
      <c r="G265">
        <v>2</v>
      </c>
      <c r="J265">
        <v>2</v>
      </c>
      <c r="K265">
        <v>3</v>
      </c>
      <c r="N265">
        <v>7</v>
      </c>
      <c r="O265">
        <v>2</v>
      </c>
      <c r="Q265">
        <v>7</v>
      </c>
      <c r="R265">
        <v>3</v>
      </c>
      <c r="S265">
        <v>1</v>
      </c>
      <c r="U265" t="s">
        <v>60</v>
      </c>
      <c r="V265">
        <v>1</v>
      </c>
    </row>
    <row r="266" spans="2:22" x14ac:dyDescent="0.25">
      <c r="B266">
        <v>2</v>
      </c>
      <c r="C266">
        <f>IF(Adecco_India[[#This Row],[Attrition]]="Yes",1,0)</f>
        <v>1</v>
      </c>
      <c r="F266">
        <v>28</v>
      </c>
      <c r="G266">
        <v>3</v>
      </c>
      <c r="J266">
        <v>1</v>
      </c>
      <c r="K266">
        <v>3</v>
      </c>
      <c r="N266">
        <v>0</v>
      </c>
      <c r="O266">
        <v>3</v>
      </c>
      <c r="Q266">
        <v>0</v>
      </c>
      <c r="R266">
        <v>3</v>
      </c>
      <c r="S266">
        <v>1</v>
      </c>
      <c r="U266" t="s">
        <v>38</v>
      </c>
      <c r="V266">
        <v>1</v>
      </c>
    </row>
    <row r="267" spans="2:22" x14ac:dyDescent="0.25">
      <c r="B267">
        <v>2</v>
      </c>
      <c r="C267">
        <f>IF(Adecco_India[[#This Row],[Attrition]]="Yes",1,0)</f>
        <v>0</v>
      </c>
      <c r="F267">
        <v>29</v>
      </c>
      <c r="G267">
        <v>2</v>
      </c>
      <c r="J267">
        <v>3</v>
      </c>
      <c r="K267">
        <v>3</v>
      </c>
      <c r="N267">
        <v>0</v>
      </c>
      <c r="O267">
        <v>2</v>
      </c>
      <c r="Q267">
        <v>0</v>
      </c>
      <c r="R267">
        <v>3</v>
      </c>
      <c r="S267">
        <v>1</v>
      </c>
      <c r="U267" t="s">
        <v>51</v>
      </c>
      <c r="V267">
        <v>1</v>
      </c>
    </row>
    <row r="268" spans="2:22" x14ac:dyDescent="0.25">
      <c r="B268">
        <v>23</v>
      </c>
      <c r="C268">
        <f>IF(Adecco_India[[#This Row],[Attrition]]="Yes",1,0)</f>
        <v>0</v>
      </c>
      <c r="F268">
        <v>31</v>
      </c>
      <c r="G268">
        <v>4</v>
      </c>
      <c r="J268">
        <v>3</v>
      </c>
      <c r="K268">
        <v>4</v>
      </c>
      <c r="N268">
        <v>9</v>
      </c>
      <c r="O268">
        <v>4</v>
      </c>
      <c r="Q268">
        <v>7</v>
      </c>
      <c r="R268">
        <v>4</v>
      </c>
      <c r="S268">
        <v>1</v>
      </c>
      <c r="U268" t="s">
        <v>51</v>
      </c>
      <c r="V268">
        <v>1</v>
      </c>
    </row>
    <row r="269" spans="2:22" x14ac:dyDescent="0.25">
      <c r="B269">
        <v>5</v>
      </c>
      <c r="C269">
        <f>IF(Adecco_India[[#This Row],[Attrition]]="Yes",1,0)</f>
        <v>0</v>
      </c>
      <c r="F269">
        <v>25</v>
      </c>
      <c r="G269">
        <v>1</v>
      </c>
      <c r="J269">
        <v>3</v>
      </c>
      <c r="K269">
        <v>3</v>
      </c>
      <c r="N269">
        <v>6</v>
      </c>
      <c r="O269">
        <v>1</v>
      </c>
      <c r="Q269">
        <v>1</v>
      </c>
      <c r="R269">
        <v>3</v>
      </c>
      <c r="S269">
        <v>1</v>
      </c>
      <c r="U269" t="s">
        <v>38</v>
      </c>
      <c r="V269">
        <v>1</v>
      </c>
    </row>
    <row r="270" spans="2:22" x14ac:dyDescent="0.25">
      <c r="B270">
        <v>20</v>
      </c>
      <c r="C270">
        <f>IF(Adecco_India[[#This Row],[Attrition]]="Yes",1,0)</f>
        <v>0</v>
      </c>
      <c r="F270">
        <v>45</v>
      </c>
      <c r="G270">
        <v>4</v>
      </c>
      <c r="J270">
        <v>3</v>
      </c>
      <c r="K270">
        <v>3</v>
      </c>
      <c r="N270">
        <v>20</v>
      </c>
      <c r="O270">
        <v>4</v>
      </c>
      <c r="Q270">
        <v>4</v>
      </c>
      <c r="R270">
        <v>3</v>
      </c>
      <c r="S270">
        <v>1</v>
      </c>
      <c r="U270" t="s">
        <v>51</v>
      </c>
      <c r="V270">
        <v>1</v>
      </c>
    </row>
    <row r="271" spans="2:22" x14ac:dyDescent="0.25">
      <c r="B271">
        <v>6</v>
      </c>
      <c r="C271">
        <f>IF(Adecco_India[[#This Row],[Attrition]]="Yes",1,0)</f>
        <v>0</v>
      </c>
      <c r="F271">
        <v>36</v>
      </c>
      <c r="G271">
        <v>4</v>
      </c>
      <c r="J271">
        <v>3</v>
      </c>
      <c r="K271">
        <v>3</v>
      </c>
      <c r="N271">
        <v>15</v>
      </c>
      <c r="O271">
        <v>4</v>
      </c>
      <c r="Q271">
        <v>10</v>
      </c>
      <c r="R271">
        <v>3</v>
      </c>
      <c r="S271">
        <v>1</v>
      </c>
      <c r="U271" t="s">
        <v>38</v>
      </c>
      <c r="V271">
        <v>1</v>
      </c>
    </row>
    <row r="272" spans="2:22" x14ac:dyDescent="0.25">
      <c r="B272">
        <v>1</v>
      </c>
      <c r="C272">
        <f>IF(Adecco_India[[#This Row],[Attrition]]="Yes",1,0)</f>
        <v>0</v>
      </c>
      <c r="F272">
        <v>55</v>
      </c>
      <c r="G272">
        <v>1</v>
      </c>
      <c r="J272">
        <v>3</v>
      </c>
      <c r="K272">
        <v>3</v>
      </c>
      <c r="N272">
        <v>36</v>
      </c>
      <c r="O272">
        <v>1</v>
      </c>
      <c r="Q272">
        <v>4</v>
      </c>
      <c r="R272">
        <v>3</v>
      </c>
      <c r="S272">
        <v>1</v>
      </c>
      <c r="U272" t="s">
        <v>51</v>
      </c>
      <c r="V272">
        <v>1</v>
      </c>
    </row>
    <row r="273" spans="2:22" x14ac:dyDescent="0.25">
      <c r="B273">
        <v>29</v>
      </c>
      <c r="C273">
        <f>IF(Adecco_India[[#This Row],[Attrition]]="Yes",1,0)</f>
        <v>1</v>
      </c>
      <c r="F273">
        <v>47</v>
      </c>
      <c r="G273">
        <v>2</v>
      </c>
      <c r="J273">
        <v>2</v>
      </c>
      <c r="K273">
        <v>3</v>
      </c>
      <c r="N273">
        <v>10</v>
      </c>
      <c r="O273">
        <v>2</v>
      </c>
      <c r="Q273">
        <v>9</v>
      </c>
      <c r="R273">
        <v>3</v>
      </c>
      <c r="S273">
        <v>1</v>
      </c>
      <c r="U273" t="s">
        <v>38</v>
      </c>
      <c r="V273">
        <v>1</v>
      </c>
    </row>
    <row r="274" spans="2:22" x14ac:dyDescent="0.25">
      <c r="B274">
        <v>9</v>
      </c>
      <c r="C274">
        <f>IF(Adecco_India[[#This Row],[Attrition]]="Yes",1,0)</f>
        <v>0</v>
      </c>
      <c r="F274">
        <v>28</v>
      </c>
      <c r="G274">
        <v>4</v>
      </c>
      <c r="J274">
        <v>2</v>
      </c>
      <c r="K274">
        <v>4</v>
      </c>
      <c r="N274">
        <v>5</v>
      </c>
      <c r="O274">
        <v>4</v>
      </c>
      <c r="Q274">
        <v>0</v>
      </c>
      <c r="R274">
        <v>4</v>
      </c>
      <c r="S274">
        <v>1</v>
      </c>
      <c r="U274" t="s">
        <v>51</v>
      </c>
      <c r="V274">
        <v>1</v>
      </c>
    </row>
    <row r="275" spans="2:22" x14ac:dyDescent="0.25">
      <c r="B275">
        <v>6</v>
      </c>
      <c r="C275">
        <f>IF(Adecco_India[[#This Row],[Attrition]]="Yes",1,0)</f>
        <v>0</v>
      </c>
      <c r="F275">
        <v>37</v>
      </c>
      <c r="G275">
        <v>4</v>
      </c>
      <c r="J275">
        <v>4</v>
      </c>
      <c r="K275">
        <v>3</v>
      </c>
      <c r="N275">
        <v>5</v>
      </c>
      <c r="O275">
        <v>4</v>
      </c>
      <c r="Q275">
        <v>0</v>
      </c>
      <c r="R275">
        <v>3</v>
      </c>
      <c r="S275">
        <v>1</v>
      </c>
      <c r="U275" t="s">
        <v>51</v>
      </c>
      <c r="V275">
        <v>1</v>
      </c>
    </row>
    <row r="276" spans="2:22" x14ac:dyDescent="0.25">
      <c r="B276">
        <v>3</v>
      </c>
      <c r="C276">
        <f>IF(Adecco_India[[#This Row],[Attrition]]="Yes",1,0)</f>
        <v>0</v>
      </c>
      <c r="F276">
        <v>21</v>
      </c>
      <c r="G276">
        <v>3</v>
      </c>
      <c r="J276">
        <v>4</v>
      </c>
      <c r="K276">
        <v>3</v>
      </c>
      <c r="N276">
        <v>3</v>
      </c>
      <c r="O276">
        <v>3</v>
      </c>
      <c r="Q276">
        <v>1</v>
      </c>
      <c r="R276">
        <v>3</v>
      </c>
      <c r="S276">
        <v>1</v>
      </c>
      <c r="U276" t="s">
        <v>51</v>
      </c>
      <c r="V276">
        <v>1</v>
      </c>
    </row>
    <row r="277" spans="2:22" x14ac:dyDescent="0.25">
      <c r="B277">
        <v>1</v>
      </c>
      <c r="C277">
        <f>IF(Adecco_India[[#This Row],[Attrition]]="Yes",1,0)</f>
        <v>0</v>
      </c>
      <c r="F277">
        <v>37</v>
      </c>
      <c r="G277">
        <v>4</v>
      </c>
      <c r="J277">
        <v>3</v>
      </c>
      <c r="K277">
        <v>3</v>
      </c>
      <c r="N277">
        <v>5</v>
      </c>
      <c r="O277">
        <v>4</v>
      </c>
      <c r="Q277">
        <v>0</v>
      </c>
      <c r="R277">
        <v>3</v>
      </c>
      <c r="S277">
        <v>1</v>
      </c>
      <c r="U277" t="s">
        <v>51</v>
      </c>
      <c r="V277">
        <v>1</v>
      </c>
    </row>
    <row r="278" spans="2:22" x14ac:dyDescent="0.25">
      <c r="B278">
        <v>22</v>
      </c>
      <c r="C278">
        <f>IF(Adecco_India[[#This Row],[Attrition]]="Yes",1,0)</f>
        <v>0</v>
      </c>
      <c r="F278">
        <v>35</v>
      </c>
      <c r="G278">
        <v>2</v>
      </c>
      <c r="J278">
        <v>2</v>
      </c>
      <c r="K278">
        <v>3</v>
      </c>
      <c r="N278">
        <v>7</v>
      </c>
      <c r="O278">
        <v>2</v>
      </c>
      <c r="Q278">
        <v>6</v>
      </c>
      <c r="R278">
        <v>3</v>
      </c>
      <c r="S278">
        <v>1</v>
      </c>
      <c r="U278" t="s">
        <v>38</v>
      </c>
      <c r="V278">
        <v>1</v>
      </c>
    </row>
    <row r="279" spans="2:22" x14ac:dyDescent="0.25">
      <c r="B279">
        <v>7</v>
      </c>
      <c r="C279">
        <f>IF(Adecco_India[[#This Row],[Attrition]]="Yes",1,0)</f>
        <v>0</v>
      </c>
      <c r="F279">
        <v>38</v>
      </c>
      <c r="G279">
        <v>1</v>
      </c>
      <c r="J279">
        <v>3</v>
      </c>
      <c r="K279">
        <v>4</v>
      </c>
      <c r="N279">
        <v>8</v>
      </c>
      <c r="O279">
        <v>1</v>
      </c>
      <c r="Q279">
        <v>7</v>
      </c>
      <c r="R279">
        <v>4</v>
      </c>
      <c r="S279">
        <v>1</v>
      </c>
      <c r="U279" t="s">
        <v>51</v>
      </c>
      <c r="V279">
        <v>1</v>
      </c>
    </row>
    <row r="280" spans="2:22" x14ac:dyDescent="0.25">
      <c r="B280">
        <v>1</v>
      </c>
      <c r="C280">
        <f>IF(Adecco_India[[#This Row],[Attrition]]="Yes",1,0)</f>
        <v>0</v>
      </c>
      <c r="F280">
        <v>26</v>
      </c>
      <c r="G280">
        <v>2</v>
      </c>
      <c r="J280">
        <v>1</v>
      </c>
      <c r="K280">
        <v>4</v>
      </c>
      <c r="N280">
        <v>6</v>
      </c>
      <c r="O280">
        <v>2</v>
      </c>
      <c r="Q280">
        <v>1</v>
      </c>
      <c r="R280">
        <v>4</v>
      </c>
      <c r="S280">
        <v>1</v>
      </c>
      <c r="U280" t="s">
        <v>38</v>
      </c>
      <c r="V280">
        <v>1</v>
      </c>
    </row>
    <row r="281" spans="2:22" x14ac:dyDescent="0.25">
      <c r="B281">
        <v>4</v>
      </c>
      <c r="C281">
        <f>IF(Adecco_India[[#This Row],[Attrition]]="Yes",1,0)</f>
        <v>0</v>
      </c>
      <c r="F281">
        <v>50</v>
      </c>
      <c r="G281">
        <v>2</v>
      </c>
      <c r="J281">
        <v>2</v>
      </c>
      <c r="K281">
        <v>3</v>
      </c>
      <c r="N281">
        <v>10</v>
      </c>
      <c r="O281">
        <v>2</v>
      </c>
      <c r="Q281">
        <v>1</v>
      </c>
      <c r="R281">
        <v>3</v>
      </c>
      <c r="S281">
        <v>1</v>
      </c>
      <c r="U281" t="s">
        <v>38</v>
      </c>
      <c r="V281">
        <v>1</v>
      </c>
    </row>
    <row r="282" spans="2:22" x14ac:dyDescent="0.25">
      <c r="B282">
        <v>3</v>
      </c>
      <c r="C282">
        <f>IF(Adecco_India[[#This Row],[Attrition]]="Yes",1,0)</f>
        <v>0</v>
      </c>
      <c r="F282">
        <v>53</v>
      </c>
      <c r="G282">
        <v>3</v>
      </c>
      <c r="J282">
        <v>2</v>
      </c>
      <c r="K282">
        <v>3</v>
      </c>
      <c r="N282">
        <v>5</v>
      </c>
      <c r="O282">
        <v>3</v>
      </c>
      <c r="Q282">
        <v>1</v>
      </c>
      <c r="R282">
        <v>3</v>
      </c>
      <c r="S282">
        <v>1</v>
      </c>
      <c r="U282" t="s">
        <v>51</v>
      </c>
      <c r="V282">
        <v>1</v>
      </c>
    </row>
    <row r="283" spans="2:22" x14ac:dyDescent="0.25">
      <c r="B283">
        <v>1</v>
      </c>
      <c r="C283">
        <f>IF(Adecco_India[[#This Row],[Attrition]]="Yes",1,0)</f>
        <v>0</v>
      </c>
      <c r="F283">
        <v>42</v>
      </c>
      <c r="G283">
        <v>3</v>
      </c>
      <c r="J283">
        <v>3</v>
      </c>
      <c r="K283">
        <v>4</v>
      </c>
      <c r="N283">
        <v>20</v>
      </c>
      <c r="O283">
        <v>3</v>
      </c>
      <c r="Q283">
        <v>11</v>
      </c>
      <c r="R283">
        <v>4</v>
      </c>
      <c r="S283">
        <v>1</v>
      </c>
      <c r="U283" t="s">
        <v>38</v>
      </c>
      <c r="V283">
        <v>1</v>
      </c>
    </row>
    <row r="284" spans="2:22" x14ac:dyDescent="0.25">
      <c r="B284">
        <v>2</v>
      </c>
      <c r="C284">
        <f>IF(Adecco_India[[#This Row],[Attrition]]="Yes",1,0)</f>
        <v>0</v>
      </c>
      <c r="F284">
        <v>29</v>
      </c>
      <c r="G284">
        <v>4</v>
      </c>
      <c r="J284">
        <v>2</v>
      </c>
      <c r="K284">
        <v>3</v>
      </c>
      <c r="N284">
        <v>10</v>
      </c>
      <c r="O284">
        <v>4</v>
      </c>
      <c r="Q284">
        <v>0</v>
      </c>
      <c r="R284">
        <v>3</v>
      </c>
      <c r="S284">
        <v>1</v>
      </c>
      <c r="U284" t="s">
        <v>38</v>
      </c>
      <c r="V284">
        <v>1</v>
      </c>
    </row>
    <row r="285" spans="2:22" x14ac:dyDescent="0.25">
      <c r="B285">
        <v>20</v>
      </c>
      <c r="C285">
        <f>IF(Adecco_India[[#This Row],[Attrition]]="Yes",1,0)</f>
        <v>0</v>
      </c>
      <c r="F285">
        <v>55</v>
      </c>
      <c r="G285">
        <v>4</v>
      </c>
      <c r="J285">
        <v>3</v>
      </c>
      <c r="K285">
        <v>3</v>
      </c>
      <c r="N285">
        <v>10</v>
      </c>
      <c r="O285">
        <v>4</v>
      </c>
      <c r="Q285">
        <v>0</v>
      </c>
      <c r="R285">
        <v>3</v>
      </c>
      <c r="S285">
        <v>1</v>
      </c>
      <c r="U285" t="s">
        <v>60</v>
      </c>
      <c r="V285">
        <v>1</v>
      </c>
    </row>
    <row r="286" spans="2:22" x14ac:dyDescent="0.25">
      <c r="B286">
        <v>11</v>
      </c>
      <c r="C286">
        <f>IF(Adecco_India[[#This Row],[Attrition]]="Yes",1,0)</f>
        <v>0</v>
      </c>
      <c r="F286">
        <v>26</v>
      </c>
      <c r="G286">
        <v>1</v>
      </c>
      <c r="J286">
        <v>3</v>
      </c>
      <c r="K286">
        <v>3</v>
      </c>
      <c r="N286">
        <v>5</v>
      </c>
      <c r="O286">
        <v>1</v>
      </c>
      <c r="Q286">
        <v>3</v>
      </c>
      <c r="R286">
        <v>3</v>
      </c>
      <c r="S286">
        <v>1</v>
      </c>
      <c r="U286" t="s">
        <v>51</v>
      </c>
      <c r="V286">
        <v>1</v>
      </c>
    </row>
    <row r="287" spans="2:22" x14ac:dyDescent="0.25">
      <c r="B287">
        <v>1</v>
      </c>
      <c r="C287">
        <f>IF(Adecco_India[[#This Row],[Attrition]]="Yes",1,0)</f>
        <v>0</v>
      </c>
      <c r="F287">
        <v>37</v>
      </c>
      <c r="G287">
        <v>4</v>
      </c>
      <c r="J287">
        <v>3</v>
      </c>
      <c r="K287">
        <v>3</v>
      </c>
      <c r="N287">
        <v>17</v>
      </c>
      <c r="O287">
        <v>4</v>
      </c>
      <c r="Q287">
        <v>5</v>
      </c>
      <c r="R287">
        <v>3</v>
      </c>
      <c r="S287">
        <v>1</v>
      </c>
      <c r="U287" t="s">
        <v>38</v>
      </c>
      <c r="V287">
        <v>1</v>
      </c>
    </row>
    <row r="288" spans="2:22" x14ac:dyDescent="0.25">
      <c r="B288">
        <v>24</v>
      </c>
      <c r="C288">
        <f>IF(Adecco_India[[#This Row],[Attrition]]="Yes",1,0)</f>
        <v>1</v>
      </c>
      <c r="F288">
        <v>44</v>
      </c>
      <c r="G288">
        <v>3</v>
      </c>
      <c r="J288">
        <v>1</v>
      </c>
      <c r="K288">
        <v>4</v>
      </c>
      <c r="N288">
        <v>1</v>
      </c>
      <c r="O288">
        <v>3</v>
      </c>
      <c r="Q288">
        <v>0</v>
      </c>
      <c r="R288">
        <v>4</v>
      </c>
      <c r="S288">
        <v>1</v>
      </c>
      <c r="U288" t="s">
        <v>38</v>
      </c>
      <c r="V288">
        <v>1</v>
      </c>
    </row>
    <row r="289" spans="2:22" x14ac:dyDescent="0.25">
      <c r="B289">
        <v>23</v>
      </c>
      <c r="C289">
        <f>IF(Adecco_India[[#This Row],[Attrition]]="Yes",1,0)</f>
        <v>0</v>
      </c>
      <c r="F289">
        <v>38</v>
      </c>
      <c r="G289">
        <v>4</v>
      </c>
      <c r="J289">
        <v>3</v>
      </c>
      <c r="K289">
        <v>3</v>
      </c>
      <c r="N289">
        <v>2</v>
      </c>
      <c r="O289">
        <v>4</v>
      </c>
      <c r="Q289">
        <v>1</v>
      </c>
      <c r="R289">
        <v>3</v>
      </c>
      <c r="S289">
        <v>1</v>
      </c>
      <c r="U289" t="s">
        <v>38</v>
      </c>
      <c r="V289">
        <v>1</v>
      </c>
    </row>
    <row r="290" spans="2:22" x14ac:dyDescent="0.25">
      <c r="B290">
        <v>16</v>
      </c>
      <c r="C290">
        <f>IF(Adecco_India[[#This Row],[Attrition]]="Yes",1,0)</f>
        <v>1</v>
      </c>
      <c r="F290">
        <v>26</v>
      </c>
      <c r="G290">
        <v>2</v>
      </c>
      <c r="J290">
        <v>3</v>
      </c>
      <c r="K290">
        <v>3</v>
      </c>
      <c r="N290">
        <v>3</v>
      </c>
      <c r="O290">
        <v>2</v>
      </c>
      <c r="Q290">
        <v>0</v>
      </c>
      <c r="R290">
        <v>3</v>
      </c>
      <c r="S290">
        <v>1</v>
      </c>
      <c r="U290" t="s">
        <v>51</v>
      </c>
      <c r="V290">
        <v>1</v>
      </c>
    </row>
    <row r="291" spans="2:22" x14ac:dyDescent="0.25">
      <c r="B291">
        <v>8</v>
      </c>
      <c r="C291">
        <f>IF(Adecco_India[[#This Row],[Attrition]]="Yes",1,0)</f>
        <v>0</v>
      </c>
      <c r="F291">
        <v>28</v>
      </c>
      <c r="G291">
        <v>4</v>
      </c>
      <c r="J291">
        <v>3</v>
      </c>
      <c r="K291">
        <v>4</v>
      </c>
      <c r="N291">
        <v>5</v>
      </c>
      <c r="O291">
        <v>4</v>
      </c>
      <c r="Q291">
        <v>0</v>
      </c>
      <c r="R291">
        <v>4</v>
      </c>
      <c r="S291">
        <v>1</v>
      </c>
      <c r="U291" t="s">
        <v>38</v>
      </c>
      <c r="V291">
        <v>1</v>
      </c>
    </row>
    <row r="292" spans="2:22" x14ac:dyDescent="0.25">
      <c r="B292">
        <v>10</v>
      </c>
      <c r="C292">
        <f>IF(Adecco_India[[#This Row],[Attrition]]="Yes",1,0)</f>
        <v>0</v>
      </c>
      <c r="F292">
        <v>49</v>
      </c>
      <c r="G292">
        <v>1</v>
      </c>
      <c r="J292">
        <v>3</v>
      </c>
      <c r="K292">
        <v>3</v>
      </c>
      <c r="N292">
        <v>3</v>
      </c>
      <c r="O292">
        <v>1</v>
      </c>
      <c r="Q292">
        <v>1</v>
      </c>
      <c r="R292">
        <v>3</v>
      </c>
      <c r="S292">
        <v>1</v>
      </c>
      <c r="U292" t="s">
        <v>38</v>
      </c>
      <c r="V292">
        <v>1</v>
      </c>
    </row>
    <row r="293" spans="2:22" x14ac:dyDescent="0.25">
      <c r="B293">
        <v>3</v>
      </c>
      <c r="C293">
        <f>IF(Adecco_India[[#This Row],[Attrition]]="Yes",1,0)</f>
        <v>0</v>
      </c>
      <c r="F293">
        <v>36</v>
      </c>
      <c r="G293">
        <v>2</v>
      </c>
      <c r="J293">
        <v>3</v>
      </c>
      <c r="K293">
        <v>3</v>
      </c>
      <c r="N293">
        <v>8</v>
      </c>
      <c r="O293">
        <v>2</v>
      </c>
      <c r="Q293">
        <v>7</v>
      </c>
      <c r="R293">
        <v>3</v>
      </c>
      <c r="S293">
        <v>1</v>
      </c>
      <c r="U293" t="s">
        <v>60</v>
      </c>
      <c r="V293">
        <v>1</v>
      </c>
    </row>
    <row r="294" spans="2:22" x14ac:dyDescent="0.25">
      <c r="B294">
        <v>5</v>
      </c>
      <c r="C294">
        <f>IF(Adecco_India[[#This Row],[Attrition]]="Yes",1,0)</f>
        <v>0</v>
      </c>
      <c r="F294">
        <v>31</v>
      </c>
      <c r="G294">
        <v>2</v>
      </c>
      <c r="J294">
        <v>2</v>
      </c>
      <c r="K294">
        <v>3</v>
      </c>
      <c r="N294">
        <v>2</v>
      </c>
      <c r="O294">
        <v>2</v>
      </c>
      <c r="Q294">
        <v>2</v>
      </c>
      <c r="R294">
        <v>3</v>
      </c>
      <c r="S294">
        <v>1</v>
      </c>
      <c r="U294" t="s">
        <v>59</v>
      </c>
      <c r="V294">
        <v>1</v>
      </c>
    </row>
    <row r="295" spans="2:22" x14ac:dyDescent="0.25">
      <c r="B295">
        <v>4</v>
      </c>
      <c r="C295">
        <f>IF(Adecco_India[[#This Row],[Attrition]]="Yes",1,0)</f>
        <v>1</v>
      </c>
      <c r="F295">
        <v>26</v>
      </c>
      <c r="G295">
        <v>4</v>
      </c>
      <c r="J295">
        <v>3</v>
      </c>
      <c r="K295">
        <v>3</v>
      </c>
      <c r="N295">
        <v>8</v>
      </c>
      <c r="O295">
        <v>4</v>
      </c>
      <c r="Q295">
        <v>7</v>
      </c>
      <c r="R295">
        <v>3</v>
      </c>
      <c r="S295">
        <v>1</v>
      </c>
      <c r="U295" t="s">
        <v>59</v>
      </c>
      <c r="V295">
        <v>1</v>
      </c>
    </row>
    <row r="296" spans="2:22" x14ac:dyDescent="0.25">
      <c r="B296">
        <v>9</v>
      </c>
      <c r="C296">
        <f>IF(Adecco_India[[#This Row],[Attrition]]="Yes",1,0)</f>
        <v>0</v>
      </c>
      <c r="F296">
        <v>37</v>
      </c>
      <c r="G296">
        <v>4</v>
      </c>
      <c r="J296">
        <v>2</v>
      </c>
      <c r="K296">
        <v>3</v>
      </c>
      <c r="N296">
        <v>4</v>
      </c>
      <c r="O296">
        <v>4</v>
      </c>
      <c r="Q296">
        <v>1</v>
      </c>
      <c r="R296">
        <v>3</v>
      </c>
      <c r="S296">
        <v>1</v>
      </c>
      <c r="U296" t="s">
        <v>51</v>
      </c>
      <c r="V296">
        <v>1</v>
      </c>
    </row>
    <row r="297" spans="2:22" x14ac:dyDescent="0.25">
      <c r="B297">
        <v>26</v>
      </c>
      <c r="C297">
        <f>IF(Adecco_India[[#This Row],[Attrition]]="Yes",1,0)</f>
        <v>0</v>
      </c>
      <c r="F297">
        <v>42</v>
      </c>
      <c r="G297">
        <v>2</v>
      </c>
      <c r="J297">
        <v>4</v>
      </c>
      <c r="K297">
        <v>3</v>
      </c>
      <c r="N297">
        <v>20</v>
      </c>
      <c r="O297">
        <v>2</v>
      </c>
      <c r="Q297">
        <v>4</v>
      </c>
      <c r="R297">
        <v>3</v>
      </c>
      <c r="S297">
        <v>1</v>
      </c>
      <c r="U297" t="s">
        <v>59</v>
      </c>
      <c r="V297">
        <v>1</v>
      </c>
    </row>
    <row r="298" spans="2:22" x14ac:dyDescent="0.25">
      <c r="B298">
        <v>3</v>
      </c>
      <c r="C298">
        <f>IF(Adecco_India[[#This Row],[Attrition]]="Yes",1,0)</f>
        <v>1</v>
      </c>
      <c r="F298">
        <v>18</v>
      </c>
      <c r="G298">
        <v>3</v>
      </c>
      <c r="J298">
        <v>3</v>
      </c>
      <c r="K298">
        <v>3</v>
      </c>
      <c r="N298">
        <v>0</v>
      </c>
      <c r="O298">
        <v>3</v>
      </c>
      <c r="Q298">
        <v>0</v>
      </c>
      <c r="R298">
        <v>3</v>
      </c>
      <c r="S298">
        <v>1</v>
      </c>
      <c r="U298" t="s">
        <v>38</v>
      </c>
      <c r="V298">
        <v>1</v>
      </c>
    </row>
    <row r="299" spans="2:22" x14ac:dyDescent="0.25">
      <c r="B299">
        <v>16</v>
      </c>
      <c r="C299">
        <f>IF(Adecco_India[[#This Row],[Attrition]]="Yes",1,0)</f>
        <v>0</v>
      </c>
      <c r="F299">
        <v>35</v>
      </c>
      <c r="G299">
        <v>2</v>
      </c>
      <c r="J299">
        <v>2</v>
      </c>
      <c r="K299">
        <v>3</v>
      </c>
      <c r="N299">
        <v>11</v>
      </c>
      <c r="O299">
        <v>2</v>
      </c>
      <c r="Q299">
        <v>6</v>
      </c>
      <c r="R299">
        <v>3</v>
      </c>
      <c r="S299">
        <v>1</v>
      </c>
      <c r="U299" t="s">
        <v>59</v>
      </c>
      <c r="V299">
        <v>1</v>
      </c>
    </row>
    <row r="300" spans="2:22" x14ac:dyDescent="0.25">
      <c r="B300">
        <v>18</v>
      </c>
      <c r="C300">
        <f>IF(Adecco_India[[#This Row],[Attrition]]="Yes",1,0)</f>
        <v>0</v>
      </c>
      <c r="F300">
        <v>36</v>
      </c>
      <c r="G300">
        <v>4</v>
      </c>
      <c r="J300">
        <v>3</v>
      </c>
      <c r="K300">
        <v>3</v>
      </c>
      <c r="N300">
        <v>1</v>
      </c>
      <c r="O300">
        <v>4</v>
      </c>
      <c r="Q300">
        <v>0</v>
      </c>
      <c r="R300">
        <v>3</v>
      </c>
      <c r="S300">
        <v>1</v>
      </c>
      <c r="U300" t="s">
        <v>38</v>
      </c>
      <c r="V300">
        <v>1</v>
      </c>
    </row>
    <row r="301" spans="2:22" x14ac:dyDescent="0.25">
      <c r="B301">
        <v>2</v>
      </c>
      <c r="C301">
        <f>IF(Adecco_India[[#This Row],[Attrition]]="Yes",1,0)</f>
        <v>0</v>
      </c>
      <c r="F301">
        <v>51</v>
      </c>
      <c r="G301">
        <v>2</v>
      </c>
      <c r="J301">
        <v>3</v>
      </c>
      <c r="K301">
        <v>3</v>
      </c>
      <c r="N301">
        <v>4</v>
      </c>
      <c r="O301">
        <v>2</v>
      </c>
      <c r="Q301">
        <v>1</v>
      </c>
      <c r="R301">
        <v>3</v>
      </c>
      <c r="S301">
        <v>1</v>
      </c>
      <c r="U301" t="s">
        <v>51</v>
      </c>
      <c r="V301">
        <v>1</v>
      </c>
    </row>
    <row r="302" spans="2:22" x14ac:dyDescent="0.25">
      <c r="B302">
        <v>2</v>
      </c>
      <c r="C302">
        <f>IF(Adecco_India[[#This Row],[Attrition]]="Yes",1,0)</f>
        <v>0</v>
      </c>
      <c r="F302">
        <v>41</v>
      </c>
      <c r="G302">
        <v>2</v>
      </c>
      <c r="J302">
        <v>3</v>
      </c>
      <c r="K302">
        <v>3</v>
      </c>
      <c r="N302">
        <v>22</v>
      </c>
      <c r="O302">
        <v>2</v>
      </c>
      <c r="Q302">
        <v>0</v>
      </c>
      <c r="R302">
        <v>3</v>
      </c>
      <c r="S302">
        <v>1</v>
      </c>
      <c r="U302" t="s">
        <v>38</v>
      </c>
      <c r="V302">
        <v>1</v>
      </c>
    </row>
    <row r="303" spans="2:22" x14ac:dyDescent="0.25">
      <c r="B303">
        <v>10</v>
      </c>
      <c r="C303">
        <f>IF(Adecco_India[[#This Row],[Attrition]]="Yes",1,0)</f>
        <v>0</v>
      </c>
      <c r="F303">
        <v>18</v>
      </c>
      <c r="G303">
        <v>3</v>
      </c>
      <c r="J303">
        <v>3</v>
      </c>
      <c r="K303">
        <v>3</v>
      </c>
      <c r="N303">
        <v>0</v>
      </c>
      <c r="O303">
        <v>3</v>
      </c>
      <c r="Q303">
        <v>0</v>
      </c>
      <c r="R303">
        <v>3</v>
      </c>
      <c r="S303">
        <v>1</v>
      </c>
      <c r="U303" t="s">
        <v>51</v>
      </c>
      <c r="V303">
        <v>1</v>
      </c>
    </row>
    <row r="304" spans="2:22" x14ac:dyDescent="0.25">
      <c r="B304">
        <v>16</v>
      </c>
      <c r="C304">
        <f>IF(Adecco_India[[#This Row],[Attrition]]="Yes",1,0)</f>
        <v>0</v>
      </c>
      <c r="F304">
        <v>28</v>
      </c>
      <c r="G304">
        <v>1</v>
      </c>
      <c r="J304">
        <v>3</v>
      </c>
      <c r="K304">
        <v>3</v>
      </c>
      <c r="N304">
        <v>8</v>
      </c>
      <c r="O304">
        <v>1</v>
      </c>
      <c r="Q304">
        <v>0</v>
      </c>
      <c r="R304">
        <v>3</v>
      </c>
      <c r="S304">
        <v>1</v>
      </c>
      <c r="U304" t="s">
        <v>51</v>
      </c>
      <c r="V304">
        <v>1</v>
      </c>
    </row>
    <row r="305" spans="2:22" x14ac:dyDescent="0.25">
      <c r="B305">
        <v>7</v>
      </c>
      <c r="C305">
        <f>IF(Adecco_India[[#This Row],[Attrition]]="Yes",1,0)</f>
        <v>0</v>
      </c>
      <c r="F305">
        <v>31</v>
      </c>
      <c r="G305">
        <v>4</v>
      </c>
      <c r="J305">
        <v>2</v>
      </c>
      <c r="K305">
        <v>3</v>
      </c>
      <c r="N305">
        <v>8</v>
      </c>
      <c r="O305">
        <v>4</v>
      </c>
      <c r="Q305">
        <v>7</v>
      </c>
      <c r="R305">
        <v>3</v>
      </c>
      <c r="S305">
        <v>1</v>
      </c>
      <c r="U305" t="s">
        <v>60</v>
      </c>
      <c r="V305">
        <v>1</v>
      </c>
    </row>
    <row r="306" spans="2:22" x14ac:dyDescent="0.25">
      <c r="B306">
        <v>1</v>
      </c>
      <c r="C306">
        <f>IF(Adecco_India[[#This Row],[Attrition]]="Yes",1,0)</f>
        <v>0</v>
      </c>
      <c r="F306">
        <v>39</v>
      </c>
      <c r="G306">
        <v>4</v>
      </c>
      <c r="J306">
        <v>2</v>
      </c>
      <c r="K306">
        <v>3</v>
      </c>
      <c r="N306">
        <v>18</v>
      </c>
      <c r="O306">
        <v>4</v>
      </c>
      <c r="Q306">
        <v>3</v>
      </c>
      <c r="R306">
        <v>3</v>
      </c>
      <c r="S306">
        <v>1</v>
      </c>
      <c r="U306" t="s">
        <v>51</v>
      </c>
      <c r="V306">
        <v>1</v>
      </c>
    </row>
    <row r="307" spans="2:22" x14ac:dyDescent="0.25">
      <c r="B307">
        <v>24</v>
      </c>
      <c r="C307">
        <f>IF(Adecco_India[[#This Row],[Attrition]]="Yes",1,0)</f>
        <v>0</v>
      </c>
      <c r="F307">
        <v>36</v>
      </c>
      <c r="G307">
        <v>2</v>
      </c>
      <c r="J307">
        <v>3</v>
      </c>
      <c r="K307">
        <v>3</v>
      </c>
      <c r="N307">
        <v>9</v>
      </c>
      <c r="O307">
        <v>2</v>
      </c>
      <c r="Q307">
        <v>0</v>
      </c>
      <c r="R307">
        <v>3</v>
      </c>
      <c r="S307">
        <v>1</v>
      </c>
      <c r="U307" t="s">
        <v>38</v>
      </c>
      <c r="V307">
        <v>1</v>
      </c>
    </row>
    <row r="308" spans="2:22" x14ac:dyDescent="0.25">
      <c r="B308">
        <v>7</v>
      </c>
      <c r="C308">
        <f>IF(Adecco_India[[#This Row],[Attrition]]="Yes",1,0)</f>
        <v>0</v>
      </c>
      <c r="F308">
        <v>32</v>
      </c>
      <c r="G308">
        <v>3</v>
      </c>
      <c r="J308">
        <v>2</v>
      </c>
      <c r="K308">
        <v>3</v>
      </c>
      <c r="N308">
        <v>13</v>
      </c>
      <c r="O308">
        <v>3</v>
      </c>
      <c r="Q308">
        <v>4</v>
      </c>
      <c r="R308">
        <v>3</v>
      </c>
      <c r="S308">
        <v>1</v>
      </c>
      <c r="U308" t="s">
        <v>38</v>
      </c>
      <c r="V308">
        <v>1</v>
      </c>
    </row>
    <row r="309" spans="2:22" x14ac:dyDescent="0.25">
      <c r="B309">
        <v>25</v>
      </c>
      <c r="C309">
        <f>IF(Adecco_India[[#This Row],[Attrition]]="Yes",1,0)</f>
        <v>0</v>
      </c>
      <c r="F309">
        <v>38</v>
      </c>
      <c r="G309">
        <v>2</v>
      </c>
      <c r="J309">
        <v>3</v>
      </c>
      <c r="K309">
        <v>3</v>
      </c>
      <c r="N309">
        <v>10</v>
      </c>
      <c r="O309">
        <v>2</v>
      </c>
      <c r="Q309">
        <v>0</v>
      </c>
      <c r="R309">
        <v>3</v>
      </c>
      <c r="S309">
        <v>1</v>
      </c>
      <c r="U309" t="s">
        <v>38</v>
      </c>
      <c r="V309">
        <v>1</v>
      </c>
    </row>
    <row r="310" spans="2:22" x14ac:dyDescent="0.25">
      <c r="B310">
        <v>1</v>
      </c>
      <c r="C310">
        <f>IF(Adecco_India[[#This Row],[Attrition]]="Yes",1,0)</f>
        <v>0</v>
      </c>
      <c r="F310">
        <v>58</v>
      </c>
      <c r="G310">
        <v>3</v>
      </c>
      <c r="J310">
        <v>3</v>
      </c>
      <c r="K310">
        <v>3</v>
      </c>
      <c r="N310">
        <v>5</v>
      </c>
      <c r="O310">
        <v>3</v>
      </c>
      <c r="Q310">
        <v>1</v>
      </c>
      <c r="R310">
        <v>3</v>
      </c>
      <c r="S310">
        <v>1</v>
      </c>
      <c r="U310" t="s">
        <v>38</v>
      </c>
      <c r="V310">
        <v>1</v>
      </c>
    </row>
    <row r="311" spans="2:22" x14ac:dyDescent="0.25">
      <c r="B311">
        <v>5</v>
      </c>
      <c r="C311">
        <f>IF(Adecco_India[[#This Row],[Attrition]]="Yes",1,0)</f>
        <v>0</v>
      </c>
      <c r="F311">
        <v>31</v>
      </c>
      <c r="G311">
        <v>4</v>
      </c>
      <c r="J311">
        <v>3</v>
      </c>
      <c r="K311">
        <v>3</v>
      </c>
      <c r="N311">
        <v>5</v>
      </c>
      <c r="O311">
        <v>4</v>
      </c>
      <c r="Q311">
        <v>0</v>
      </c>
      <c r="R311">
        <v>3</v>
      </c>
      <c r="S311">
        <v>1</v>
      </c>
      <c r="U311" t="s">
        <v>60</v>
      </c>
      <c r="V311">
        <v>1</v>
      </c>
    </row>
    <row r="312" spans="2:22" x14ac:dyDescent="0.25">
      <c r="B312">
        <v>2</v>
      </c>
      <c r="C312">
        <f>IF(Adecco_India[[#This Row],[Attrition]]="Yes",1,0)</f>
        <v>0</v>
      </c>
      <c r="F312">
        <v>31</v>
      </c>
      <c r="G312">
        <v>1</v>
      </c>
      <c r="J312">
        <v>3</v>
      </c>
      <c r="K312">
        <v>3</v>
      </c>
      <c r="N312">
        <v>2</v>
      </c>
      <c r="O312">
        <v>1</v>
      </c>
      <c r="Q312">
        <v>1</v>
      </c>
      <c r="R312">
        <v>3</v>
      </c>
      <c r="S312">
        <v>1</v>
      </c>
      <c r="U312" t="s">
        <v>61</v>
      </c>
      <c r="V312">
        <v>1</v>
      </c>
    </row>
    <row r="313" spans="2:22" x14ac:dyDescent="0.25">
      <c r="B313">
        <v>7</v>
      </c>
      <c r="C313">
        <f>IF(Adecco_India[[#This Row],[Attrition]]="Yes",1,0)</f>
        <v>0</v>
      </c>
      <c r="F313">
        <v>45</v>
      </c>
      <c r="G313">
        <v>1</v>
      </c>
      <c r="J313">
        <v>3</v>
      </c>
      <c r="K313">
        <v>3</v>
      </c>
      <c r="N313">
        <v>24</v>
      </c>
      <c r="O313">
        <v>1</v>
      </c>
      <c r="Q313">
        <v>9</v>
      </c>
      <c r="R313">
        <v>3</v>
      </c>
      <c r="S313">
        <v>1</v>
      </c>
      <c r="U313" t="s">
        <v>38</v>
      </c>
      <c r="V313">
        <v>1</v>
      </c>
    </row>
    <row r="314" spans="2:22" x14ac:dyDescent="0.25">
      <c r="B314">
        <v>2</v>
      </c>
      <c r="C314">
        <f>IF(Adecco_India[[#This Row],[Attrition]]="Yes",1,0)</f>
        <v>0</v>
      </c>
      <c r="F314">
        <v>31</v>
      </c>
      <c r="G314">
        <v>4</v>
      </c>
      <c r="J314">
        <v>1</v>
      </c>
      <c r="K314">
        <v>3</v>
      </c>
      <c r="N314">
        <v>2</v>
      </c>
      <c r="O314">
        <v>4</v>
      </c>
      <c r="Q314">
        <v>2</v>
      </c>
      <c r="R314">
        <v>3</v>
      </c>
      <c r="S314">
        <v>1</v>
      </c>
      <c r="U314" t="s">
        <v>38</v>
      </c>
      <c r="V314">
        <v>1</v>
      </c>
    </row>
    <row r="315" spans="2:22" x14ac:dyDescent="0.25">
      <c r="B315">
        <v>5</v>
      </c>
      <c r="C315">
        <f>IF(Adecco_India[[#This Row],[Attrition]]="Yes",1,0)</f>
        <v>0</v>
      </c>
      <c r="F315">
        <v>33</v>
      </c>
      <c r="G315">
        <v>2</v>
      </c>
      <c r="J315">
        <v>3</v>
      </c>
      <c r="K315">
        <v>3</v>
      </c>
      <c r="N315">
        <v>10</v>
      </c>
      <c r="O315">
        <v>2</v>
      </c>
      <c r="Q315">
        <v>8</v>
      </c>
      <c r="R315">
        <v>3</v>
      </c>
      <c r="S315">
        <v>1</v>
      </c>
      <c r="U315" t="s">
        <v>38</v>
      </c>
      <c r="V315">
        <v>1</v>
      </c>
    </row>
    <row r="316" spans="2:22" x14ac:dyDescent="0.25">
      <c r="B316">
        <v>10</v>
      </c>
      <c r="C316">
        <f>IF(Adecco_India[[#This Row],[Attrition]]="Yes",1,0)</f>
        <v>0</v>
      </c>
      <c r="F316">
        <v>39</v>
      </c>
      <c r="G316">
        <v>1</v>
      </c>
      <c r="J316">
        <v>3</v>
      </c>
      <c r="K316">
        <v>3</v>
      </c>
      <c r="N316">
        <v>21</v>
      </c>
      <c r="O316">
        <v>1</v>
      </c>
      <c r="Q316">
        <v>11</v>
      </c>
      <c r="R316">
        <v>3</v>
      </c>
      <c r="S316">
        <v>1</v>
      </c>
      <c r="U316" t="s">
        <v>51</v>
      </c>
      <c r="V316">
        <v>1</v>
      </c>
    </row>
    <row r="317" spans="2:22" x14ac:dyDescent="0.25">
      <c r="B317">
        <v>10</v>
      </c>
      <c r="C317">
        <f>IF(Adecco_India[[#This Row],[Attrition]]="Yes",1,0)</f>
        <v>0</v>
      </c>
      <c r="F317">
        <v>43</v>
      </c>
      <c r="G317">
        <v>4</v>
      </c>
      <c r="J317">
        <v>3</v>
      </c>
      <c r="K317">
        <v>3</v>
      </c>
      <c r="N317">
        <v>8</v>
      </c>
      <c r="O317">
        <v>4</v>
      </c>
      <c r="Q317">
        <v>1</v>
      </c>
      <c r="R317">
        <v>3</v>
      </c>
      <c r="S317">
        <v>1</v>
      </c>
      <c r="U317" t="s">
        <v>38</v>
      </c>
      <c r="V317">
        <v>1</v>
      </c>
    </row>
    <row r="318" spans="2:22" x14ac:dyDescent="0.25">
      <c r="B318">
        <v>1</v>
      </c>
      <c r="C318">
        <f>IF(Adecco_India[[#This Row],[Attrition]]="Yes",1,0)</f>
        <v>0</v>
      </c>
      <c r="F318">
        <v>49</v>
      </c>
      <c r="G318">
        <v>3</v>
      </c>
      <c r="J318">
        <v>3</v>
      </c>
      <c r="K318">
        <v>3</v>
      </c>
      <c r="N318">
        <v>7</v>
      </c>
      <c r="O318">
        <v>3</v>
      </c>
      <c r="Q318">
        <v>0</v>
      </c>
      <c r="R318">
        <v>3</v>
      </c>
      <c r="S318">
        <v>1</v>
      </c>
      <c r="U318" t="s">
        <v>60</v>
      </c>
      <c r="V318">
        <v>1</v>
      </c>
    </row>
    <row r="319" spans="2:22" x14ac:dyDescent="0.25">
      <c r="B319">
        <v>8</v>
      </c>
      <c r="C319">
        <f>IF(Adecco_India[[#This Row],[Attrition]]="Yes",1,0)</f>
        <v>1</v>
      </c>
      <c r="F319">
        <v>52</v>
      </c>
      <c r="G319">
        <v>2</v>
      </c>
      <c r="J319">
        <v>2</v>
      </c>
      <c r="K319">
        <v>3</v>
      </c>
      <c r="N319">
        <v>8</v>
      </c>
      <c r="O319">
        <v>2</v>
      </c>
      <c r="Q319">
        <v>7</v>
      </c>
      <c r="R319">
        <v>3</v>
      </c>
      <c r="S319">
        <v>1</v>
      </c>
      <c r="U319" t="s">
        <v>51</v>
      </c>
      <c r="V319">
        <v>1</v>
      </c>
    </row>
    <row r="320" spans="2:22" x14ac:dyDescent="0.25">
      <c r="B320">
        <v>5</v>
      </c>
      <c r="C320">
        <f>IF(Adecco_India[[#This Row],[Attrition]]="Yes",1,0)</f>
        <v>0</v>
      </c>
      <c r="F320">
        <v>27</v>
      </c>
      <c r="G320">
        <v>2</v>
      </c>
      <c r="J320">
        <v>2</v>
      </c>
      <c r="K320">
        <v>3</v>
      </c>
      <c r="N320">
        <v>4</v>
      </c>
      <c r="O320">
        <v>2</v>
      </c>
      <c r="Q320">
        <v>1</v>
      </c>
      <c r="R320">
        <v>3</v>
      </c>
      <c r="S320">
        <v>1</v>
      </c>
      <c r="U320" t="s">
        <v>38</v>
      </c>
      <c r="V320">
        <v>1</v>
      </c>
    </row>
    <row r="321" spans="2:22" x14ac:dyDescent="0.25">
      <c r="B321">
        <v>8</v>
      </c>
      <c r="C321">
        <f>IF(Adecco_India[[#This Row],[Attrition]]="Yes",1,0)</f>
        <v>0</v>
      </c>
      <c r="F321">
        <v>32</v>
      </c>
      <c r="G321">
        <v>2</v>
      </c>
      <c r="J321">
        <v>3</v>
      </c>
      <c r="K321">
        <v>3</v>
      </c>
      <c r="N321">
        <v>13</v>
      </c>
      <c r="O321">
        <v>2</v>
      </c>
      <c r="Q321">
        <v>11</v>
      </c>
      <c r="R321">
        <v>3</v>
      </c>
      <c r="S321">
        <v>1</v>
      </c>
      <c r="U321" t="s">
        <v>60</v>
      </c>
      <c r="V321">
        <v>1</v>
      </c>
    </row>
    <row r="322" spans="2:22" x14ac:dyDescent="0.25">
      <c r="B322">
        <v>2</v>
      </c>
      <c r="C322">
        <f>IF(Adecco_India[[#This Row],[Attrition]]="Yes",1,0)</f>
        <v>0</v>
      </c>
      <c r="F322">
        <v>27</v>
      </c>
      <c r="G322">
        <v>3</v>
      </c>
      <c r="J322">
        <v>3</v>
      </c>
      <c r="K322">
        <v>3</v>
      </c>
      <c r="N322">
        <v>5</v>
      </c>
      <c r="O322">
        <v>3</v>
      </c>
      <c r="Q322">
        <v>0</v>
      </c>
      <c r="R322">
        <v>3</v>
      </c>
      <c r="S322">
        <v>1</v>
      </c>
      <c r="U322" t="s">
        <v>38</v>
      </c>
      <c r="V322">
        <v>1</v>
      </c>
    </row>
    <row r="323" spans="2:22" x14ac:dyDescent="0.25">
      <c r="B323">
        <v>7</v>
      </c>
      <c r="C323">
        <f>IF(Adecco_India[[#This Row],[Attrition]]="Yes",1,0)</f>
        <v>0</v>
      </c>
      <c r="F323">
        <v>31</v>
      </c>
      <c r="G323">
        <v>4</v>
      </c>
      <c r="J323">
        <v>3</v>
      </c>
      <c r="K323">
        <v>3</v>
      </c>
      <c r="N323">
        <v>7</v>
      </c>
      <c r="O323">
        <v>4</v>
      </c>
      <c r="Q323">
        <v>1</v>
      </c>
      <c r="R323">
        <v>3</v>
      </c>
      <c r="S323">
        <v>1</v>
      </c>
      <c r="U323" t="s">
        <v>59</v>
      </c>
      <c r="V323">
        <v>1</v>
      </c>
    </row>
    <row r="324" spans="2:22" x14ac:dyDescent="0.25">
      <c r="B324">
        <v>2</v>
      </c>
      <c r="C324">
        <f>IF(Adecco_India[[#This Row],[Attrition]]="Yes",1,0)</f>
        <v>0</v>
      </c>
      <c r="F324">
        <v>32</v>
      </c>
      <c r="G324">
        <v>4</v>
      </c>
      <c r="J324">
        <v>2</v>
      </c>
      <c r="K324">
        <v>3</v>
      </c>
      <c r="N324">
        <v>7</v>
      </c>
      <c r="O324">
        <v>4</v>
      </c>
      <c r="Q324">
        <v>0</v>
      </c>
      <c r="R324">
        <v>3</v>
      </c>
      <c r="S324">
        <v>1</v>
      </c>
      <c r="U324" t="s">
        <v>51</v>
      </c>
      <c r="V324">
        <v>1</v>
      </c>
    </row>
    <row r="325" spans="2:22" x14ac:dyDescent="0.25">
      <c r="B325">
        <v>2</v>
      </c>
      <c r="C325">
        <f>IF(Adecco_India[[#This Row],[Attrition]]="Yes",1,0)</f>
        <v>1</v>
      </c>
      <c r="F325">
        <v>28</v>
      </c>
      <c r="G325">
        <v>4</v>
      </c>
      <c r="J325">
        <v>2</v>
      </c>
      <c r="K325">
        <v>3</v>
      </c>
      <c r="N325">
        <v>3</v>
      </c>
      <c r="O325">
        <v>4</v>
      </c>
      <c r="Q325">
        <v>2</v>
      </c>
      <c r="R325">
        <v>3</v>
      </c>
      <c r="S325">
        <v>1</v>
      </c>
      <c r="U325" t="s">
        <v>51</v>
      </c>
      <c r="V325">
        <v>1</v>
      </c>
    </row>
    <row r="326" spans="2:22" x14ac:dyDescent="0.25">
      <c r="B326">
        <v>28</v>
      </c>
      <c r="C326">
        <f>IF(Adecco_India[[#This Row],[Attrition]]="Yes",1,0)</f>
        <v>0</v>
      </c>
      <c r="F326">
        <v>30</v>
      </c>
      <c r="G326">
        <v>4</v>
      </c>
      <c r="J326">
        <v>3</v>
      </c>
      <c r="K326">
        <v>3</v>
      </c>
      <c r="N326">
        <v>10</v>
      </c>
      <c r="O326">
        <v>4</v>
      </c>
      <c r="Q326">
        <v>1</v>
      </c>
      <c r="R326">
        <v>3</v>
      </c>
      <c r="S326">
        <v>1</v>
      </c>
      <c r="U326" t="s">
        <v>51</v>
      </c>
      <c r="V326">
        <v>1</v>
      </c>
    </row>
    <row r="327" spans="2:22" x14ac:dyDescent="0.25">
      <c r="B327">
        <v>7</v>
      </c>
      <c r="C327">
        <f>IF(Adecco_India[[#This Row],[Attrition]]="Yes",1,0)</f>
        <v>0</v>
      </c>
      <c r="F327">
        <v>31</v>
      </c>
      <c r="G327">
        <v>3</v>
      </c>
      <c r="J327">
        <v>3</v>
      </c>
      <c r="K327">
        <v>4</v>
      </c>
      <c r="N327">
        <v>10</v>
      </c>
      <c r="O327">
        <v>3</v>
      </c>
      <c r="Q327">
        <v>8</v>
      </c>
      <c r="R327">
        <v>4</v>
      </c>
      <c r="S327">
        <v>1</v>
      </c>
      <c r="U327" t="s">
        <v>38</v>
      </c>
      <c r="V327">
        <v>1</v>
      </c>
    </row>
    <row r="328" spans="2:22" x14ac:dyDescent="0.25">
      <c r="B328">
        <v>7</v>
      </c>
      <c r="C328">
        <f>IF(Adecco_India[[#This Row],[Attrition]]="Yes",1,0)</f>
        <v>0</v>
      </c>
      <c r="F328">
        <v>39</v>
      </c>
      <c r="G328">
        <v>4</v>
      </c>
      <c r="J328">
        <v>3</v>
      </c>
      <c r="K328">
        <v>3</v>
      </c>
      <c r="N328">
        <v>21</v>
      </c>
      <c r="O328">
        <v>4</v>
      </c>
      <c r="Q328">
        <v>13</v>
      </c>
      <c r="R328">
        <v>3</v>
      </c>
      <c r="S328">
        <v>1</v>
      </c>
      <c r="U328" t="s">
        <v>51</v>
      </c>
      <c r="V328">
        <v>1</v>
      </c>
    </row>
    <row r="329" spans="2:22" x14ac:dyDescent="0.25">
      <c r="B329">
        <v>3</v>
      </c>
      <c r="C329">
        <f>IF(Adecco_India[[#This Row],[Attrition]]="Yes",1,0)</f>
        <v>1</v>
      </c>
      <c r="F329">
        <v>39</v>
      </c>
      <c r="G329">
        <v>3</v>
      </c>
      <c r="J329">
        <v>2</v>
      </c>
      <c r="K329">
        <v>3</v>
      </c>
      <c r="N329">
        <v>1</v>
      </c>
      <c r="O329">
        <v>3</v>
      </c>
      <c r="Q329">
        <v>0</v>
      </c>
      <c r="R329">
        <v>3</v>
      </c>
      <c r="S329">
        <v>1</v>
      </c>
      <c r="U329" t="s">
        <v>51</v>
      </c>
      <c r="V329">
        <v>1</v>
      </c>
    </row>
    <row r="330" spans="2:22" x14ac:dyDescent="0.25">
      <c r="B330">
        <v>10</v>
      </c>
      <c r="C330">
        <f>IF(Adecco_India[[#This Row],[Attrition]]="Yes",1,0)</f>
        <v>0</v>
      </c>
      <c r="F330">
        <v>33</v>
      </c>
      <c r="G330">
        <v>4</v>
      </c>
      <c r="J330">
        <v>2</v>
      </c>
      <c r="K330">
        <v>3</v>
      </c>
      <c r="N330">
        <v>7</v>
      </c>
      <c r="O330">
        <v>4</v>
      </c>
      <c r="Q330">
        <v>0</v>
      </c>
      <c r="R330">
        <v>3</v>
      </c>
      <c r="S330">
        <v>1</v>
      </c>
      <c r="U330" t="s">
        <v>59</v>
      </c>
      <c r="V330">
        <v>1</v>
      </c>
    </row>
    <row r="331" spans="2:22" x14ac:dyDescent="0.25">
      <c r="B331">
        <v>5</v>
      </c>
      <c r="C331">
        <f>IF(Adecco_India[[#This Row],[Attrition]]="Yes",1,0)</f>
        <v>0</v>
      </c>
      <c r="F331">
        <v>47</v>
      </c>
      <c r="G331">
        <v>3</v>
      </c>
      <c r="J331">
        <v>3</v>
      </c>
      <c r="K331">
        <v>3</v>
      </c>
      <c r="N331">
        <v>3</v>
      </c>
      <c r="O331">
        <v>3</v>
      </c>
      <c r="Q331">
        <v>1</v>
      </c>
      <c r="R331">
        <v>3</v>
      </c>
      <c r="S331">
        <v>1</v>
      </c>
      <c r="U331" t="s">
        <v>38</v>
      </c>
      <c r="V331">
        <v>1</v>
      </c>
    </row>
    <row r="332" spans="2:22" x14ac:dyDescent="0.25">
      <c r="B332">
        <v>10</v>
      </c>
      <c r="C332">
        <f>IF(Adecco_India[[#This Row],[Attrition]]="Yes",1,0)</f>
        <v>0</v>
      </c>
      <c r="F332">
        <v>43</v>
      </c>
      <c r="G332">
        <v>3</v>
      </c>
      <c r="J332">
        <v>4</v>
      </c>
      <c r="K332">
        <v>3</v>
      </c>
      <c r="N332">
        <v>9</v>
      </c>
      <c r="O332">
        <v>3</v>
      </c>
      <c r="Q332">
        <v>0</v>
      </c>
      <c r="R332">
        <v>3</v>
      </c>
      <c r="S332">
        <v>1</v>
      </c>
      <c r="U332" t="s">
        <v>38</v>
      </c>
      <c r="V332">
        <v>1</v>
      </c>
    </row>
    <row r="333" spans="2:22" x14ac:dyDescent="0.25">
      <c r="B333">
        <v>1</v>
      </c>
      <c r="C333">
        <f>IF(Adecco_India[[#This Row],[Attrition]]="Yes",1,0)</f>
        <v>0</v>
      </c>
      <c r="F333">
        <v>27</v>
      </c>
      <c r="G333">
        <v>2</v>
      </c>
      <c r="J333">
        <v>3</v>
      </c>
      <c r="K333">
        <v>3</v>
      </c>
      <c r="N333">
        <v>5</v>
      </c>
      <c r="O333">
        <v>2</v>
      </c>
      <c r="Q333">
        <v>1</v>
      </c>
      <c r="R333">
        <v>3</v>
      </c>
      <c r="S333">
        <v>1</v>
      </c>
      <c r="U333" t="s">
        <v>59</v>
      </c>
      <c r="V333">
        <v>1</v>
      </c>
    </row>
    <row r="334" spans="2:22" x14ac:dyDescent="0.25">
      <c r="B334">
        <v>20</v>
      </c>
      <c r="C334">
        <f>IF(Adecco_India[[#This Row],[Attrition]]="Yes",1,0)</f>
        <v>0</v>
      </c>
      <c r="F334">
        <v>54</v>
      </c>
      <c r="G334">
        <v>3</v>
      </c>
      <c r="J334">
        <v>2</v>
      </c>
      <c r="K334">
        <v>3</v>
      </c>
      <c r="N334">
        <v>4</v>
      </c>
      <c r="O334">
        <v>3</v>
      </c>
      <c r="Q334">
        <v>0</v>
      </c>
      <c r="R334">
        <v>3</v>
      </c>
      <c r="S334">
        <v>1</v>
      </c>
      <c r="U334" t="s">
        <v>38</v>
      </c>
      <c r="V334">
        <v>1</v>
      </c>
    </row>
    <row r="335" spans="2:22" x14ac:dyDescent="0.25">
      <c r="B335">
        <v>7</v>
      </c>
      <c r="C335">
        <f>IF(Adecco_India[[#This Row],[Attrition]]="Yes",1,0)</f>
        <v>0</v>
      </c>
      <c r="F335">
        <v>43</v>
      </c>
      <c r="G335">
        <v>1</v>
      </c>
      <c r="J335">
        <v>2</v>
      </c>
      <c r="K335">
        <v>3</v>
      </c>
      <c r="N335">
        <v>1</v>
      </c>
      <c r="O335">
        <v>1</v>
      </c>
      <c r="Q335">
        <v>0</v>
      </c>
      <c r="R335">
        <v>3</v>
      </c>
      <c r="S335">
        <v>1</v>
      </c>
      <c r="U335" t="s">
        <v>38</v>
      </c>
      <c r="V335">
        <v>1</v>
      </c>
    </row>
    <row r="336" spans="2:22" x14ac:dyDescent="0.25">
      <c r="B336">
        <v>8</v>
      </c>
      <c r="C336">
        <f>IF(Adecco_India[[#This Row],[Attrition]]="Yes",1,0)</f>
        <v>0</v>
      </c>
      <c r="F336">
        <v>45</v>
      </c>
      <c r="G336">
        <v>4</v>
      </c>
      <c r="J336">
        <v>3</v>
      </c>
      <c r="K336">
        <v>3</v>
      </c>
      <c r="N336">
        <v>10</v>
      </c>
      <c r="O336">
        <v>4</v>
      </c>
      <c r="Q336">
        <v>9</v>
      </c>
      <c r="R336">
        <v>3</v>
      </c>
      <c r="S336">
        <v>1</v>
      </c>
      <c r="U336" t="s">
        <v>49</v>
      </c>
      <c r="V336">
        <v>1</v>
      </c>
    </row>
    <row r="337" spans="2:22" x14ac:dyDescent="0.25">
      <c r="B337">
        <v>1</v>
      </c>
      <c r="C337">
        <f>IF(Adecco_India[[#This Row],[Attrition]]="Yes",1,0)</f>
        <v>0</v>
      </c>
      <c r="F337">
        <v>40</v>
      </c>
      <c r="G337">
        <v>4</v>
      </c>
      <c r="J337">
        <v>2</v>
      </c>
      <c r="K337">
        <v>4</v>
      </c>
      <c r="N337">
        <v>4</v>
      </c>
      <c r="O337">
        <v>4</v>
      </c>
      <c r="Q337">
        <v>0</v>
      </c>
      <c r="R337">
        <v>4</v>
      </c>
      <c r="S337">
        <v>1</v>
      </c>
      <c r="U337" t="s">
        <v>51</v>
      </c>
      <c r="V337">
        <v>1</v>
      </c>
    </row>
    <row r="338" spans="2:22" x14ac:dyDescent="0.25">
      <c r="B338">
        <v>8</v>
      </c>
      <c r="C338">
        <f>IF(Adecco_India[[#This Row],[Attrition]]="Yes",1,0)</f>
        <v>1</v>
      </c>
      <c r="F338">
        <v>29</v>
      </c>
      <c r="G338">
        <v>1</v>
      </c>
      <c r="J338">
        <v>2</v>
      </c>
      <c r="K338">
        <v>3</v>
      </c>
      <c r="N338">
        <v>7</v>
      </c>
      <c r="O338">
        <v>1</v>
      </c>
      <c r="Q338">
        <v>0</v>
      </c>
      <c r="R338">
        <v>3</v>
      </c>
      <c r="S338">
        <v>1</v>
      </c>
      <c r="U338" t="s">
        <v>49</v>
      </c>
      <c r="V338">
        <v>1</v>
      </c>
    </row>
    <row r="339" spans="2:22" x14ac:dyDescent="0.25">
      <c r="B339">
        <v>9</v>
      </c>
      <c r="C339">
        <f>IF(Adecco_India[[#This Row],[Attrition]]="Yes",1,0)</f>
        <v>0</v>
      </c>
      <c r="F339">
        <v>29</v>
      </c>
      <c r="G339">
        <v>4</v>
      </c>
      <c r="J339">
        <v>3</v>
      </c>
      <c r="K339">
        <v>3</v>
      </c>
      <c r="N339">
        <v>3</v>
      </c>
      <c r="O339">
        <v>4</v>
      </c>
      <c r="Q339">
        <v>2</v>
      </c>
      <c r="R339">
        <v>3</v>
      </c>
      <c r="S339">
        <v>1</v>
      </c>
      <c r="U339" t="s">
        <v>49</v>
      </c>
      <c r="V339">
        <v>1</v>
      </c>
    </row>
    <row r="340" spans="2:22" x14ac:dyDescent="0.25">
      <c r="B340">
        <v>5</v>
      </c>
      <c r="C340">
        <f>IF(Adecco_India[[#This Row],[Attrition]]="Yes",1,0)</f>
        <v>0</v>
      </c>
      <c r="F340">
        <v>30</v>
      </c>
      <c r="G340">
        <v>3</v>
      </c>
      <c r="J340">
        <v>3</v>
      </c>
      <c r="K340">
        <v>3</v>
      </c>
      <c r="N340">
        <v>10</v>
      </c>
      <c r="O340">
        <v>3</v>
      </c>
      <c r="Q340">
        <v>1</v>
      </c>
      <c r="R340">
        <v>3</v>
      </c>
      <c r="S340">
        <v>1</v>
      </c>
      <c r="U340" t="s">
        <v>59</v>
      </c>
      <c r="V340">
        <v>1</v>
      </c>
    </row>
    <row r="341" spans="2:22" x14ac:dyDescent="0.25">
      <c r="B341">
        <v>8</v>
      </c>
      <c r="C341">
        <f>IF(Adecco_India[[#This Row],[Attrition]]="Yes",1,0)</f>
        <v>0</v>
      </c>
      <c r="F341">
        <v>27</v>
      </c>
      <c r="G341">
        <v>2</v>
      </c>
      <c r="J341">
        <v>3</v>
      </c>
      <c r="K341">
        <v>3</v>
      </c>
      <c r="N341">
        <v>8</v>
      </c>
      <c r="O341">
        <v>2</v>
      </c>
      <c r="Q341">
        <v>0</v>
      </c>
      <c r="R341">
        <v>3</v>
      </c>
      <c r="S341">
        <v>1</v>
      </c>
      <c r="U341" t="s">
        <v>59</v>
      </c>
      <c r="V341">
        <v>1</v>
      </c>
    </row>
    <row r="342" spans="2:22" x14ac:dyDescent="0.25">
      <c r="B342">
        <v>5</v>
      </c>
      <c r="C342">
        <f>IF(Adecco_India[[#This Row],[Attrition]]="Yes",1,0)</f>
        <v>0</v>
      </c>
      <c r="F342">
        <v>37</v>
      </c>
      <c r="G342">
        <v>4</v>
      </c>
      <c r="J342">
        <v>2</v>
      </c>
      <c r="K342">
        <v>3</v>
      </c>
      <c r="N342">
        <v>6</v>
      </c>
      <c r="O342">
        <v>4</v>
      </c>
      <c r="Q342">
        <v>0</v>
      </c>
      <c r="R342">
        <v>3</v>
      </c>
      <c r="S342">
        <v>1</v>
      </c>
      <c r="U342" t="s">
        <v>51</v>
      </c>
      <c r="V342">
        <v>1</v>
      </c>
    </row>
    <row r="343" spans="2:22" x14ac:dyDescent="0.25">
      <c r="B343">
        <v>15</v>
      </c>
      <c r="C343">
        <f>IF(Adecco_India[[#This Row],[Attrition]]="Yes",1,0)</f>
        <v>0</v>
      </c>
      <c r="F343">
        <v>38</v>
      </c>
      <c r="G343">
        <v>4</v>
      </c>
      <c r="J343">
        <v>3</v>
      </c>
      <c r="K343">
        <v>3</v>
      </c>
      <c r="N343">
        <v>11</v>
      </c>
      <c r="O343">
        <v>4</v>
      </c>
      <c r="Q343">
        <v>2</v>
      </c>
      <c r="R343">
        <v>3</v>
      </c>
      <c r="S343">
        <v>1</v>
      </c>
      <c r="U343" t="s">
        <v>38</v>
      </c>
      <c r="V343">
        <v>1</v>
      </c>
    </row>
    <row r="344" spans="2:22" x14ac:dyDescent="0.25">
      <c r="B344">
        <v>7</v>
      </c>
      <c r="C344">
        <f>IF(Adecco_India[[#This Row],[Attrition]]="Yes",1,0)</f>
        <v>0</v>
      </c>
      <c r="F344">
        <v>31</v>
      </c>
      <c r="G344">
        <v>4</v>
      </c>
      <c r="J344">
        <v>2</v>
      </c>
      <c r="K344">
        <v>3</v>
      </c>
      <c r="N344">
        <v>11</v>
      </c>
      <c r="O344">
        <v>4</v>
      </c>
      <c r="Q344">
        <v>4</v>
      </c>
      <c r="R344">
        <v>3</v>
      </c>
      <c r="S344">
        <v>1</v>
      </c>
      <c r="U344" t="s">
        <v>51</v>
      </c>
      <c r="V344">
        <v>1</v>
      </c>
    </row>
    <row r="345" spans="2:22" x14ac:dyDescent="0.25">
      <c r="B345">
        <v>10</v>
      </c>
      <c r="C345">
        <f>IF(Adecco_India[[#This Row],[Attrition]]="Yes",1,0)</f>
        <v>0</v>
      </c>
      <c r="F345">
        <v>29</v>
      </c>
      <c r="G345">
        <v>2</v>
      </c>
      <c r="J345">
        <v>3</v>
      </c>
      <c r="K345">
        <v>3</v>
      </c>
      <c r="N345">
        <v>7</v>
      </c>
      <c r="O345">
        <v>2</v>
      </c>
      <c r="Q345">
        <v>1</v>
      </c>
      <c r="R345">
        <v>3</v>
      </c>
      <c r="S345">
        <v>1</v>
      </c>
      <c r="U345" t="s">
        <v>59</v>
      </c>
      <c r="V345">
        <v>1</v>
      </c>
    </row>
    <row r="346" spans="2:22" x14ac:dyDescent="0.25">
      <c r="B346">
        <v>5</v>
      </c>
      <c r="C346">
        <f>IF(Adecco_India[[#This Row],[Attrition]]="Yes",1,0)</f>
        <v>0</v>
      </c>
      <c r="F346">
        <v>35</v>
      </c>
      <c r="G346">
        <v>2</v>
      </c>
      <c r="J346">
        <v>3</v>
      </c>
      <c r="K346">
        <v>3</v>
      </c>
      <c r="N346">
        <v>16</v>
      </c>
      <c r="O346">
        <v>2</v>
      </c>
      <c r="Q346">
        <v>0</v>
      </c>
      <c r="R346">
        <v>3</v>
      </c>
      <c r="S346">
        <v>1</v>
      </c>
      <c r="U346" t="s">
        <v>60</v>
      </c>
      <c r="V346">
        <v>1</v>
      </c>
    </row>
    <row r="347" spans="2:22" x14ac:dyDescent="0.25">
      <c r="B347">
        <v>26</v>
      </c>
      <c r="C347">
        <f>IF(Adecco_India[[#This Row],[Attrition]]="Yes",1,0)</f>
        <v>0</v>
      </c>
      <c r="F347">
        <v>23</v>
      </c>
      <c r="G347">
        <v>4</v>
      </c>
      <c r="J347">
        <v>2</v>
      </c>
      <c r="K347">
        <v>3</v>
      </c>
      <c r="N347">
        <v>4</v>
      </c>
      <c r="O347">
        <v>4</v>
      </c>
      <c r="Q347">
        <v>0</v>
      </c>
      <c r="R347">
        <v>3</v>
      </c>
      <c r="S347">
        <v>1</v>
      </c>
      <c r="U347" t="s">
        <v>38</v>
      </c>
      <c r="V347">
        <v>1</v>
      </c>
    </row>
    <row r="348" spans="2:22" x14ac:dyDescent="0.25">
      <c r="B348">
        <v>6</v>
      </c>
      <c r="C348">
        <f>IF(Adecco_India[[#This Row],[Attrition]]="Yes",1,0)</f>
        <v>0</v>
      </c>
      <c r="F348">
        <v>41</v>
      </c>
      <c r="G348">
        <v>2</v>
      </c>
      <c r="J348">
        <v>3</v>
      </c>
      <c r="K348">
        <v>3</v>
      </c>
      <c r="N348">
        <v>5</v>
      </c>
      <c r="O348">
        <v>2</v>
      </c>
      <c r="Q348">
        <v>1</v>
      </c>
      <c r="R348">
        <v>3</v>
      </c>
      <c r="S348">
        <v>1</v>
      </c>
      <c r="U348" t="s">
        <v>51</v>
      </c>
      <c r="V348">
        <v>1</v>
      </c>
    </row>
    <row r="349" spans="2:22" x14ac:dyDescent="0.25">
      <c r="B349">
        <v>4</v>
      </c>
      <c r="C349">
        <f>IF(Adecco_India[[#This Row],[Attrition]]="Yes",1,0)</f>
        <v>0</v>
      </c>
      <c r="F349">
        <v>47</v>
      </c>
      <c r="G349">
        <v>3</v>
      </c>
      <c r="J349">
        <v>3</v>
      </c>
      <c r="K349">
        <v>3</v>
      </c>
      <c r="N349">
        <v>0</v>
      </c>
      <c r="O349">
        <v>3</v>
      </c>
      <c r="Q349">
        <v>0</v>
      </c>
      <c r="R349">
        <v>3</v>
      </c>
      <c r="S349">
        <v>1</v>
      </c>
      <c r="U349" t="s">
        <v>51</v>
      </c>
      <c r="V349">
        <v>1</v>
      </c>
    </row>
    <row r="350" spans="2:22" x14ac:dyDescent="0.25">
      <c r="B350">
        <v>23</v>
      </c>
      <c r="C350">
        <f>IF(Adecco_India[[#This Row],[Attrition]]="Yes",1,0)</f>
        <v>0</v>
      </c>
      <c r="F350">
        <v>42</v>
      </c>
      <c r="G350">
        <v>4</v>
      </c>
      <c r="J350">
        <v>3</v>
      </c>
      <c r="K350">
        <v>3</v>
      </c>
      <c r="N350">
        <v>1</v>
      </c>
      <c r="O350">
        <v>4</v>
      </c>
      <c r="Q350">
        <v>0</v>
      </c>
      <c r="R350">
        <v>3</v>
      </c>
      <c r="S350">
        <v>1</v>
      </c>
      <c r="U350" t="s">
        <v>38</v>
      </c>
      <c r="V350">
        <v>1</v>
      </c>
    </row>
    <row r="351" spans="2:22" x14ac:dyDescent="0.25">
      <c r="B351">
        <v>2</v>
      </c>
      <c r="C351">
        <f>IF(Adecco_India[[#This Row],[Attrition]]="Yes",1,0)</f>
        <v>0</v>
      </c>
      <c r="F351">
        <v>29</v>
      </c>
      <c r="G351">
        <v>3</v>
      </c>
      <c r="J351">
        <v>2</v>
      </c>
      <c r="K351">
        <v>3</v>
      </c>
      <c r="N351">
        <v>4</v>
      </c>
      <c r="O351">
        <v>3</v>
      </c>
      <c r="Q351">
        <v>0</v>
      </c>
      <c r="R351">
        <v>3</v>
      </c>
      <c r="S351">
        <v>1</v>
      </c>
      <c r="U351" t="s">
        <v>38</v>
      </c>
      <c r="V351">
        <v>1</v>
      </c>
    </row>
    <row r="352" spans="2:22" x14ac:dyDescent="0.25">
      <c r="B352">
        <v>2</v>
      </c>
      <c r="C352">
        <f>IF(Adecco_India[[#This Row],[Attrition]]="Yes",1,0)</f>
        <v>0</v>
      </c>
      <c r="F352">
        <v>42</v>
      </c>
      <c r="G352">
        <v>3</v>
      </c>
      <c r="J352">
        <v>3</v>
      </c>
      <c r="K352">
        <v>3</v>
      </c>
      <c r="N352">
        <v>3</v>
      </c>
      <c r="O352">
        <v>3</v>
      </c>
      <c r="Q352">
        <v>1</v>
      </c>
      <c r="R352">
        <v>3</v>
      </c>
      <c r="S352">
        <v>1</v>
      </c>
      <c r="U352" t="s">
        <v>60</v>
      </c>
      <c r="V352">
        <v>1</v>
      </c>
    </row>
    <row r="353" spans="2:22" x14ac:dyDescent="0.25">
      <c r="B353">
        <v>2</v>
      </c>
      <c r="C353">
        <f>IF(Adecco_India[[#This Row],[Attrition]]="Yes",1,0)</f>
        <v>0</v>
      </c>
      <c r="F353">
        <v>32</v>
      </c>
      <c r="G353">
        <v>2</v>
      </c>
      <c r="J353">
        <v>3</v>
      </c>
      <c r="K353">
        <v>3</v>
      </c>
      <c r="N353">
        <v>8</v>
      </c>
      <c r="O353">
        <v>2</v>
      </c>
      <c r="Q353">
        <v>0</v>
      </c>
      <c r="R353">
        <v>3</v>
      </c>
      <c r="S353">
        <v>1</v>
      </c>
      <c r="U353" t="s">
        <v>51</v>
      </c>
      <c r="V353">
        <v>1</v>
      </c>
    </row>
    <row r="354" spans="2:22" x14ac:dyDescent="0.25">
      <c r="B354">
        <v>29</v>
      </c>
      <c r="C354">
        <f>IF(Adecco_India[[#This Row],[Attrition]]="Yes",1,0)</f>
        <v>0</v>
      </c>
      <c r="F354">
        <v>48</v>
      </c>
      <c r="G354">
        <v>3</v>
      </c>
      <c r="J354">
        <v>1</v>
      </c>
      <c r="K354">
        <v>4</v>
      </c>
      <c r="N354">
        <v>0</v>
      </c>
      <c r="O354">
        <v>3</v>
      </c>
      <c r="Q354">
        <v>0</v>
      </c>
      <c r="R354">
        <v>4</v>
      </c>
      <c r="S354">
        <v>1</v>
      </c>
      <c r="U354" t="s">
        <v>51</v>
      </c>
      <c r="V354">
        <v>1</v>
      </c>
    </row>
    <row r="355" spans="2:22" x14ac:dyDescent="0.25">
      <c r="B355">
        <v>6</v>
      </c>
      <c r="C355">
        <f>IF(Adecco_India[[#This Row],[Attrition]]="Yes",1,0)</f>
        <v>0</v>
      </c>
      <c r="F355">
        <v>37</v>
      </c>
      <c r="G355">
        <v>1</v>
      </c>
      <c r="J355">
        <v>3</v>
      </c>
      <c r="K355">
        <v>3</v>
      </c>
      <c r="N355">
        <v>7</v>
      </c>
      <c r="O355">
        <v>1</v>
      </c>
      <c r="Q355">
        <v>6</v>
      </c>
      <c r="R355">
        <v>3</v>
      </c>
      <c r="S355">
        <v>1</v>
      </c>
      <c r="U355" t="s">
        <v>51</v>
      </c>
      <c r="V355">
        <v>1</v>
      </c>
    </row>
    <row r="356" spans="2:22" x14ac:dyDescent="0.25">
      <c r="B356">
        <v>25</v>
      </c>
      <c r="C356">
        <f>IF(Adecco_India[[#This Row],[Attrition]]="Yes",1,0)</f>
        <v>0</v>
      </c>
      <c r="F356">
        <v>30</v>
      </c>
      <c r="G356">
        <v>3</v>
      </c>
      <c r="J356">
        <v>4</v>
      </c>
      <c r="K356">
        <v>3</v>
      </c>
      <c r="N356">
        <v>2</v>
      </c>
      <c r="O356">
        <v>3</v>
      </c>
      <c r="Q356">
        <v>2</v>
      </c>
      <c r="R356">
        <v>3</v>
      </c>
      <c r="S356">
        <v>1</v>
      </c>
      <c r="U356" t="s">
        <v>60</v>
      </c>
      <c r="V356">
        <v>1</v>
      </c>
    </row>
    <row r="357" spans="2:22" x14ac:dyDescent="0.25">
      <c r="B357">
        <v>1</v>
      </c>
      <c r="C357">
        <f>IF(Adecco_India[[#This Row],[Attrition]]="Yes",1,0)</f>
        <v>0</v>
      </c>
      <c r="F357">
        <v>26</v>
      </c>
      <c r="G357">
        <v>3</v>
      </c>
      <c r="J357">
        <v>3</v>
      </c>
      <c r="K357">
        <v>3</v>
      </c>
      <c r="N357">
        <v>8</v>
      </c>
      <c r="O357">
        <v>3</v>
      </c>
      <c r="Q357">
        <v>7</v>
      </c>
      <c r="R357">
        <v>3</v>
      </c>
      <c r="S357">
        <v>1</v>
      </c>
      <c r="U357" t="s">
        <v>38</v>
      </c>
      <c r="V357">
        <v>1</v>
      </c>
    </row>
    <row r="358" spans="2:22" x14ac:dyDescent="0.25">
      <c r="B358">
        <v>2</v>
      </c>
      <c r="C358">
        <f>IF(Adecco_India[[#This Row],[Attrition]]="Yes",1,0)</f>
        <v>0</v>
      </c>
      <c r="F358">
        <v>42</v>
      </c>
      <c r="G358">
        <v>4</v>
      </c>
      <c r="J358">
        <v>3</v>
      </c>
      <c r="K358">
        <v>4</v>
      </c>
      <c r="N358">
        <v>1</v>
      </c>
      <c r="O358">
        <v>4</v>
      </c>
      <c r="Q358">
        <v>0</v>
      </c>
      <c r="R358">
        <v>4</v>
      </c>
      <c r="S358">
        <v>1</v>
      </c>
      <c r="U358" t="s">
        <v>49</v>
      </c>
      <c r="V358">
        <v>1</v>
      </c>
    </row>
    <row r="359" spans="2:22" x14ac:dyDescent="0.25">
      <c r="B359">
        <v>1</v>
      </c>
      <c r="C359">
        <f>IF(Adecco_India[[#This Row],[Attrition]]="Yes",1,0)</f>
        <v>1</v>
      </c>
      <c r="F359">
        <v>21</v>
      </c>
      <c r="G359">
        <v>2</v>
      </c>
      <c r="J359">
        <v>3</v>
      </c>
      <c r="K359">
        <v>3</v>
      </c>
      <c r="N359">
        <v>3</v>
      </c>
      <c r="O359">
        <v>2</v>
      </c>
      <c r="Q359">
        <v>1</v>
      </c>
      <c r="R359">
        <v>3</v>
      </c>
      <c r="S359">
        <v>1</v>
      </c>
      <c r="U359" t="s">
        <v>60</v>
      </c>
      <c r="V359">
        <v>1</v>
      </c>
    </row>
    <row r="360" spans="2:22" x14ac:dyDescent="0.25">
      <c r="B360">
        <v>1</v>
      </c>
      <c r="C360">
        <f>IF(Adecco_India[[#This Row],[Attrition]]="Yes",1,0)</f>
        <v>0</v>
      </c>
      <c r="F360">
        <v>36</v>
      </c>
      <c r="G360">
        <v>4</v>
      </c>
      <c r="J360">
        <v>3</v>
      </c>
      <c r="K360">
        <v>3</v>
      </c>
      <c r="N360">
        <v>1</v>
      </c>
      <c r="O360">
        <v>4</v>
      </c>
      <c r="Q360">
        <v>0</v>
      </c>
      <c r="R360">
        <v>3</v>
      </c>
      <c r="S360">
        <v>1</v>
      </c>
      <c r="U360" t="s">
        <v>51</v>
      </c>
      <c r="V360">
        <v>1</v>
      </c>
    </row>
    <row r="361" spans="2:22" x14ac:dyDescent="0.25">
      <c r="B361">
        <v>3</v>
      </c>
      <c r="C361">
        <f>IF(Adecco_India[[#This Row],[Attrition]]="Yes",1,0)</f>
        <v>0</v>
      </c>
      <c r="F361">
        <v>36</v>
      </c>
      <c r="G361">
        <v>4</v>
      </c>
      <c r="J361">
        <v>3</v>
      </c>
      <c r="K361">
        <v>3</v>
      </c>
      <c r="N361">
        <v>13</v>
      </c>
      <c r="O361">
        <v>4</v>
      </c>
      <c r="Q361">
        <v>1</v>
      </c>
      <c r="R361">
        <v>3</v>
      </c>
      <c r="S361">
        <v>1</v>
      </c>
      <c r="U361" t="s">
        <v>51</v>
      </c>
      <c r="V361">
        <v>1</v>
      </c>
    </row>
    <row r="362" spans="2:22" x14ac:dyDescent="0.25">
      <c r="B362">
        <v>1</v>
      </c>
      <c r="C362">
        <f>IF(Adecco_India[[#This Row],[Attrition]]="Yes",1,0)</f>
        <v>0</v>
      </c>
      <c r="F362">
        <v>57</v>
      </c>
      <c r="G362">
        <v>3</v>
      </c>
      <c r="J362">
        <v>3</v>
      </c>
      <c r="K362">
        <v>3</v>
      </c>
      <c r="N362">
        <v>3</v>
      </c>
      <c r="O362">
        <v>3</v>
      </c>
      <c r="Q362">
        <v>1</v>
      </c>
      <c r="R362">
        <v>3</v>
      </c>
      <c r="S362">
        <v>1</v>
      </c>
      <c r="U362" t="s">
        <v>51</v>
      </c>
      <c r="V362">
        <v>1</v>
      </c>
    </row>
    <row r="363" spans="2:22" x14ac:dyDescent="0.25">
      <c r="B363">
        <v>10</v>
      </c>
      <c r="C363">
        <f>IF(Adecco_India[[#This Row],[Attrition]]="Yes",1,0)</f>
        <v>0</v>
      </c>
      <c r="F363">
        <v>40</v>
      </c>
      <c r="G363">
        <v>3</v>
      </c>
      <c r="J363">
        <v>3</v>
      </c>
      <c r="K363">
        <v>3</v>
      </c>
      <c r="N363">
        <v>7</v>
      </c>
      <c r="O363">
        <v>3</v>
      </c>
      <c r="Q363">
        <v>1</v>
      </c>
      <c r="R363">
        <v>3</v>
      </c>
      <c r="S363">
        <v>1</v>
      </c>
      <c r="U363" t="s">
        <v>38</v>
      </c>
      <c r="V363">
        <v>1</v>
      </c>
    </row>
    <row r="364" spans="2:22" x14ac:dyDescent="0.25">
      <c r="B364">
        <v>9</v>
      </c>
      <c r="C364">
        <f>IF(Adecco_India[[#This Row],[Attrition]]="Yes",1,0)</f>
        <v>0</v>
      </c>
      <c r="F364">
        <v>21</v>
      </c>
      <c r="G364">
        <v>4</v>
      </c>
      <c r="J364">
        <v>2</v>
      </c>
      <c r="K364">
        <v>4</v>
      </c>
      <c r="N364">
        <v>3</v>
      </c>
      <c r="O364">
        <v>4</v>
      </c>
      <c r="Q364">
        <v>2</v>
      </c>
      <c r="R364">
        <v>4</v>
      </c>
      <c r="S364">
        <v>1</v>
      </c>
      <c r="U364" t="s">
        <v>51</v>
      </c>
      <c r="V364">
        <v>1</v>
      </c>
    </row>
    <row r="365" spans="2:22" x14ac:dyDescent="0.25">
      <c r="B365">
        <v>5</v>
      </c>
      <c r="C365">
        <f>IF(Adecco_India[[#This Row],[Attrition]]="Yes",1,0)</f>
        <v>1</v>
      </c>
      <c r="F365">
        <v>33</v>
      </c>
      <c r="G365">
        <v>3</v>
      </c>
      <c r="J365">
        <v>3</v>
      </c>
      <c r="K365">
        <v>3</v>
      </c>
      <c r="N365">
        <v>1</v>
      </c>
      <c r="O365">
        <v>3</v>
      </c>
      <c r="Q365">
        <v>0</v>
      </c>
      <c r="R365">
        <v>3</v>
      </c>
      <c r="S365">
        <v>1</v>
      </c>
      <c r="U365" t="s">
        <v>59</v>
      </c>
      <c r="V365">
        <v>1</v>
      </c>
    </row>
    <row r="366" spans="2:22" x14ac:dyDescent="0.25">
      <c r="B366">
        <v>10</v>
      </c>
      <c r="C366">
        <f>IF(Adecco_India[[#This Row],[Attrition]]="Yes",1,0)</f>
        <v>0</v>
      </c>
      <c r="F366">
        <v>37</v>
      </c>
      <c r="G366">
        <v>1</v>
      </c>
      <c r="J366">
        <v>3</v>
      </c>
      <c r="K366">
        <v>4</v>
      </c>
      <c r="N366">
        <v>5</v>
      </c>
      <c r="O366">
        <v>1</v>
      </c>
      <c r="Q366">
        <v>0</v>
      </c>
      <c r="R366">
        <v>4</v>
      </c>
      <c r="S366">
        <v>1</v>
      </c>
      <c r="U366" t="s">
        <v>51</v>
      </c>
      <c r="V366">
        <v>1</v>
      </c>
    </row>
    <row r="367" spans="2:22" x14ac:dyDescent="0.25">
      <c r="B367">
        <v>7</v>
      </c>
      <c r="C367">
        <f>IF(Adecco_India[[#This Row],[Attrition]]="Yes",1,0)</f>
        <v>0</v>
      </c>
      <c r="F367">
        <v>46</v>
      </c>
      <c r="G367">
        <v>3</v>
      </c>
      <c r="J367">
        <v>4</v>
      </c>
      <c r="K367">
        <v>3</v>
      </c>
      <c r="N367">
        <v>1</v>
      </c>
      <c r="O367">
        <v>3</v>
      </c>
      <c r="Q367">
        <v>0</v>
      </c>
      <c r="R367">
        <v>3</v>
      </c>
      <c r="S367">
        <v>1</v>
      </c>
      <c r="U367" t="s">
        <v>51</v>
      </c>
      <c r="V367">
        <v>1</v>
      </c>
    </row>
    <row r="368" spans="2:22" x14ac:dyDescent="0.25">
      <c r="B368">
        <v>4</v>
      </c>
      <c r="C368">
        <f>IF(Adecco_India[[#This Row],[Attrition]]="Yes",1,0)</f>
        <v>1</v>
      </c>
      <c r="F368">
        <v>41</v>
      </c>
      <c r="G368">
        <v>2</v>
      </c>
      <c r="J368">
        <v>3</v>
      </c>
      <c r="K368">
        <v>3</v>
      </c>
      <c r="N368">
        <v>8</v>
      </c>
      <c r="O368">
        <v>2</v>
      </c>
      <c r="Q368">
        <v>7</v>
      </c>
      <c r="R368">
        <v>3</v>
      </c>
      <c r="S368">
        <v>1</v>
      </c>
      <c r="U368" t="s">
        <v>59</v>
      </c>
      <c r="V368">
        <v>1</v>
      </c>
    </row>
    <row r="369" spans="2:22" x14ac:dyDescent="0.25">
      <c r="B369">
        <v>10</v>
      </c>
      <c r="C369">
        <f>IF(Adecco_India[[#This Row],[Attrition]]="Yes",1,0)</f>
        <v>0</v>
      </c>
      <c r="F369">
        <v>50</v>
      </c>
      <c r="G369">
        <v>4</v>
      </c>
      <c r="J369">
        <v>3</v>
      </c>
      <c r="K369">
        <v>3</v>
      </c>
      <c r="N369">
        <v>4</v>
      </c>
      <c r="O369">
        <v>4</v>
      </c>
      <c r="Q369">
        <v>1</v>
      </c>
      <c r="R369">
        <v>3</v>
      </c>
      <c r="S369">
        <v>1</v>
      </c>
      <c r="U369" t="s">
        <v>60</v>
      </c>
      <c r="V369">
        <v>1</v>
      </c>
    </row>
    <row r="370" spans="2:22" x14ac:dyDescent="0.25">
      <c r="B370">
        <v>22</v>
      </c>
      <c r="C370">
        <f>IF(Adecco_India[[#This Row],[Attrition]]="Yes",1,0)</f>
        <v>1</v>
      </c>
      <c r="F370">
        <v>40</v>
      </c>
      <c r="G370">
        <v>3</v>
      </c>
      <c r="J370">
        <v>3</v>
      </c>
      <c r="K370">
        <v>3</v>
      </c>
      <c r="N370">
        <v>6</v>
      </c>
      <c r="O370">
        <v>3</v>
      </c>
      <c r="Q370">
        <v>1</v>
      </c>
      <c r="R370">
        <v>3</v>
      </c>
      <c r="S370">
        <v>1</v>
      </c>
      <c r="U370" t="s">
        <v>59</v>
      </c>
      <c r="V370">
        <v>1</v>
      </c>
    </row>
    <row r="371" spans="2:22" x14ac:dyDescent="0.25">
      <c r="B371">
        <v>9</v>
      </c>
      <c r="C371">
        <f>IF(Adecco_India[[#This Row],[Attrition]]="Yes",1,0)</f>
        <v>0</v>
      </c>
      <c r="F371">
        <v>31</v>
      </c>
      <c r="G371">
        <v>2</v>
      </c>
      <c r="J371">
        <v>3</v>
      </c>
      <c r="K371">
        <v>3</v>
      </c>
      <c r="N371">
        <v>2</v>
      </c>
      <c r="O371">
        <v>2</v>
      </c>
      <c r="Q371">
        <v>2</v>
      </c>
      <c r="R371">
        <v>3</v>
      </c>
      <c r="S371">
        <v>1</v>
      </c>
      <c r="U371" t="s">
        <v>38</v>
      </c>
      <c r="V371">
        <v>1</v>
      </c>
    </row>
    <row r="372" spans="2:22" x14ac:dyDescent="0.25">
      <c r="B372">
        <v>12</v>
      </c>
      <c r="C372">
        <f>IF(Adecco_India[[#This Row],[Attrition]]="Yes",1,0)</f>
        <v>1</v>
      </c>
      <c r="F372">
        <v>21</v>
      </c>
      <c r="G372">
        <v>2</v>
      </c>
      <c r="J372">
        <v>3</v>
      </c>
      <c r="K372">
        <v>3</v>
      </c>
      <c r="N372">
        <v>1</v>
      </c>
      <c r="O372">
        <v>2</v>
      </c>
      <c r="Q372">
        <v>0</v>
      </c>
      <c r="R372">
        <v>3</v>
      </c>
      <c r="S372">
        <v>1</v>
      </c>
      <c r="U372" t="s">
        <v>38</v>
      </c>
      <c r="V372">
        <v>1</v>
      </c>
    </row>
    <row r="373" spans="2:22" x14ac:dyDescent="0.25">
      <c r="B373">
        <v>23</v>
      </c>
      <c r="C373">
        <f>IF(Adecco_India[[#This Row],[Attrition]]="Yes",1,0)</f>
        <v>0</v>
      </c>
      <c r="F373">
        <v>29</v>
      </c>
      <c r="G373">
        <v>4</v>
      </c>
      <c r="J373">
        <v>3</v>
      </c>
      <c r="K373">
        <v>3</v>
      </c>
      <c r="N373">
        <v>3</v>
      </c>
      <c r="O373">
        <v>4</v>
      </c>
      <c r="Q373">
        <v>1</v>
      </c>
      <c r="R373">
        <v>3</v>
      </c>
      <c r="S373">
        <v>1</v>
      </c>
      <c r="U373" t="s">
        <v>38</v>
      </c>
      <c r="V373">
        <v>1</v>
      </c>
    </row>
    <row r="374" spans="2:22" x14ac:dyDescent="0.25">
      <c r="B374">
        <v>9</v>
      </c>
      <c r="C374">
        <f>IF(Adecco_India[[#This Row],[Attrition]]="Yes",1,0)</f>
        <v>0</v>
      </c>
      <c r="F374">
        <v>35</v>
      </c>
      <c r="G374">
        <v>2</v>
      </c>
      <c r="J374">
        <v>3</v>
      </c>
      <c r="K374">
        <v>3</v>
      </c>
      <c r="N374">
        <v>1</v>
      </c>
      <c r="O374">
        <v>2</v>
      </c>
      <c r="Q374">
        <v>0</v>
      </c>
      <c r="R374">
        <v>3</v>
      </c>
      <c r="S374">
        <v>1</v>
      </c>
      <c r="U374" t="s">
        <v>38</v>
      </c>
      <c r="V374">
        <v>1</v>
      </c>
    </row>
    <row r="375" spans="2:22" x14ac:dyDescent="0.25">
      <c r="B375">
        <v>1</v>
      </c>
      <c r="C375">
        <f>IF(Adecco_India[[#This Row],[Attrition]]="Yes",1,0)</f>
        <v>0</v>
      </c>
      <c r="F375">
        <v>27</v>
      </c>
      <c r="G375">
        <v>2</v>
      </c>
      <c r="J375">
        <v>3</v>
      </c>
      <c r="K375">
        <v>3</v>
      </c>
      <c r="N375">
        <v>5</v>
      </c>
      <c r="O375">
        <v>2</v>
      </c>
      <c r="Q375">
        <v>0</v>
      </c>
      <c r="R375">
        <v>3</v>
      </c>
      <c r="S375">
        <v>1</v>
      </c>
      <c r="U375" t="s">
        <v>51</v>
      </c>
      <c r="V375">
        <v>1</v>
      </c>
    </row>
    <row r="376" spans="2:22" x14ac:dyDescent="0.25">
      <c r="B376">
        <v>9</v>
      </c>
      <c r="C376">
        <f>IF(Adecco_India[[#This Row],[Attrition]]="Yes",1,0)</f>
        <v>0</v>
      </c>
      <c r="F376">
        <v>28</v>
      </c>
      <c r="G376">
        <v>4</v>
      </c>
      <c r="J376">
        <v>3</v>
      </c>
      <c r="K376">
        <v>3</v>
      </c>
      <c r="N376">
        <v>7</v>
      </c>
      <c r="O376">
        <v>4</v>
      </c>
      <c r="Q376">
        <v>0</v>
      </c>
      <c r="R376">
        <v>3</v>
      </c>
      <c r="S376">
        <v>1</v>
      </c>
      <c r="U376" t="s">
        <v>38</v>
      </c>
      <c r="V376">
        <v>1</v>
      </c>
    </row>
    <row r="377" spans="2:22" x14ac:dyDescent="0.25">
      <c r="B377">
        <v>7</v>
      </c>
      <c r="C377">
        <f>IF(Adecco_India[[#This Row],[Attrition]]="Yes",1,0)</f>
        <v>0</v>
      </c>
      <c r="F377">
        <v>49</v>
      </c>
      <c r="G377">
        <v>3</v>
      </c>
      <c r="J377">
        <v>3</v>
      </c>
      <c r="K377">
        <v>4</v>
      </c>
      <c r="N377">
        <v>5</v>
      </c>
      <c r="O377">
        <v>3</v>
      </c>
      <c r="Q377">
        <v>0</v>
      </c>
      <c r="R377">
        <v>4</v>
      </c>
      <c r="S377">
        <v>1</v>
      </c>
      <c r="U377" t="s">
        <v>49</v>
      </c>
      <c r="V377">
        <v>1</v>
      </c>
    </row>
    <row r="378" spans="2:22" x14ac:dyDescent="0.25">
      <c r="B378">
        <v>14</v>
      </c>
      <c r="C378">
        <f>IF(Adecco_India[[#This Row],[Attrition]]="Yes",1,0)</f>
        <v>0</v>
      </c>
      <c r="F378">
        <v>51</v>
      </c>
      <c r="G378">
        <v>4</v>
      </c>
      <c r="J378">
        <v>2</v>
      </c>
      <c r="K378">
        <v>3</v>
      </c>
      <c r="N378">
        <v>7</v>
      </c>
      <c r="O378">
        <v>4</v>
      </c>
      <c r="Q378">
        <v>0</v>
      </c>
      <c r="R378">
        <v>3</v>
      </c>
      <c r="S378">
        <v>1</v>
      </c>
      <c r="U378" t="s">
        <v>38</v>
      </c>
      <c r="V378">
        <v>1</v>
      </c>
    </row>
    <row r="379" spans="2:22" x14ac:dyDescent="0.25">
      <c r="B379">
        <v>2</v>
      </c>
      <c r="C379">
        <f>IF(Adecco_India[[#This Row],[Attrition]]="Yes",1,0)</f>
        <v>0</v>
      </c>
      <c r="F379">
        <v>36</v>
      </c>
      <c r="G379">
        <v>3</v>
      </c>
      <c r="J379">
        <v>3</v>
      </c>
      <c r="K379">
        <v>3</v>
      </c>
      <c r="N379">
        <v>2</v>
      </c>
      <c r="O379">
        <v>3</v>
      </c>
      <c r="Q379">
        <v>2</v>
      </c>
      <c r="R379">
        <v>3</v>
      </c>
      <c r="S379">
        <v>1</v>
      </c>
      <c r="U379" t="s">
        <v>38</v>
      </c>
      <c r="V379">
        <v>1</v>
      </c>
    </row>
    <row r="380" spans="2:22" x14ac:dyDescent="0.25">
      <c r="B380">
        <v>19</v>
      </c>
      <c r="C380">
        <f>IF(Adecco_India[[#This Row],[Attrition]]="Yes",1,0)</f>
        <v>1</v>
      </c>
      <c r="F380">
        <v>34</v>
      </c>
      <c r="G380">
        <v>4</v>
      </c>
      <c r="J380">
        <v>2</v>
      </c>
      <c r="K380">
        <v>3</v>
      </c>
      <c r="N380">
        <v>5</v>
      </c>
      <c r="O380">
        <v>4</v>
      </c>
      <c r="Q380">
        <v>0</v>
      </c>
      <c r="R380">
        <v>3</v>
      </c>
      <c r="S380">
        <v>1</v>
      </c>
      <c r="U380" t="s">
        <v>59</v>
      </c>
      <c r="V380">
        <v>1</v>
      </c>
    </row>
    <row r="381" spans="2:22" x14ac:dyDescent="0.25">
      <c r="B381">
        <v>2</v>
      </c>
      <c r="C381">
        <f>IF(Adecco_India[[#This Row],[Attrition]]="Yes",1,0)</f>
        <v>0</v>
      </c>
      <c r="F381">
        <v>55</v>
      </c>
      <c r="G381">
        <v>4</v>
      </c>
      <c r="J381">
        <v>3</v>
      </c>
      <c r="K381">
        <v>3</v>
      </c>
      <c r="N381">
        <v>5</v>
      </c>
      <c r="O381">
        <v>4</v>
      </c>
      <c r="Q381">
        <v>1</v>
      </c>
      <c r="R381">
        <v>3</v>
      </c>
      <c r="S381">
        <v>1</v>
      </c>
      <c r="U381" t="s">
        <v>38</v>
      </c>
      <c r="V381">
        <v>1</v>
      </c>
    </row>
    <row r="382" spans="2:22" x14ac:dyDescent="0.25">
      <c r="B382">
        <v>10</v>
      </c>
      <c r="C382">
        <f>IF(Adecco_India[[#This Row],[Attrition]]="Yes",1,0)</f>
        <v>0</v>
      </c>
      <c r="F382">
        <v>24</v>
      </c>
      <c r="G382">
        <v>3</v>
      </c>
      <c r="J382">
        <v>4</v>
      </c>
      <c r="K382">
        <v>3</v>
      </c>
      <c r="N382">
        <v>5</v>
      </c>
      <c r="O382">
        <v>3</v>
      </c>
      <c r="Q382">
        <v>0</v>
      </c>
      <c r="R382">
        <v>3</v>
      </c>
      <c r="S382">
        <v>1</v>
      </c>
      <c r="U382" t="s">
        <v>59</v>
      </c>
      <c r="V382">
        <v>1</v>
      </c>
    </row>
    <row r="383" spans="2:22" x14ac:dyDescent="0.25">
      <c r="B383">
        <v>2</v>
      </c>
      <c r="C383">
        <f>IF(Adecco_India[[#This Row],[Attrition]]="Yes",1,0)</f>
        <v>0</v>
      </c>
      <c r="F383">
        <v>30</v>
      </c>
      <c r="G383">
        <v>2</v>
      </c>
      <c r="J383">
        <v>3</v>
      </c>
      <c r="K383">
        <v>3</v>
      </c>
      <c r="N383">
        <v>1</v>
      </c>
      <c r="O383">
        <v>2</v>
      </c>
      <c r="Q383">
        <v>0</v>
      </c>
      <c r="R383">
        <v>3</v>
      </c>
      <c r="S383">
        <v>1</v>
      </c>
      <c r="U383" t="s">
        <v>60</v>
      </c>
      <c r="V383">
        <v>1</v>
      </c>
    </row>
    <row r="384" spans="2:22" x14ac:dyDescent="0.25">
      <c r="B384">
        <v>3</v>
      </c>
      <c r="C384">
        <f>IF(Adecco_India[[#This Row],[Attrition]]="Yes",1,0)</f>
        <v>1</v>
      </c>
      <c r="F384">
        <v>26</v>
      </c>
      <c r="G384">
        <v>1</v>
      </c>
      <c r="J384">
        <v>3</v>
      </c>
      <c r="K384">
        <v>4</v>
      </c>
      <c r="N384">
        <v>6</v>
      </c>
      <c r="O384">
        <v>1</v>
      </c>
      <c r="Q384">
        <v>0</v>
      </c>
      <c r="R384">
        <v>4</v>
      </c>
      <c r="S384">
        <v>1</v>
      </c>
      <c r="U384" t="s">
        <v>60</v>
      </c>
      <c r="V384">
        <v>1</v>
      </c>
    </row>
    <row r="385" spans="2:22" x14ac:dyDescent="0.25">
      <c r="B385">
        <v>11</v>
      </c>
      <c r="C385">
        <f>IF(Adecco_India[[#This Row],[Attrition]]="Yes",1,0)</f>
        <v>0</v>
      </c>
      <c r="F385">
        <v>22</v>
      </c>
      <c r="G385">
        <v>2</v>
      </c>
      <c r="J385">
        <v>3</v>
      </c>
      <c r="K385">
        <v>3</v>
      </c>
      <c r="N385">
        <v>2</v>
      </c>
      <c r="O385">
        <v>2</v>
      </c>
      <c r="Q385">
        <v>1</v>
      </c>
      <c r="R385">
        <v>3</v>
      </c>
      <c r="S385">
        <v>1</v>
      </c>
      <c r="U385" t="s">
        <v>51</v>
      </c>
      <c r="V385">
        <v>1</v>
      </c>
    </row>
    <row r="386" spans="2:22" x14ac:dyDescent="0.25">
      <c r="B386">
        <v>2</v>
      </c>
      <c r="C386">
        <f>IF(Adecco_India[[#This Row],[Attrition]]="Yes",1,0)</f>
        <v>0</v>
      </c>
      <c r="F386">
        <v>36</v>
      </c>
      <c r="G386">
        <v>3</v>
      </c>
      <c r="J386">
        <v>3</v>
      </c>
      <c r="K386">
        <v>3</v>
      </c>
      <c r="N386">
        <v>10</v>
      </c>
      <c r="O386">
        <v>3</v>
      </c>
      <c r="Q386">
        <v>9</v>
      </c>
      <c r="R386">
        <v>3</v>
      </c>
      <c r="S386">
        <v>1</v>
      </c>
      <c r="U386" t="s">
        <v>51</v>
      </c>
      <c r="V386">
        <v>1</v>
      </c>
    </row>
    <row r="387" spans="2:22" x14ac:dyDescent="0.25">
      <c r="B387">
        <v>4</v>
      </c>
      <c r="C387">
        <f>IF(Adecco_India[[#This Row],[Attrition]]="Yes",1,0)</f>
        <v>1</v>
      </c>
      <c r="F387">
        <v>30</v>
      </c>
      <c r="G387">
        <v>4</v>
      </c>
      <c r="J387">
        <v>3</v>
      </c>
      <c r="K387">
        <v>4</v>
      </c>
      <c r="N387">
        <v>1</v>
      </c>
      <c r="O387">
        <v>4</v>
      </c>
      <c r="Q387">
        <v>0</v>
      </c>
      <c r="R387">
        <v>4</v>
      </c>
      <c r="S387">
        <v>1</v>
      </c>
      <c r="U387" t="s">
        <v>60</v>
      </c>
      <c r="V387">
        <v>1</v>
      </c>
    </row>
    <row r="388" spans="2:22" x14ac:dyDescent="0.25">
      <c r="B388">
        <v>14</v>
      </c>
      <c r="C388">
        <f>IF(Adecco_India[[#This Row],[Attrition]]="Yes",1,0)</f>
        <v>0</v>
      </c>
      <c r="F388">
        <v>37</v>
      </c>
      <c r="G388">
        <v>1</v>
      </c>
      <c r="J388">
        <v>2</v>
      </c>
      <c r="K388">
        <v>3</v>
      </c>
      <c r="N388">
        <v>18</v>
      </c>
      <c r="O388">
        <v>1</v>
      </c>
      <c r="Q388">
        <v>12</v>
      </c>
      <c r="R388">
        <v>3</v>
      </c>
      <c r="S388">
        <v>1</v>
      </c>
      <c r="U388" t="s">
        <v>38</v>
      </c>
      <c r="V388">
        <v>1</v>
      </c>
    </row>
    <row r="389" spans="2:22" x14ac:dyDescent="0.25">
      <c r="B389">
        <v>2</v>
      </c>
      <c r="C389">
        <f>IF(Adecco_India[[#This Row],[Attrition]]="Yes",1,0)</f>
        <v>0</v>
      </c>
      <c r="F389">
        <v>40</v>
      </c>
      <c r="G389">
        <v>2</v>
      </c>
      <c r="J389">
        <v>3</v>
      </c>
      <c r="K389">
        <v>3</v>
      </c>
      <c r="N389">
        <v>5</v>
      </c>
      <c r="O389">
        <v>2</v>
      </c>
      <c r="Q389">
        <v>1</v>
      </c>
      <c r="R389">
        <v>3</v>
      </c>
      <c r="S389">
        <v>1</v>
      </c>
      <c r="U389" t="s">
        <v>59</v>
      </c>
      <c r="V389">
        <v>1</v>
      </c>
    </row>
    <row r="390" spans="2:22" x14ac:dyDescent="0.25">
      <c r="B390">
        <v>1</v>
      </c>
      <c r="C390">
        <f>IF(Adecco_India[[#This Row],[Attrition]]="Yes",1,0)</f>
        <v>0</v>
      </c>
      <c r="F390">
        <v>42</v>
      </c>
      <c r="G390">
        <v>1</v>
      </c>
      <c r="J390">
        <v>3</v>
      </c>
      <c r="K390">
        <v>3</v>
      </c>
      <c r="N390">
        <v>5</v>
      </c>
      <c r="O390">
        <v>1</v>
      </c>
      <c r="Q390">
        <v>1</v>
      </c>
      <c r="R390">
        <v>3</v>
      </c>
      <c r="S390">
        <v>1</v>
      </c>
      <c r="U390" t="s">
        <v>38</v>
      </c>
      <c r="V390">
        <v>1</v>
      </c>
    </row>
    <row r="391" spans="2:22" x14ac:dyDescent="0.25">
      <c r="B391">
        <v>10</v>
      </c>
      <c r="C391">
        <f>IF(Adecco_India[[#This Row],[Attrition]]="Yes",1,0)</f>
        <v>0</v>
      </c>
      <c r="F391">
        <v>37</v>
      </c>
      <c r="G391">
        <v>2</v>
      </c>
      <c r="J391">
        <v>2</v>
      </c>
      <c r="K391">
        <v>3</v>
      </c>
      <c r="N391">
        <v>1</v>
      </c>
      <c r="O391">
        <v>2</v>
      </c>
      <c r="Q391">
        <v>0</v>
      </c>
      <c r="R391">
        <v>3</v>
      </c>
      <c r="S391">
        <v>1</v>
      </c>
      <c r="U391" t="s">
        <v>38</v>
      </c>
      <c r="V391">
        <v>1</v>
      </c>
    </row>
    <row r="392" spans="2:22" x14ac:dyDescent="0.25">
      <c r="B392">
        <v>12</v>
      </c>
      <c r="C392">
        <f>IF(Adecco_India[[#This Row],[Attrition]]="Yes",1,0)</f>
        <v>0</v>
      </c>
      <c r="F392">
        <v>43</v>
      </c>
      <c r="G392">
        <v>2</v>
      </c>
      <c r="J392">
        <v>3</v>
      </c>
      <c r="K392">
        <v>3</v>
      </c>
      <c r="N392">
        <v>25</v>
      </c>
      <c r="O392">
        <v>2</v>
      </c>
      <c r="Q392">
        <v>3</v>
      </c>
      <c r="R392">
        <v>3</v>
      </c>
      <c r="S392">
        <v>1</v>
      </c>
      <c r="U392" t="s">
        <v>38</v>
      </c>
      <c r="V392">
        <v>1</v>
      </c>
    </row>
    <row r="393" spans="2:22" x14ac:dyDescent="0.25">
      <c r="B393">
        <v>2</v>
      </c>
      <c r="C393">
        <f>IF(Adecco_India[[#This Row],[Attrition]]="Yes",1,0)</f>
        <v>0</v>
      </c>
      <c r="F393">
        <v>40</v>
      </c>
      <c r="G393">
        <v>3</v>
      </c>
      <c r="J393">
        <v>3</v>
      </c>
      <c r="K393">
        <v>4</v>
      </c>
      <c r="N393">
        <v>1</v>
      </c>
      <c r="O393">
        <v>3</v>
      </c>
      <c r="Q393">
        <v>0</v>
      </c>
      <c r="R393">
        <v>4</v>
      </c>
      <c r="S393">
        <v>1</v>
      </c>
      <c r="U393" t="s">
        <v>51</v>
      </c>
      <c r="V393">
        <v>1</v>
      </c>
    </row>
    <row r="394" spans="2:22" x14ac:dyDescent="0.25">
      <c r="B394">
        <v>5</v>
      </c>
      <c r="C394">
        <f>IF(Adecco_India[[#This Row],[Attrition]]="Yes",1,0)</f>
        <v>0</v>
      </c>
      <c r="F394">
        <v>54</v>
      </c>
      <c r="G394">
        <v>1</v>
      </c>
      <c r="J394">
        <v>2</v>
      </c>
      <c r="K394">
        <v>3</v>
      </c>
      <c r="N394">
        <v>4</v>
      </c>
      <c r="O394">
        <v>1</v>
      </c>
      <c r="Q394">
        <v>1</v>
      </c>
      <c r="R394">
        <v>3</v>
      </c>
      <c r="S394">
        <v>1</v>
      </c>
      <c r="U394" t="s">
        <v>51</v>
      </c>
      <c r="V394">
        <v>1</v>
      </c>
    </row>
    <row r="395" spans="2:22" x14ac:dyDescent="0.25">
      <c r="B395">
        <v>4</v>
      </c>
      <c r="C395">
        <f>IF(Adecco_India[[#This Row],[Attrition]]="Yes",1,0)</f>
        <v>0</v>
      </c>
      <c r="F395">
        <v>34</v>
      </c>
      <c r="G395">
        <v>3</v>
      </c>
      <c r="J395">
        <v>3</v>
      </c>
      <c r="K395">
        <v>3</v>
      </c>
      <c r="N395">
        <v>3</v>
      </c>
      <c r="O395">
        <v>3</v>
      </c>
      <c r="Q395">
        <v>1</v>
      </c>
      <c r="R395">
        <v>3</v>
      </c>
      <c r="S395">
        <v>1</v>
      </c>
      <c r="U395" t="s">
        <v>59</v>
      </c>
      <c r="V395">
        <v>1</v>
      </c>
    </row>
    <row r="396" spans="2:22" x14ac:dyDescent="0.25">
      <c r="B396">
        <v>7</v>
      </c>
      <c r="C396">
        <f>IF(Adecco_India[[#This Row],[Attrition]]="Yes",1,0)</f>
        <v>0</v>
      </c>
      <c r="F396">
        <v>31</v>
      </c>
      <c r="G396">
        <v>1</v>
      </c>
      <c r="J396">
        <v>1</v>
      </c>
      <c r="K396">
        <v>3</v>
      </c>
      <c r="N396">
        <v>13</v>
      </c>
      <c r="O396">
        <v>1</v>
      </c>
      <c r="Q396">
        <v>3</v>
      </c>
      <c r="R396">
        <v>3</v>
      </c>
      <c r="S396">
        <v>1</v>
      </c>
      <c r="U396" t="s">
        <v>51</v>
      </c>
      <c r="V396">
        <v>1</v>
      </c>
    </row>
    <row r="397" spans="2:22" x14ac:dyDescent="0.25">
      <c r="B397">
        <v>21</v>
      </c>
      <c r="C397">
        <f>IF(Adecco_India[[#This Row],[Attrition]]="Yes",1,0)</f>
        <v>0</v>
      </c>
      <c r="F397">
        <v>43</v>
      </c>
      <c r="G397">
        <v>4</v>
      </c>
      <c r="J397">
        <v>3</v>
      </c>
      <c r="K397">
        <v>4</v>
      </c>
      <c r="N397">
        <v>3</v>
      </c>
      <c r="O397">
        <v>4</v>
      </c>
      <c r="Q397">
        <v>1</v>
      </c>
      <c r="R397">
        <v>4</v>
      </c>
      <c r="S397">
        <v>1</v>
      </c>
      <c r="U397" t="s">
        <v>51</v>
      </c>
      <c r="V397">
        <v>1</v>
      </c>
    </row>
    <row r="398" spans="2:22" x14ac:dyDescent="0.25">
      <c r="B398">
        <v>8</v>
      </c>
      <c r="C398">
        <f>IF(Adecco_India[[#This Row],[Attrition]]="Yes",1,0)</f>
        <v>0</v>
      </c>
      <c r="F398">
        <v>43</v>
      </c>
      <c r="G398">
        <v>3</v>
      </c>
      <c r="J398">
        <v>3</v>
      </c>
      <c r="K398">
        <v>3</v>
      </c>
      <c r="N398">
        <v>5</v>
      </c>
      <c r="O398">
        <v>3</v>
      </c>
      <c r="Q398">
        <v>0</v>
      </c>
      <c r="R398">
        <v>3</v>
      </c>
      <c r="S398">
        <v>1</v>
      </c>
      <c r="U398" t="s">
        <v>49</v>
      </c>
      <c r="V398">
        <v>1</v>
      </c>
    </row>
    <row r="399" spans="2:22" x14ac:dyDescent="0.25">
      <c r="B399">
        <v>4</v>
      </c>
      <c r="C399">
        <f>IF(Adecco_India[[#This Row],[Attrition]]="Yes",1,0)</f>
        <v>0</v>
      </c>
      <c r="F399">
        <v>25</v>
      </c>
      <c r="G399">
        <v>4</v>
      </c>
      <c r="J399">
        <v>3</v>
      </c>
      <c r="K399">
        <v>3</v>
      </c>
      <c r="N399">
        <v>5</v>
      </c>
      <c r="O399">
        <v>4</v>
      </c>
      <c r="Q399">
        <v>1</v>
      </c>
      <c r="R399">
        <v>3</v>
      </c>
      <c r="S399">
        <v>1</v>
      </c>
      <c r="U399" t="s">
        <v>38</v>
      </c>
      <c r="V399">
        <v>1</v>
      </c>
    </row>
    <row r="400" spans="2:22" x14ac:dyDescent="0.25">
      <c r="B400">
        <v>25</v>
      </c>
      <c r="C400">
        <f>IF(Adecco_India[[#This Row],[Attrition]]="Yes",1,0)</f>
        <v>0</v>
      </c>
      <c r="F400">
        <v>37</v>
      </c>
      <c r="G400">
        <v>3</v>
      </c>
      <c r="J400">
        <v>3</v>
      </c>
      <c r="K400">
        <v>3</v>
      </c>
      <c r="N400">
        <v>13</v>
      </c>
      <c r="O400">
        <v>3</v>
      </c>
      <c r="Q400">
        <v>10</v>
      </c>
      <c r="R400">
        <v>3</v>
      </c>
      <c r="S400">
        <v>1</v>
      </c>
      <c r="U400" t="s">
        <v>51</v>
      </c>
      <c r="V400">
        <v>1</v>
      </c>
    </row>
    <row r="401" spans="2:22" x14ac:dyDescent="0.25">
      <c r="B401">
        <v>1</v>
      </c>
      <c r="C401">
        <f>IF(Adecco_India[[#This Row],[Attrition]]="Yes",1,0)</f>
        <v>0</v>
      </c>
      <c r="F401">
        <v>31</v>
      </c>
      <c r="G401">
        <v>1</v>
      </c>
      <c r="J401">
        <v>3</v>
      </c>
      <c r="K401">
        <v>3</v>
      </c>
      <c r="N401">
        <v>4</v>
      </c>
      <c r="O401">
        <v>1</v>
      </c>
      <c r="Q401">
        <v>3</v>
      </c>
      <c r="R401">
        <v>3</v>
      </c>
      <c r="S401">
        <v>1</v>
      </c>
      <c r="U401" t="s">
        <v>38</v>
      </c>
      <c r="V401">
        <v>1</v>
      </c>
    </row>
    <row r="402" spans="2:22" x14ac:dyDescent="0.25">
      <c r="B402">
        <v>1</v>
      </c>
      <c r="C402">
        <f>IF(Adecco_India[[#This Row],[Attrition]]="Yes",1,0)</f>
        <v>0</v>
      </c>
      <c r="F402">
        <v>39</v>
      </c>
      <c r="G402">
        <v>3</v>
      </c>
      <c r="J402">
        <v>3</v>
      </c>
      <c r="K402">
        <v>3</v>
      </c>
      <c r="N402">
        <v>21</v>
      </c>
      <c r="O402">
        <v>3</v>
      </c>
      <c r="Q402">
        <v>1</v>
      </c>
      <c r="R402">
        <v>3</v>
      </c>
      <c r="S402">
        <v>1</v>
      </c>
      <c r="U402" t="s">
        <v>38</v>
      </c>
      <c r="V402">
        <v>1</v>
      </c>
    </row>
    <row r="403" spans="2:22" x14ac:dyDescent="0.25">
      <c r="B403">
        <v>6</v>
      </c>
      <c r="C403">
        <f>IF(Adecco_India[[#This Row],[Attrition]]="Yes",1,0)</f>
        <v>0</v>
      </c>
      <c r="F403">
        <v>56</v>
      </c>
      <c r="G403">
        <v>1</v>
      </c>
      <c r="J403">
        <v>2</v>
      </c>
      <c r="K403">
        <v>3</v>
      </c>
      <c r="N403">
        <v>7</v>
      </c>
      <c r="O403">
        <v>1</v>
      </c>
      <c r="Q403">
        <v>7</v>
      </c>
      <c r="R403">
        <v>3</v>
      </c>
      <c r="S403">
        <v>1</v>
      </c>
      <c r="U403" t="s">
        <v>38</v>
      </c>
      <c r="V403">
        <v>1</v>
      </c>
    </row>
    <row r="404" spans="2:22" x14ac:dyDescent="0.25">
      <c r="B404">
        <v>12</v>
      </c>
      <c r="C404">
        <f>IF(Adecco_India[[#This Row],[Attrition]]="Yes",1,0)</f>
        <v>0</v>
      </c>
      <c r="F404">
        <v>30</v>
      </c>
      <c r="G404">
        <v>3</v>
      </c>
      <c r="J404">
        <v>3</v>
      </c>
      <c r="K404">
        <v>3</v>
      </c>
      <c r="N404">
        <v>5</v>
      </c>
      <c r="O404">
        <v>3</v>
      </c>
      <c r="Q404">
        <v>4</v>
      </c>
      <c r="R404">
        <v>3</v>
      </c>
      <c r="S404">
        <v>1</v>
      </c>
      <c r="U404" t="s">
        <v>60</v>
      </c>
      <c r="V404">
        <v>1</v>
      </c>
    </row>
    <row r="405" spans="2:22" x14ac:dyDescent="0.25">
      <c r="B405">
        <v>1</v>
      </c>
      <c r="C405">
        <f>IF(Adecco_India[[#This Row],[Attrition]]="Yes",1,0)</f>
        <v>0</v>
      </c>
      <c r="F405">
        <v>41</v>
      </c>
      <c r="G405">
        <v>1</v>
      </c>
      <c r="J405">
        <v>3</v>
      </c>
      <c r="K405">
        <v>3</v>
      </c>
      <c r="N405">
        <v>10</v>
      </c>
      <c r="O405">
        <v>1</v>
      </c>
      <c r="Q405">
        <v>0</v>
      </c>
      <c r="R405">
        <v>3</v>
      </c>
      <c r="S405">
        <v>1</v>
      </c>
      <c r="U405" t="s">
        <v>59</v>
      </c>
      <c r="V405">
        <v>1</v>
      </c>
    </row>
    <row r="406" spans="2:22" x14ac:dyDescent="0.25">
      <c r="B406">
        <v>17</v>
      </c>
      <c r="C406">
        <f>IF(Adecco_India[[#This Row],[Attrition]]="Yes",1,0)</f>
        <v>0</v>
      </c>
      <c r="F406">
        <v>28</v>
      </c>
      <c r="G406">
        <v>1</v>
      </c>
      <c r="J406">
        <v>3</v>
      </c>
      <c r="K406">
        <v>3</v>
      </c>
      <c r="N406">
        <v>10</v>
      </c>
      <c r="O406">
        <v>1</v>
      </c>
      <c r="Q406">
        <v>1</v>
      </c>
      <c r="R406">
        <v>3</v>
      </c>
      <c r="S406">
        <v>1</v>
      </c>
      <c r="U406" t="s">
        <v>51</v>
      </c>
      <c r="V406">
        <v>1</v>
      </c>
    </row>
    <row r="407" spans="2:22" x14ac:dyDescent="0.25">
      <c r="B407">
        <v>3</v>
      </c>
      <c r="C407">
        <f>IF(Adecco_India[[#This Row],[Attrition]]="Yes",1,0)</f>
        <v>1</v>
      </c>
      <c r="F407">
        <v>25</v>
      </c>
      <c r="G407">
        <v>1</v>
      </c>
      <c r="J407">
        <v>3</v>
      </c>
      <c r="K407">
        <v>3</v>
      </c>
      <c r="N407">
        <v>2</v>
      </c>
      <c r="O407">
        <v>1</v>
      </c>
      <c r="Q407">
        <v>0</v>
      </c>
      <c r="R407">
        <v>3</v>
      </c>
      <c r="S407">
        <v>1</v>
      </c>
      <c r="U407" t="s">
        <v>51</v>
      </c>
      <c r="V407">
        <v>1</v>
      </c>
    </row>
    <row r="408" spans="2:22" x14ac:dyDescent="0.25">
      <c r="B408">
        <v>3</v>
      </c>
      <c r="C408">
        <f>IF(Adecco_India[[#This Row],[Attrition]]="Yes",1,0)</f>
        <v>0</v>
      </c>
      <c r="F408">
        <v>52</v>
      </c>
      <c r="G408">
        <v>3</v>
      </c>
      <c r="J408">
        <v>3</v>
      </c>
      <c r="K408">
        <v>3</v>
      </c>
      <c r="N408">
        <v>5</v>
      </c>
      <c r="O408">
        <v>3</v>
      </c>
      <c r="Q408">
        <v>0</v>
      </c>
      <c r="R408">
        <v>3</v>
      </c>
      <c r="S408">
        <v>1</v>
      </c>
      <c r="U408" t="s">
        <v>51</v>
      </c>
      <c r="V408">
        <v>1</v>
      </c>
    </row>
    <row r="409" spans="2:22" x14ac:dyDescent="0.25">
      <c r="B409">
        <v>10</v>
      </c>
      <c r="C409">
        <f>IF(Adecco_India[[#This Row],[Attrition]]="Yes",1,0)</f>
        <v>0</v>
      </c>
      <c r="F409">
        <v>45</v>
      </c>
      <c r="G409">
        <v>4</v>
      </c>
      <c r="J409">
        <v>2</v>
      </c>
      <c r="K409">
        <v>4</v>
      </c>
      <c r="N409">
        <v>2</v>
      </c>
      <c r="O409">
        <v>4</v>
      </c>
      <c r="Q409">
        <v>0</v>
      </c>
      <c r="R409">
        <v>4</v>
      </c>
      <c r="S409">
        <v>1</v>
      </c>
      <c r="U409" t="s">
        <v>38</v>
      </c>
      <c r="V409">
        <v>1</v>
      </c>
    </row>
    <row r="410" spans="2:22" x14ac:dyDescent="0.25">
      <c r="B410">
        <v>4</v>
      </c>
      <c r="C410">
        <f>IF(Adecco_India[[#This Row],[Attrition]]="Yes",1,0)</f>
        <v>0</v>
      </c>
      <c r="F410">
        <v>52</v>
      </c>
      <c r="G410">
        <v>4</v>
      </c>
      <c r="J410">
        <v>1</v>
      </c>
      <c r="K410">
        <v>3</v>
      </c>
      <c r="N410">
        <v>5</v>
      </c>
      <c r="O410">
        <v>4</v>
      </c>
      <c r="Q410">
        <v>1</v>
      </c>
      <c r="R410">
        <v>3</v>
      </c>
      <c r="S410">
        <v>1</v>
      </c>
      <c r="U410" t="s">
        <v>38</v>
      </c>
      <c r="V410">
        <v>1</v>
      </c>
    </row>
    <row r="411" spans="2:22" x14ac:dyDescent="0.25">
      <c r="B411">
        <v>29</v>
      </c>
      <c r="C411">
        <f>IF(Adecco_India[[#This Row],[Attrition]]="Yes",1,0)</f>
        <v>0</v>
      </c>
      <c r="F411">
        <v>42</v>
      </c>
      <c r="G411">
        <v>3</v>
      </c>
      <c r="J411">
        <v>3</v>
      </c>
      <c r="K411">
        <v>3</v>
      </c>
      <c r="N411">
        <v>5</v>
      </c>
      <c r="O411">
        <v>3</v>
      </c>
      <c r="Q411">
        <v>0</v>
      </c>
      <c r="R411">
        <v>3</v>
      </c>
      <c r="S411">
        <v>1</v>
      </c>
      <c r="U411" t="s">
        <v>38</v>
      </c>
      <c r="V411">
        <v>1</v>
      </c>
    </row>
    <row r="412" spans="2:22" x14ac:dyDescent="0.25">
      <c r="B412">
        <v>2</v>
      </c>
      <c r="C412">
        <f>IF(Adecco_India[[#This Row],[Attrition]]="Yes",1,0)</f>
        <v>0</v>
      </c>
      <c r="F412">
        <v>30</v>
      </c>
      <c r="G412">
        <v>4</v>
      </c>
      <c r="J412">
        <v>3</v>
      </c>
      <c r="K412">
        <v>4</v>
      </c>
      <c r="N412">
        <v>5</v>
      </c>
      <c r="O412">
        <v>4</v>
      </c>
      <c r="Q412">
        <v>0</v>
      </c>
      <c r="R412">
        <v>4</v>
      </c>
      <c r="S412">
        <v>1</v>
      </c>
      <c r="U412" t="s">
        <v>38</v>
      </c>
      <c r="V412">
        <v>1</v>
      </c>
    </row>
    <row r="413" spans="2:22" x14ac:dyDescent="0.25">
      <c r="B413">
        <v>7</v>
      </c>
      <c r="C413">
        <f>IF(Adecco_India[[#This Row],[Attrition]]="Yes",1,0)</f>
        <v>0</v>
      </c>
      <c r="F413">
        <v>60</v>
      </c>
      <c r="G413">
        <v>1</v>
      </c>
      <c r="J413">
        <v>1</v>
      </c>
      <c r="K413">
        <v>3</v>
      </c>
      <c r="N413">
        <v>29</v>
      </c>
      <c r="O413">
        <v>1</v>
      </c>
      <c r="Q413">
        <v>11</v>
      </c>
      <c r="R413">
        <v>3</v>
      </c>
      <c r="S413">
        <v>1</v>
      </c>
      <c r="U413" t="s">
        <v>38</v>
      </c>
      <c r="V413">
        <v>1</v>
      </c>
    </row>
    <row r="414" spans="2:22" x14ac:dyDescent="0.25">
      <c r="B414">
        <v>18</v>
      </c>
      <c r="C414">
        <f>IF(Adecco_India[[#This Row],[Attrition]]="Yes",1,0)</f>
        <v>0</v>
      </c>
      <c r="F414">
        <v>46</v>
      </c>
      <c r="G414">
        <v>3</v>
      </c>
      <c r="J414">
        <v>2</v>
      </c>
      <c r="K414">
        <v>3</v>
      </c>
      <c r="N414">
        <v>10</v>
      </c>
      <c r="O414">
        <v>3</v>
      </c>
      <c r="Q414">
        <v>0</v>
      </c>
      <c r="R414">
        <v>3</v>
      </c>
      <c r="S414">
        <v>1</v>
      </c>
      <c r="U414" t="s">
        <v>51</v>
      </c>
      <c r="V414">
        <v>1</v>
      </c>
    </row>
    <row r="415" spans="2:22" x14ac:dyDescent="0.25">
      <c r="B415">
        <v>28</v>
      </c>
      <c r="C415">
        <f>IF(Adecco_India[[#This Row],[Attrition]]="Yes",1,0)</f>
        <v>0</v>
      </c>
      <c r="F415">
        <v>42</v>
      </c>
      <c r="G415">
        <v>4</v>
      </c>
      <c r="J415">
        <v>4</v>
      </c>
      <c r="K415">
        <v>3</v>
      </c>
      <c r="N415">
        <v>6</v>
      </c>
      <c r="O415">
        <v>4</v>
      </c>
      <c r="Q415">
        <v>0</v>
      </c>
      <c r="R415">
        <v>3</v>
      </c>
      <c r="S415">
        <v>1</v>
      </c>
      <c r="U415" t="s">
        <v>60</v>
      </c>
      <c r="V415">
        <v>1</v>
      </c>
    </row>
    <row r="416" spans="2:22" x14ac:dyDescent="0.25">
      <c r="B416">
        <v>1</v>
      </c>
      <c r="C416">
        <f>IF(Adecco_India[[#This Row],[Attrition]]="Yes",1,0)</f>
        <v>1</v>
      </c>
      <c r="F416">
        <v>24</v>
      </c>
      <c r="G416">
        <v>2</v>
      </c>
      <c r="J416">
        <v>3</v>
      </c>
      <c r="K416">
        <v>3</v>
      </c>
      <c r="N416">
        <v>5</v>
      </c>
      <c r="O416">
        <v>2</v>
      </c>
      <c r="Q416">
        <v>1</v>
      </c>
      <c r="R416">
        <v>3</v>
      </c>
      <c r="S416">
        <v>1</v>
      </c>
      <c r="U416" t="s">
        <v>60</v>
      </c>
      <c r="V416">
        <v>1</v>
      </c>
    </row>
    <row r="417" spans="2:22" x14ac:dyDescent="0.25">
      <c r="B417">
        <v>6</v>
      </c>
      <c r="C417">
        <f>IF(Adecco_India[[#This Row],[Attrition]]="Yes",1,0)</f>
        <v>1</v>
      </c>
      <c r="F417">
        <v>34</v>
      </c>
      <c r="G417">
        <v>3</v>
      </c>
      <c r="J417">
        <v>2</v>
      </c>
      <c r="K417">
        <v>3</v>
      </c>
      <c r="N417">
        <v>2</v>
      </c>
      <c r="O417">
        <v>3</v>
      </c>
      <c r="Q417">
        <v>1</v>
      </c>
      <c r="R417">
        <v>3</v>
      </c>
      <c r="S417">
        <v>1</v>
      </c>
      <c r="U417" t="s">
        <v>59</v>
      </c>
      <c r="V417">
        <v>1</v>
      </c>
    </row>
    <row r="418" spans="2:22" x14ac:dyDescent="0.25">
      <c r="B418">
        <v>2</v>
      </c>
      <c r="C418">
        <f>IF(Adecco_India[[#This Row],[Attrition]]="Yes",1,0)</f>
        <v>0</v>
      </c>
      <c r="F418">
        <v>38</v>
      </c>
      <c r="G418">
        <v>4</v>
      </c>
      <c r="J418">
        <v>3</v>
      </c>
      <c r="K418">
        <v>4</v>
      </c>
      <c r="N418">
        <v>1</v>
      </c>
      <c r="O418">
        <v>4</v>
      </c>
      <c r="Q418">
        <v>0</v>
      </c>
      <c r="R418">
        <v>4</v>
      </c>
      <c r="S418">
        <v>1</v>
      </c>
      <c r="U418" t="s">
        <v>38</v>
      </c>
      <c r="V418">
        <v>1</v>
      </c>
    </row>
    <row r="419" spans="2:22" x14ac:dyDescent="0.25">
      <c r="B419">
        <v>2</v>
      </c>
      <c r="C419">
        <f>IF(Adecco_India[[#This Row],[Attrition]]="Yes",1,0)</f>
        <v>0</v>
      </c>
      <c r="F419">
        <v>40</v>
      </c>
      <c r="G419">
        <v>3</v>
      </c>
      <c r="J419">
        <v>3</v>
      </c>
      <c r="K419">
        <v>3</v>
      </c>
      <c r="N419">
        <v>20</v>
      </c>
      <c r="O419">
        <v>3</v>
      </c>
      <c r="Q419">
        <v>1</v>
      </c>
      <c r="R419">
        <v>3</v>
      </c>
      <c r="S419">
        <v>1</v>
      </c>
      <c r="U419" t="s">
        <v>38</v>
      </c>
      <c r="V419">
        <v>1</v>
      </c>
    </row>
    <row r="420" spans="2:22" x14ac:dyDescent="0.25">
      <c r="B420">
        <v>23</v>
      </c>
      <c r="C420">
        <f>IF(Adecco_India[[#This Row],[Attrition]]="Yes",1,0)</f>
        <v>0</v>
      </c>
      <c r="F420">
        <v>26</v>
      </c>
      <c r="G420">
        <v>4</v>
      </c>
      <c r="J420">
        <v>1</v>
      </c>
      <c r="K420">
        <v>4</v>
      </c>
      <c r="N420">
        <v>3</v>
      </c>
      <c r="O420">
        <v>4</v>
      </c>
      <c r="Q420">
        <v>0</v>
      </c>
      <c r="R420">
        <v>4</v>
      </c>
      <c r="S420">
        <v>1</v>
      </c>
      <c r="U420" t="s">
        <v>38</v>
      </c>
      <c r="V420">
        <v>1</v>
      </c>
    </row>
    <row r="421" spans="2:22" x14ac:dyDescent="0.25">
      <c r="B421">
        <v>3</v>
      </c>
      <c r="C421">
        <f>IF(Adecco_India[[#This Row],[Attrition]]="Yes",1,0)</f>
        <v>0</v>
      </c>
      <c r="F421">
        <v>30</v>
      </c>
      <c r="G421">
        <v>4</v>
      </c>
      <c r="J421">
        <v>1</v>
      </c>
      <c r="K421">
        <v>3</v>
      </c>
      <c r="N421">
        <v>5</v>
      </c>
      <c r="O421">
        <v>4</v>
      </c>
      <c r="Q421">
        <v>1</v>
      </c>
      <c r="R421">
        <v>3</v>
      </c>
      <c r="S421">
        <v>1</v>
      </c>
      <c r="U421" t="s">
        <v>38</v>
      </c>
      <c r="V421">
        <v>1</v>
      </c>
    </row>
    <row r="422" spans="2:22" x14ac:dyDescent="0.25">
      <c r="B422">
        <v>3</v>
      </c>
      <c r="C422">
        <f>IF(Adecco_India[[#This Row],[Attrition]]="Yes",1,0)</f>
        <v>0</v>
      </c>
      <c r="F422">
        <v>29</v>
      </c>
      <c r="G422">
        <v>3</v>
      </c>
      <c r="J422">
        <v>3</v>
      </c>
      <c r="K422">
        <v>3</v>
      </c>
      <c r="N422">
        <v>10</v>
      </c>
      <c r="O422">
        <v>3</v>
      </c>
      <c r="Q422">
        <v>0</v>
      </c>
      <c r="R422">
        <v>3</v>
      </c>
      <c r="S422">
        <v>1</v>
      </c>
      <c r="U422" t="s">
        <v>51</v>
      </c>
      <c r="V422">
        <v>1</v>
      </c>
    </row>
    <row r="423" spans="2:22" x14ac:dyDescent="0.25">
      <c r="B423">
        <v>25</v>
      </c>
      <c r="C423">
        <f>IF(Adecco_India[[#This Row],[Attrition]]="Yes",1,0)</f>
        <v>1</v>
      </c>
      <c r="F423">
        <v>29</v>
      </c>
      <c r="G423">
        <v>2</v>
      </c>
      <c r="J423">
        <v>4</v>
      </c>
      <c r="K423">
        <v>3</v>
      </c>
      <c r="N423">
        <v>2</v>
      </c>
      <c r="O423">
        <v>2</v>
      </c>
      <c r="Q423">
        <v>1</v>
      </c>
      <c r="R423">
        <v>3</v>
      </c>
      <c r="S423">
        <v>1</v>
      </c>
      <c r="U423" t="s">
        <v>60</v>
      </c>
      <c r="V423">
        <v>1</v>
      </c>
    </row>
    <row r="424" spans="2:22" x14ac:dyDescent="0.25">
      <c r="B424">
        <v>2</v>
      </c>
      <c r="C424">
        <f>IF(Adecco_India[[#This Row],[Attrition]]="Yes",1,0)</f>
        <v>1</v>
      </c>
      <c r="F424">
        <v>19</v>
      </c>
      <c r="G424">
        <v>4</v>
      </c>
      <c r="J424">
        <v>4</v>
      </c>
      <c r="K424">
        <v>3</v>
      </c>
      <c r="N424">
        <v>1</v>
      </c>
      <c r="O424">
        <v>4</v>
      </c>
      <c r="Q424">
        <v>0</v>
      </c>
      <c r="R424">
        <v>3</v>
      </c>
      <c r="S424">
        <v>1</v>
      </c>
      <c r="U424" t="s">
        <v>60</v>
      </c>
      <c r="V424">
        <v>1</v>
      </c>
    </row>
    <row r="425" spans="2:22" x14ac:dyDescent="0.25">
      <c r="B425">
        <v>22</v>
      </c>
      <c r="C425">
        <f>IF(Adecco_India[[#This Row],[Attrition]]="Yes",1,0)</f>
        <v>0</v>
      </c>
      <c r="F425">
        <v>30</v>
      </c>
      <c r="G425">
        <v>1</v>
      </c>
      <c r="J425">
        <v>3</v>
      </c>
      <c r="K425">
        <v>3</v>
      </c>
      <c r="N425">
        <v>9</v>
      </c>
      <c r="O425">
        <v>1</v>
      </c>
      <c r="Q425">
        <v>7</v>
      </c>
      <c r="R425">
        <v>3</v>
      </c>
      <c r="S425">
        <v>1</v>
      </c>
      <c r="U425" t="s">
        <v>49</v>
      </c>
      <c r="V425">
        <v>1</v>
      </c>
    </row>
    <row r="426" spans="2:22" x14ac:dyDescent="0.25">
      <c r="B426">
        <v>29</v>
      </c>
      <c r="C426">
        <f>IF(Adecco_India[[#This Row],[Attrition]]="Yes",1,0)</f>
        <v>0</v>
      </c>
      <c r="F426">
        <v>57</v>
      </c>
      <c r="G426">
        <v>4</v>
      </c>
      <c r="J426">
        <v>2</v>
      </c>
      <c r="K426">
        <v>3</v>
      </c>
      <c r="N426">
        <v>1</v>
      </c>
      <c r="O426">
        <v>4</v>
      </c>
      <c r="Q426">
        <v>0</v>
      </c>
      <c r="R426">
        <v>3</v>
      </c>
      <c r="S426">
        <v>1</v>
      </c>
      <c r="U426" t="s">
        <v>59</v>
      </c>
      <c r="V426">
        <v>1</v>
      </c>
    </row>
    <row r="427" spans="2:22" x14ac:dyDescent="0.25">
      <c r="B427">
        <v>29</v>
      </c>
      <c r="C427">
        <f>IF(Adecco_India[[#This Row],[Attrition]]="Yes",1,0)</f>
        <v>0</v>
      </c>
      <c r="F427">
        <v>50</v>
      </c>
      <c r="G427">
        <v>3</v>
      </c>
      <c r="J427">
        <v>3</v>
      </c>
      <c r="K427">
        <v>3</v>
      </c>
      <c r="N427">
        <v>27</v>
      </c>
      <c r="O427">
        <v>3</v>
      </c>
      <c r="Q427">
        <v>15</v>
      </c>
      <c r="R427">
        <v>3</v>
      </c>
      <c r="S427">
        <v>1</v>
      </c>
      <c r="U427" t="s">
        <v>38</v>
      </c>
      <c r="V427">
        <v>1</v>
      </c>
    </row>
    <row r="428" spans="2:22" x14ac:dyDescent="0.25">
      <c r="B428">
        <v>2</v>
      </c>
      <c r="C428">
        <f>IF(Adecco_India[[#This Row],[Attrition]]="Yes",1,0)</f>
        <v>0</v>
      </c>
      <c r="F428">
        <v>30</v>
      </c>
      <c r="G428">
        <v>4</v>
      </c>
      <c r="J428">
        <v>2</v>
      </c>
      <c r="K428">
        <v>3</v>
      </c>
      <c r="N428">
        <v>11</v>
      </c>
      <c r="O428">
        <v>4</v>
      </c>
      <c r="Q428">
        <v>6</v>
      </c>
      <c r="R428">
        <v>3</v>
      </c>
      <c r="S428">
        <v>1</v>
      </c>
      <c r="U428" t="s">
        <v>51</v>
      </c>
      <c r="V428">
        <v>1</v>
      </c>
    </row>
    <row r="429" spans="2:22" x14ac:dyDescent="0.25">
      <c r="B429">
        <v>28</v>
      </c>
      <c r="C429">
        <f>IF(Adecco_India[[#This Row],[Attrition]]="Yes",1,0)</f>
        <v>0</v>
      </c>
      <c r="F429">
        <v>60</v>
      </c>
      <c r="G429">
        <v>1</v>
      </c>
      <c r="J429">
        <v>4</v>
      </c>
      <c r="K429">
        <v>3</v>
      </c>
      <c r="N429">
        <v>18</v>
      </c>
      <c r="O429">
        <v>1</v>
      </c>
      <c r="Q429">
        <v>13</v>
      </c>
      <c r="R429">
        <v>3</v>
      </c>
      <c r="S429">
        <v>1</v>
      </c>
      <c r="U429" t="s">
        <v>59</v>
      </c>
      <c r="V429">
        <v>1</v>
      </c>
    </row>
    <row r="430" spans="2:22" x14ac:dyDescent="0.25">
      <c r="B430">
        <v>2</v>
      </c>
      <c r="C430">
        <f>IF(Adecco_India[[#This Row],[Attrition]]="Yes",1,0)</f>
        <v>0</v>
      </c>
      <c r="F430">
        <v>47</v>
      </c>
      <c r="G430">
        <v>4</v>
      </c>
      <c r="J430">
        <v>3</v>
      </c>
      <c r="K430">
        <v>3</v>
      </c>
      <c r="N430">
        <v>5</v>
      </c>
      <c r="O430">
        <v>4</v>
      </c>
      <c r="Q430">
        <v>0</v>
      </c>
      <c r="R430">
        <v>3</v>
      </c>
      <c r="S430">
        <v>1</v>
      </c>
      <c r="U430" t="s">
        <v>51</v>
      </c>
      <c r="V430">
        <v>1</v>
      </c>
    </row>
    <row r="431" spans="2:22" x14ac:dyDescent="0.25">
      <c r="B431">
        <v>2</v>
      </c>
      <c r="C431">
        <f>IF(Adecco_India[[#This Row],[Attrition]]="Yes",1,0)</f>
        <v>0</v>
      </c>
      <c r="F431">
        <v>46</v>
      </c>
      <c r="G431">
        <v>3</v>
      </c>
      <c r="J431">
        <v>1</v>
      </c>
      <c r="K431">
        <v>3</v>
      </c>
      <c r="N431">
        <v>3</v>
      </c>
      <c r="O431">
        <v>3</v>
      </c>
      <c r="Q431">
        <v>0</v>
      </c>
      <c r="R431">
        <v>3</v>
      </c>
      <c r="S431">
        <v>1</v>
      </c>
      <c r="U431" t="s">
        <v>38</v>
      </c>
      <c r="V431">
        <v>1</v>
      </c>
    </row>
    <row r="432" spans="2:22" x14ac:dyDescent="0.25">
      <c r="B432">
        <v>22</v>
      </c>
      <c r="C432">
        <f>IF(Adecco_India[[#This Row],[Attrition]]="Yes",1,0)</f>
        <v>0</v>
      </c>
      <c r="F432">
        <v>35</v>
      </c>
      <c r="G432">
        <v>3</v>
      </c>
      <c r="J432">
        <v>3</v>
      </c>
      <c r="K432">
        <v>3</v>
      </c>
      <c r="N432">
        <v>5</v>
      </c>
      <c r="O432">
        <v>3</v>
      </c>
      <c r="Q432">
        <v>4</v>
      </c>
      <c r="R432">
        <v>3</v>
      </c>
      <c r="S432">
        <v>1</v>
      </c>
      <c r="U432" t="s">
        <v>38</v>
      </c>
      <c r="V432">
        <v>1</v>
      </c>
    </row>
    <row r="433" spans="2:22" x14ac:dyDescent="0.25">
      <c r="B433">
        <v>8</v>
      </c>
      <c r="C433">
        <f>IF(Adecco_India[[#This Row],[Attrition]]="Yes",1,0)</f>
        <v>0</v>
      </c>
      <c r="F433">
        <v>54</v>
      </c>
      <c r="G433">
        <v>3</v>
      </c>
      <c r="J433">
        <v>3</v>
      </c>
      <c r="K433">
        <v>3</v>
      </c>
      <c r="N433">
        <v>1</v>
      </c>
      <c r="O433">
        <v>3</v>
      </c>
      <c r="Q433">
        <v>0</v>
      </c>
      <c r="R433">
        <v>3</v>
      </c>
      <c r="S433">
        <v>1</v>
      </c>
      <c r="U433" t="s">
        <v>38</v>
      </c>
      <c r="V433">
        <v>1</v>
      </c>
    </row>
    <row r="434" spans="2:22" x14ac:dyDescent="0.25">
      <c r="B434">
        <v>2</v>
      </c>
      <c r="C434">
        <f>IF(Adecco_India[[#This Row],[Attrition]]="Yes",1,0)</f>
        <v>0</v>
      </c>
      <c r="F434">
        <v>34</v>
      </c>
      <c r="G434">
        <v>3</v>
      </c>
      <c r="J434">
        <v>3</v>
      </c>
      <c r="K434">
        <v>3</v>
      </c>
      <c r="N434">
        <v>7</v>
      </c>
      <c r="O434">
        <v>3</v>
      </c>
      <c r="Q434">
        <v>5</v>
      </c>
      <c r="R434">
        <v>3</v>
      </c>
      <c r="S434">
        <v>1</v>
      </c>
      <c r="U434" t="s">
        <v>38</v>
      </c>
      <c r="V434">
        <v>1</v>
      </c>
    </row>
    <row r="435" spans="2:22" x14ac:dyDescent="0.25">
      <c r="B435">
        <v>10</v>
      </c>
      <c r="C435">
        <f>IF(Adecco_India[[#This Row],[Attrition]]="Yes",1,0)</f>
        <v>0</v>
      </c>
      <c r="F435">
        <v>46</v>
      </c>
      <c r="G435">
        <v>4</v>
      </c>
      <c r="J435">
        <v>3</v>
      </c>
      <c r="K435">
        <v>3</v>
      </c>
      <c r="N435">
        <v>3</v>
      </c>
      <c r="O435">
        <v>4</v>
      </c>
      <c r="Q435">
        <v>1</v>
      </c>
      <c r="R435">
        <v>3</v>
      </c>
      <c r="S435">
        <v>1</v>
      </c>
      <c r="U435" t="s">
        <v>59</v>
      </c>
      <c r="V435">
        <v>1</v>
      </c>
    </row>
    <row r="436" spans="2:22" x14ac:dyDescent="0.25">
      <c r="B436">
        <v>9</v>
      </c>
      <c r="C436">
        <f>IF(Adecco_India[[#This Row],[Attrition]]="Yes",1,0)</f>
        <v>0</v>
      </c>
      <c r="F436">
        <v>31</v>
      </c>
      <c r="G436">
        <v>2</v>
      </c>
      <c r="J436">
        <v>4</v>
      </c>
      <c r="K436">
        <v>4</v>
      </c>
      <c r="N436">
        <v>13</v>
      </c>
      <c r="O436">
        <v>2</v>
      </c>
      <c r="Q436">
        <v>0</v>
      </c>
      <c r="R436">
        <v>4</v>
      </c>
      <c r="S436">
        <v>1</v>
      </c>
      <c r="U436" t="s">
        <v>38</v>
      </c>
      <c r="V436">
        <v>1</v>
      </c>
    </row>
    <row r="437" spans="2:22" x14ac:dyDescent="0.25">
      <c r="B437">
        <v>15</v>
      </c>
      <c r="C437">
        <f>IF(Adecco_India[[#This Row],[Attrition]]="Yes",1,0)</f>
        <v>1</v>
      </c>
      <c r="F437">
        <v>33</v>
      </c>
      <c r="G437">
        <v>3</v>
      </c>
      <c r="J437">
        <v>4</v>
      </c>
      <c r="K437">
        <v>3</v>
      </c>
      <c r="N437">
        <v>7</v>
      </c>
      <c r="O437">
        <v>3</v>
      </c>
      <c r="Q437">
        <v>7</v>
      </c>
      <c r="R437">
        <v>3</v>
      </c>
      <c r="S437">
        <v>1</v>
      </c>
      <c r="U437" t="s">
        <v>51</v>
      </c>
      <c r="V437">
        <v>1</v>
      </c>
    </row>
    <row r="438" spans="2:22" x14ac:dyDescent="0.25">
      <c r="B438">
        <v>10</v>
      </c>
      <c r="C438">
        <f>IF(Adecco_India[[#This Row],[Attrition]]="Yes",1,0)</f>
        <v>1</v>
      </c>
      <c r="F438">
        <v>33</v>
      </c>
      <c r="G438">
        <v>4</v>
      </c>
      <c r="J438">
        <v>3</v>
      </c>
      <c r="K438">
        <v>3</v>
      </c>
      <c r="N438">
        <v>4</v>
      </c>
      <c r="O438">
        <v>4</v>
      </c>
      <c r="Q438">
        <v>1</v>
      </c>
      <c r="R438">
        <v>3</v>
      </c>
      <c r="S438">
        <v>1</v>
      </c>
      <c r="U438" t="s">
        <v>51</v>
      </c>
      <c r="V438">
        <v>1</v>
      </c>
    </row>
    <row r="439" spans="2:22" x14ac:dyDescent="0.25">
      <c r="B439">
        <v>7</v>
      </c>
      <c r="C439">
        <f>IF(Adecco_India[[#This Row],[Attrition]]="Yes",1,0)</f>
        <v>0</v>
      </c>
      <c r="F439">
        <v>30</v>
      </c>
      <c r="G439">
        <v>2</v>
      </c>
      <c r="J439">
        <v>3</v>
      </c>
      <c r="K439">
        <v>3</v>
      </c>
      <c r="N439">
        <v>3</v>
      </c>
      <c r="O439">
        <v>2</v>
      </c>
      <c r="Q439">
        <v>1</v>
      </c>
      <c r="R439">
        <v>3</v>
      </c>
      <c r="S439">
        <v>1</v>
      </c>
      <c r="U439" t="s">
        <v>59</v>
      </c>
      <c r="V439">
        <v>1</v>
      </c>
    </row>
    <row r="440" spans="2:22" x14ac:dyDescent="0.25">
      <c r="B440">
        <v>16</v>
      </c>
      <c r="C440">
        <f>IF(Adecco_India[[#This Row],[Attrition]]="Yes",1,0)</f>
        <v>0</v>
      </c>
      <c r="F440">
        <v>35</v>
      </c>
      <c r="G440">
        <v>3</v>
      </c>
      <c r="J440">
        <v>3</v>
      </c>
      <c r="K440">
        <v>3</v>
      </c>
      <c r="N440">
        <v>8</v>
      </c>
      <c r="O440">
        <v>3</v>
      </c>
      <c r="Q440">
        <v>0</v>
      </c>
      <c r="R440">
        <v>3</v>
      </c>
      <c r="S440">
        <v>1</v>
      </c>
      <c r="U440" t="s">
        <v>38</v>
      </c>
      <c r="V440">
        <v>1</v>
      </c>
    </row>
    <row r="441" spans="2:22" x14ac:dyDescent="0.25">
      <c r="B441">
        <v>20</v>
      </c>
      <c r="C441">
        <f>IF(Adecco_India[[#This Row],[Attrition]]="Yes",1,0)</f>
        <v>1</v>
      </c>
      <c r="F441">
        <v>31</v>
      </c>
      <c r="G441">
        <v>3</v>
      </c>
      <c r="J441">
        <v>3</v>
      </c>
      <c r="K441">
        <v>3</v>
      </c>
      <c r="N441">
        <v>1</v>
      </c>
      <c r="O441">
        <v>3</v>
      </c>
      <c r="Q441">
        <v>0</v>
      </c>
      <c r="R441">
        <v>3</v>
      </c>
      <c r="S441">
        <v>1</v>
      </c>
      <c r="U441" t="s">
        <v>38</v>
      </c>
      <c r="V441">
        <v>1</v>
      </c>
    </row>
    <row r="442" spans="2:22" x14ac:dyDescent="0.25">
      <c r="B442">
        <v>23</v>
      </c>
      <c r="C442">
        <f>IF(Adecco_India[[#This Row],[Attrition]]="Yes",1,0)</f>
        <v>1</v>
      </c>
      <c r="F442">
        <v>34</v>
      </c>
      <c r="G442">
        <v>1</v>
      </c>
      <c r="J442">
        <v>3</v>
      </c>
      <c r="K442">
        <v>3</v>
      </c>
      <c r="N442">
        <v>3</v>
      </c>
      <c r="O442">
        <v>1</v>
      </c>
      <c r="Q442">
        <v>0</v>
      </c>
      <c r="R442">
        <v>3</v>
      </c>
      <c r="S442">
        <v>1</v>
      </c>
      <c r="U442" t="s">
        <v>61</v>
      </c>
      <c r="V442">
        <v>1</v>
      </c>
    </row>
    <row r="443" spans="2:22" x14ac:dyDescent="0.25">
      <c r="B443">
        <v>5</v>
      </c>
      <c r="C443">
        <f>IF(Adecco_India[[#This Row],[Attrition]]="Yes",1,0)</f>
        <v>0</v>
      </c>
      <c r="F443">
        <v>42</v>
      </c>
      <c r="G443">
        <v>3</v>
      </c>
      <c r="J443">
        <v>3</v>
      </c>
      <c r="K443">
        <v>3</v>
      </c>
      <c r="N443">
        <v>2</v>
      </c>
      <c r="O443">
        <v>3</v>
      </c>
      <c r="Q443">
        <v>2</v>
      </c>
      <c r="R443">
        <v>3</v>
      </c>
      <c r="S443">
        <v>1</v>
      </c>
      <c r="U443" t="s">
        <v>49</v>
      </c>
      <c r="V443">
        <v>1</v>
      </c>
    </row>
    <row r="444" spans="2:22" x14ac:dyDescent="0.25">
      <c r="B444">
        <v>10</v>
      </c>
      <c r="C444">
        <f>IF(Adecco_India[[#This Row],[Attrition]]="Yes",1,0)</f>
        <v>0</v>
      </c>
      <c r="F444">
        <v>36</v>
      </c>
      <c r="G444">
        <v>4</v>
      </c>
      <c r="J444">
        <v>2</v>
      </c>
      <c r="K444">
        <v>3</v>
      </c>
      <c r="N444">
        <v>10</v>
      </c>
      <c r="O444">
        <v>4</v>
      </c>
      <c r="Q444">
        <v>9</v>
      </c>
      <c r="R444">
        <v>3</v>
      </c>
      <c r="S444">
        <v>1</v>
      </c>
      <c r="U444" t="s">
        <v>51</v>
      </c>
      <c r="V444">
        <v>1</v>
      </c>
    </row>
    <row r="445" spans="2:22" x14ac:dyDescent="0.25">
      <c r="B445">
        <v>4</v>
      </c>
      <c r="C445">
        <f>IF(Adecco_India[[#This Row],[Attrition]]="Yes",1,0)</f>
        <v>1</v>
      </c>
      <c r="F445">
        <v>22</v>
      </c>
      <c r="G445">
        <v>3</v>
      </c>
      <c r="J445">
        <v>3</v>
      </c>
      <c r="K445">
        <v>3</v>
      </c>
      <c r="N445">
        <v>2</v>
      </c>
      <c r="O445">
        <v>3</v>
      </c>
      <c r="Q445">
        <v>1</v>
      </c>
      <c r="R445">
        <v>3</v>
      </c>
      <c r="S445">
        <v>1</v>
      </c>
      <c r="U445" t="s">
        <v>60</v>
      </c>
      <c r="V445">
        <v>1</v>
      </c>
    </row>
    <row r="446" spans="2:22" x14ac:dyDescent="0.25">
      <c r="B446">
        <v>2</v>
      </c>
      <c r="C446">
        <f>IF(Adecco_India[[#This Row],[Attrition]]="Yes",1,0)</f>
        <v>0</v>
      </c>
      <c r="F446">
        <v>48</v>
      </c>
      <c r="G446">
        <v>4</v>
      </c>
      <c r="J446">
        <v>3</v>
      </c>
      <c r="K446">
        <v>3</v>
      </c>
      <c r="N446">
        <v>9</v>
      </c>
      <c r="O446">
        <v>4</v>
      </c>
      <c r="Q446">
        <v>6</v>
      </c>
      <c r="R446">
        <v>3</v>
      </c>
      <c r="S446">
        <v>1</v>
      </c>
      <c r="U446" t="s">
        <v>59</v>
      </c>
      <c r="V446">
        <v>1</v>
      </c>
    </row>
    <row r="447" spans="2:22" x14ac:dyDescent="0.25">
      <c r="B447">
        <v>18</v>
      </c>
      <c r="C447">
        <f>IF(Adecco_India[[#This Row],[Attrition]]="Yes",1,0)</f>
        <v>0</v>
      </c>
      <c r="F447">
        <v>55</v>
      </c>
      <c r="G447">
        <v>2</v>
      </c>
      <c r="J447">
        <v>3</v>
      </c>
      <c r="K447">
        <v>4</v>
      </c>
      <c r="N447">
        <v>10</v>
      </c>
      <c r="O447">
        <v>2</v>
      </c>
      <c r="Q447">
        <v>7</v>
      </c>
      <c r="R447">
        <v>4</v>
      </c>
      <c r="S447">
        <v>1</v>
      </c>
      <c r="U447" t="s">
        <v>38</v>
      </c>
      <c r="V447">
        <v>1</v>
      </c>
    </row>
    <row r="448" spans="2:22" x14ac:dyDescent="0.25">
      <c r="B448">
        <v>10</v>
      </c>
      <c r="C448">
        <f>IF(Adecco_India[[#This Row],[Attrition]]="Yes",1,0)</f>
        <v>0</v>
      </c>
      <c r="F448">
        <v>41</v>
      </c>
      <c r="G448">
        <v>4</v>
      </c>
      <c r="J448">
        <v>3</v>
      </c>
      <c r="K448">
        <v>3</v>
      </c>
      <c r="N448">
        <v>14</v>
      </c>
      <c r="O448">
        <v>4</v>
      </c>
      <c r="Q448">
        <v>1</v>
      </c>
      <c r="R448">
        <v>3</v>
      </c>
      <c r="S448">
        <v>1</v>
      </c>
      <c r="U448" t="s">
        <v>38</v>
      </c>
      <c r="V448">
        <v>1</v>
      </c>
    </row>
    <row r="449" spans="2:22" x14ac:dyDescent="0.25">
      <c r="B449">
        <v>1</v>
      </c>
      <c r="C449">
        <f>IF(Adecco_India[[#This Row],[Attrition]]="Yes",1,0)</f>
        <v>0</v>
      </c>
      <c r="F449">
        <v>35</v>
      </c>
      <c r="G449">
        <v>3</v>
      </c>
      <c r="J449">
        <v>3</v>
      </c>
      <c r="K449">
        <v>3</v>
      </c>
      <c r="N449">
        <v>11</v>
      </c>
      <c r="O449">
        <v>3</v>
      </c>
      <c r="Q449">
        <v>6</v>
      </c>
      <c r="R449">
        <v>3</v>
      </c>
      <c r="S449">
        <v>1</v>
      </c>
      <c r="U449" t="s">
        <v>59</v>
      </c>
      <c r="V449">
        <v>1</v>
      </c>
    </row>
    <row r="450" spans="2:22" x14ac:dyDescent="0.25">
      <c r="B450">
        <v>6</v>
      </c>
      <c r="C450">
        <f>IF(Adecco_India[[#This Row],[Attrition]]="Yes",1,0)</f>
        <v>0</v>
      </c>
      <c r="F450">
        <v>40</v>
      </c>
      <c r="G450">
        <v>3</v>
      </c>
      <c r="J450">
        <v>3</v>
      </c>
      <c r="K450">
        <v>3</v>
      </c>
      <c r="N450">
        <v>20</v>
      </c>
      <c r="O450">
        <v>3</v>
      </c>
      <c r="Q450">
        <v>5</v>
      </c>
      <c r="R450">
        <v>3</v>
      </c>
      <c r="S450">
        <v>1</v>
      </c>
      <c r="U450" t="s">
        <v>38</v>
      </c>
      <c r="V450">
        <v>1</v>
      </c>
    </row>
    <row r="451" spans="2:22" x14ac:dyDescent="0.25">
      <c r="B451">
        <v>8</v>
      </c>
      <c r="C451">
        <f>IF(Adecco_India[[#This Row],[Attrition]]="Yes",1,0)</f>
        <v>0</v>
      </c>
      <c r="F451">
        <v>39</v>
      </c>
      <c r="G451">
        <v>3</v>
      </c>
      <c r="J451">
        <v>3</v>
      </c>
      <c r="K451">
        <v>3</v>
      </c>
      <c r="N451">
        <v>8</v>
      </c>
      <c r="O451">
        <v>3</v>
      </c>
      <c r="Q451">
        <v>0</v>
      </c>
      <c r="R451">
        <v>3</v>
      </c>
      <c r="S451">
        <v>1</v>
      </c>
      <c r="U451" t="s">
        <v>38</v>
      </c>
      <c r="V451">
        <v>1</v>
      </c>
    </row>
    <row r="452" spans="2:22" x14ac:dyDescent="0.25">
      <c r="B452">
        <v>2</v>
      </c>
      <c r="C452">
        <f>IF(Adecco_India[[#This Row],[Attrition]]="Yes",1,0)</f>
        <v>0</v>
      </c>
      <c r="F452">
        <v>31</v>
      </c>
      <c r="G452">
        <v>4</v>
      </c>
      <c r="J452">
        <v>4</v>
      </c>
      <c r="K452">
        <v>3</v>
      </c>
      <c r="N452">
        <v>6</v>
      </c>
      <c r="O452">
        <v>4</v>
      </c>
      <c r="Q452">
        <v>0</v>
      </c>
      <c r="R452">
        <v>3</v>
      </c>
      <c r="S452">
        <v>1</v>
      </c>
      <c r="U452" t="s">
        <v>38</v>
      </c>
      <c r="V452">
        <v>1</v>
      </c>
    </row>
    <row r="453" spans="2:22" x14ac:dyDescent="0.25">
      <c r="B453">
        <v>24</v>
      </c>
      <c r="C453">
        <f>IF(Adecco_India[[#This Row],[Attrition]]="Yes",1,0)</f>
        <v>0</v>
      </c>
      <c r="F453">
        <v>42</v>
      </c>
      <c r="G453">
        <v>1</v>
      </c>
      <c r="J453">
        <v>2</v>
      </c>
      <c r="K453">
        <v>4</v>
      </c>
      <c r="N453">
        <v>10</v>
      </c>
      <c r="O453">
        <v>1</v>
      </c>
      <c r="Q453">
        <v>5</v>
      </c>
      <c r="R453">
        <v>4</v>
      </c>
      <c r="S453">
        <v>1</v>
      </c>
      <c r="U453" t="s">
        <v>51</v>
      </c>
      <c r="V453">
        <v>1</v>
      </c>
    </row>
    <row r="454" spans="2:22" x14ac:dyDescent="0.25">
      <c r="B454">
        <v>2</v>
      </c>
      <c r="C454">
        <f>IF(Adecco_India[[#This Row],[Attrition]]="Yes",1,0)</f>
        <v>0</v>
      </c>
      <c r="F454">
        <v>45</v>
      </c>
      <c r="G454">
        <v>2</v>
      </c>
      <c r="J454">
        <v>4</v>
      </c>
      <c r="K454">
        <v>3</v>
      </c>
      <c r="N454">
        <v>8</v>
      </c>
      <c r="O454">
        <v>2</v>
      </c>
      <c r="Q454">
        <v>3</v>
      </c>
      <c r="R454">
        <v>3</v>
      </c>
      <c r="S454">
        <v>1</v>
      </c>
      <c r="U454" t="s">
        <v>49</v>
      </c>
      <c r="V454">
        <v>1</v>
      </c>
    </row>
    <row r="455" spans="2:22" x14ac:dyDescent="0.25">
      <c r="B455">
        <v>17</v>
      </c>
      <c r="C455">
        <f>IF(Adecco_India[[#This Row],[Attrition]]="Yes",1,0)</f>
        <v>1</v>
      </c>
      <c r="F455">
        <v>26</v>
      </c>
      <c r="G455">
        <v>3</v>
      </c>
      <c r="J455">
        <v>2</v>
      </c>
      <c r="K455">
        <v>3</v>
      </c>
      <c r="N455">
        <v>7</v>
      </c>
      <c r="O455">
        <v>3</v>
      </c>
      <c r="Q455">
        <v>1</v>
      </c>
      <c r="R455">
        <v>3</v>
      </c>
      <c r="S455">
        <v>1</v>
      </c>
      <c r="U455" t="s">
        <v>38</v>
      </c>
      <c r="V455">
        <v>1</v>
      </c>
    </row>
    <row r="456" spans="2:22" x14ac:dyDescent="0.25">
      <c r="B456">
        <v>19</v>
      </c>
      <c r="C456">
        <f>IF(Adecco_India[[#This Row],[Attrition]]="Yes",1,0)</f>
        <v>0</v>
      </c>
      <c r="F456">
        <v>29</v>
      </c>
      <c r="G456">
        <v>4</v>
      </c>
      <c r="J456">
        <v>4</v>
      </c>
      <c r="K456">
        <v>3</v>
      </c>
      <c r="N456">
        <v>3</v>
      </c>
      <c r="O456">
        <v>4</v>
      </c>
      <c r="Q456">
        <v>1</v>
      </c>
      <c r="R456">
        <v>3</v>
      </c>
      <c r="S456">
        <v>1</v>
      </c>
      <c r="U456" t="s">
        <v>60</v>
      </c>
      <c r="V456">
        <v>1</v>
      </c>
    </row>
    <row r="457" spans="2:22" x14ac:dyDescent="0.25">
      <c r="B457">
        <v>1</v>
      </c>
      <c r="C457">
        <f>IF(Adecco_India[[#This Row],[Attrition]]="Yes",1,0)</f>
        <v>0</v>
      </c>
      <c r="F457">
        <v>33</v>
      </c>
      <c r="G457">
        <v>3</v>
      </c>
      <c r="J457">
        <v>3</v>
      </c>
      <c r="K457">
        <v>3</v>
      </c>
      <c r="N457">
        <v>6</v>
      </c>
      <c r="O457">
        <v>3</v>
      </c>
      <c r="Q457">
        <v>0</v>
      </c>
      <c r="R457">
        <v>3</v>
      </c>
      <c r="S457">
        <v>1</v>
      </c>
      <c r="U457" t="s">
        <v>51</v>
      </c>
      <c r="V457">
        <v>1</v>
      </c>
    </row>
    <row r="458" spans="2:22" x14ac:dyDescent="0.25">
      <c r="B458">
        <v>7</v>
      </c>
      <c r="C458">
        <f>IF(Adecco_India[[#This Row],[Attrition]]="Yes",1,0)</f>
        <v>0</v>
      </c>
      <c r="F458">
        <v>31</v>
      </c>
      <c r="G458">
        <v>4</v>
      </c>
      <c r="J458">
        <v>2</v>
      </c>
      <c r="K458">
        <v>4</v>
      </c>
      <c r="N458">
        <v>5</v>
      </c>
      <c r="O458">
        <v>4</v>
      </c>
      <c r="Q458">
        <v>0</v>
      </c>
      <c r="R458">
        <v>4</v>
      </c>
      <c r="S458">
        <v>1</v>
      </c>
      <c r="U458" t="s">
        <v>38</v>
      </c>
      <c r="V458">
        <v>1</v>
      </c>
    </row>
    <row r="459" spans="2:22" x14ac:dyDescent="0.25">
      <c r="B459">
        <v>5</v>
      </c>
      <c r="C459">
        <f>IF(Adecco_India[[#This Row],[Attrition]]="Yes",1,0)</f>
        <v>1</v>
      </c>
      <c r="F459">
        <v>18</v>
      </c>
      <c r="G459">
        <v>2</v>
      </c>
      <c r="J459">
        <v>3</v>
      </c>
      <c r="K459">
        <v>3</v>
      </c>
      <c r="N459">
        <v>0</v>
      </c>
      <c r="O459">
        <v>2</v>
      </c>
      <c r="Q459">
        <v>0</v>
      </c>
      <c r="R459">
        <v>3</v>
      </c>
      <c r="S459">
        <v>1</v>
      </c>
      <c r="U459" t="s">
        <v>59</v>
      </c>
      <c r="V459">
        <v>1</v>
      </c>
    </row>
    <row r="460" spans="2:22" x14ac:dyDescent="0.25">
      <c r="B460">
        <v>28</v>
      </c>
      <c r="C460">
        <f>IF(Adecco_India[[#This Row],[Attrition]]="Yes",1,0)</f>
        <v>0</v>
      </c>
      <c r="F460">
        <v>40</v>
      </c>
      <c r="G460">
        <v>1</v>
      </c>
      <c r="J460">
        <v>3</v>
      </c>
      <c r="K460">
        <v>3</v>
      </c>
      <c r="N460">
        <v>1</v>
      </c>
      <c r="O460">
        <v>1</v>
      </c>
      <c r="Q460">
        <v>0</v>
      </c>
      <c r="R460">
        <v>3</v>
      </c>
      <c r="S460">
        <v>1</v>
      </c>
      <c r="U460" t="s">
        <v>49</v>
      </c>
      <c r="V460">
        <v>1</v>
      </c>
    </row>
    <row r="461" spans="2:22" x14ac:dyDescent="0.25">
      <c r="B461">
        <v>2</v>
      </c>
      <c r="C461">
        <f>IF(Adecco_India[[#This Row],[Attrition]]="Yes",1,0)</f>
        <v>0</v>
      </c>
      <c r="F461">
        <v>41</v>
      </c>
      <c r="G461">
        <v>3</v>
      </c>
      <c r="J461">
        <v>3</v>
      </c>
      <c r="K461">
        <v>3</v>
      </c>
      <c r="N461">
        <v>8</v>
      </c>
      <c r="O461">
        <v>3</v>
      </c>
      <c r="Q461">
        <v>0</v>
      </c>
      <c r="R461">
        <v>3</v>
      </c>
      <c r="S461">
        <v>1</v>
      </c>
      <c r="U461" t="s">
        <v>49</v>
      </c>
      <c r="V461">
        <v>1</v>
      </c>
    </row>
    <row r="462" spans="2:22" x14ac:dyDescent="0.25">
      <c r="B462">
        <v>29</v>
      </c>
      <c r="C462">
        <f>IF(Adecco_India[[#This Row],[Attrition]]="Yes",1,0)</f>
        <v>0</v>
      </c>
      <c r="F462">
        <v>26</v>
      </c>
      <c r="G462">
        <v>3</v>
      </c>
      <c r="J462">
        <v>3</v>
      </c>
      <c r="K462">
        <v>3</v>
      </c>
      <c r="N462">
        <v>0</v>
      </c>
      <c r="O462">
        <v>3</v>
      </c>
      <c r="Q462">
        <v>0</v>
      </c>
      <c r="R462">
        <v>3</v>
      </c>
      <c r="S462">
        <v>1</v>
      </c>
      <c r="U462" t="s">
        <v>51</v>
      </c>
      <c r="V462">
        <v>1</v>
      </c>
    </row>
    <row r="463" spans="2:22" x14ac:dyDescent="0.25">
      <c r="B463">
        <v>1</v>
      </c>
      <c r="C463">
        <f>IF(Adecco_India[[#This Row],[Attrition]]="Yes",1,0)</f>
        <v>0</v>
      </c>
      <c r="F463">
        <v>35</v>
      </c>
      <c r="G463">
        <v>3</v>
      </c>
      <c r="J463">
        <v>3</v>
      </c>
      <c r="K463">
        <v>3</v>
      </c>
      <c r="N463">
        <v>5</v>
      </c>
      <c r="O463">
        <v>3</v>
      </c>
      <c r="Q463">
        <v>0</v>
      </c>
      <c r="R463">
        <v>3</v>
      </c>
      <c r="S463">
        <v>1</v>
      </c>
      <c r="U463" t="s">
        <v>51</v>
      </c>
      <c r="V463">
        <v>1</v>
      </c>
    </row>
    <row r="464" spans="2:22" x14ac:dyDescent="0.25">
      <c r="B464">
        <v>21</v>
      </c>
      <c r="C464">
        <f>IF(Adecco_India[[#This Row],[Attrition]]="Yes",1,0)</f>
        <v>0</v>
      </c>
      <c r="F464">
        <v>34</v>
      </c>
      <c r="G464">
        <v>4</v>
      </c>
      <c r="J464">
        <v>3</v>
      </c>
      <c r="K464">
        <v>3</v>
      </c>
      <c r="N464">
        <v>10</v>
      </c>
      <c r="O464">
        <v>4</v>
      </c>
      <c r="Q464">
        <v>5</v>
      </c>
      <c r="R464">
        <v>3</v>
      </c>
      <c r="S464">
        <v>1</v>
      </c>
      <c r="U464" t="s">
        <v>38</v>
      </c>
      <c r="V464">
        <v>1</v>
      </c>
    </row>
    <row r="465" spans="2:22" x14ac:dyDescent="0.25">
      <c r="B465">
        <v>24</v>
      </c>
      <c r="C465">
        <f>IF(Adecco_India[[#This Row],[Attrition]]="Yes",1,0)</f>
        <v>1</v>
      </c>
      <c r="F465">
        <v>26</v>
      </c>
      <c r="G465">
        <v>4</v>
      </c>
      <c r="J465">
        <v>1</v>
      </c>
      <c r="K465">
        <v>3</v>
      </c>
      <c r="N465">
        <v>1</v>
      </c>
      <c r="O465">
        <v>4</v>
      </c>
      <c r="Q465">
        <v>0</v>
      </c>
      <c r="R465">
        <v>3</v>
      </c>
      <c r="S465">
        <v>1</v>
      </c>
      <c r="U465" t="s">
        <v>60</v>
      </c>
      <c r="V465">
        <v>1</v>
      </c>
    </row>
    <row r="466" spans="2:22" x14ac:dyDescent="0.25">
      <c r="B466">
        <v>1</v>
      </c>
      <c r="C466">
        <f>IF(Adecco_India[[#This Row],[Attrition]]="Yes",1,0)</f>
        <v>0</v>
      </c>
      <c r="F466">
        <v>37</v>
      </c>
      <c r="G466">
        <v>4</v>
      </c>
      <c r="J466">
        <v>4</v>
      </c>
      <c r="K466">
        <v>3</v>
      </c>
      <c r="N466">
        <v>6</v>
      </c>
      <c r="O466">
        <v>4</v>
      </c>
      <c r="Q466">
        <v>1</v>
      </c>
      <c r="R466">
        <v>3</v>
      </c>
      <c r="S466">
        <v>1</v>
      </c>
      <c r="U466" t="s">
        <v>60</v>
      </c>
      <c r="V466">
        <v>1</v>
      </c>
    </row>
    <row r="467" spans="2:22" x14ac:dyDescent="0.25">
      <c r="B467">
        <v>18</v>
      </c>
      <c r="C467">
        <f>IF(Adecco_India[[#This Row],[Attrition]]="Yes",1,0)</f>
        <v>0</v>
      </c>
      <c r="F467">
        <v>46</v>
      </c>
      <c r="G467">
        <v>3</v>
      </c>
      <c r="J467">
        <v>2</v>
      </c>
      <c r="K467">
        <v>3</v>
      </c>
      <c r="N467">
        <v>2</v>
      </c>
      <c r="O467">
        <v>3</v>
      </c>
      <c r="Q467">
        <v>1</v>
      </c>
      <c r="R467">
        <v>3</v>
      </c>
      <c r="S467">
        <v>1</v>
      </c>
      <c r="U467" t="s">
        <v>51</v>
      </c>
      <c r="V467">
        <v>1</v>
      </c>
    </row>
    <row r="468" spans="2:22" x14ac:dyDescent="0.25">
      <c r="B468">
        <v>2</v>
      </c>
      <c r="C468">
        <f>IF(Adecco_India[[#This Row],[Attrition]]="Yes",1,0)</f>
        <v>0</v>
      </c>
      <c r="F468">
        <v>41</v>
      </c>
      <c r="G468">
        <v>1</v>
      </c>
      <c r="J468">
        <v>3</v>
      </c>
      <c r="K468">
        <v>3</v>
      </c>
      <c r="N468">
        <v>18</v>
      </c>
      <c r="O468">
        <v>1</v>
      </c>
      <c r="Q468">
        <v>11</v>
      </c>
      <c r="R468">
        <v>3</v>
      </c>
      <c r="S468">
        <v>1</v>
      </c>
      <c r="U468" t="s">
        <v>38</v>
      </c>
      <c r="V468">
        <v>1</v>
      </c>
    </row>
    <row r="469" spans="2:22" x14ac:dyDescent="0.25">
      <c r="B469">
        <v>9</v>
      </c>
      <c r="C469">
        <f>IF(Adecco_India[[#This Row],[Attrition]]="Yes",1,0)</f>
        <v>0</v>
      </c>
      <c r="F469">
        <v>37</v>
      </c>
      <c r="G469">
        <v>2</v>
      </c>
      <c r="J469">
        <v>3</v>
      </c>
      <c r="K469">
        <v>3</v>
      </c>
      <c r="N469">
        <v>9</v>
      </c>
      <c r="O469">
        <v>2</v>
      </c>
      <c r="Q469">
        <v>7</v>
      </c>
      <c r="R469">
        <v>3</v>
      </c>
      <c r="S469">
        <v>1</v>
      </c>
      <c r="U469" t="s">
        <v>51</v>
      </c>
      <c r="V469">
        <v>1</v>
      </c>
    </row>
    <row r="470" spans="2:22" x14ac:dyDescent="0.25">
      <c r="B470">
        <v>6</v>
      </c>
      <c r="C470">
        <f>IF(Adecco_India[[#This Row],[Attrition]]="Yes",1,0)</f>
        <v>0</v>
      </c>
      <c r="F470">
        <v>52</v>
      </c>
      <c r="G470">
        <v>1</v>
      </c>
      <c r="J470">
        <v>3</v>
      </c>
      <c r="K470">
        <v>3</v>
      </c>
      <c r="N470">
        <v>10</v>
      </c>
      <c r="O470">
        <v>1</v>
      </c>
      <c r="Q470">
        <v>6</v>
      </c>
      <c r="R470">
        <v>3</v>
      </c>
      <c r="S470">
        <v>1</v>
      </c>
      <c r="U470" t="s">
        <v>60</v>
      </c>
      <c r="V470">
        <v>1</v>
      </c>
    </row>
    <row r="471" spans="2:22" x14ac:dyDescent="0.25">
      <c r="B471">
        <v>11</v>
      </c>
      <c r="C471">
        <f>IF(Adecco_India[[#This Row],[Attrition]]="Yes",1,0)</f>
        <v>1</v>
      </c>
      <c r="F471">
        <v>32</v>
      </c>
      <c r="G471">
        <v>3</v>
      </c>
      <c r="J471">
        <v>3</v>
      </c>
      <c r="K471">
        <v>3</v>
      </c>
      <c r="N471">
        <v>4</v>
      </c>
      <c r="O471">
        <v>3</v>
      </c>
      <c r="Q471">
        <v>1</v>
      </c>
      <c r="R471">
        <v>3</v>
      </c>
      <c r="S471">
        <v>1</v>
      </c>
      <c r="U471" t="s">
        <v>49</v>
      </c>
      <c r="V471">
        <v>1</v>
      </c>
    </row>
    <row r="472" spans="2:22" x14ac:dyDescent="0.25">
      <c r="B472">
        <v>24</v>
      </c>
      <c r="C472">
        <f>IF(Adecco_India[[#This Row],[Attrition]]="Yes",1,0)</f>
        <v>0</v>
      </c>
      <c r="F472">
        <v>24</v>
      </c>
      <c r="G472">
        <v>4</v>
      </c>
      <c r="J472">
        <v>3</v>
      </c>
      <c r="K472">
        <v>3</v>
      </c>
      <c r="N472">
        <v>2</v>
      </c>
      <c r="O472">
        <v>4</v>
      </c>
      <c r="Q472">
        <v>2</v>
      </c>
      <c r="R472">
        <v>3</v>
      </c>
      <c r="S472">
        <v>1</v>
      </c>
      <c r="U472" t="s">
        <v>51</v>
      </c>
      <c r="V472">
        <v>1</v>
      </c>
    </row>
    <row r="473" spans="2:22" x14ac:dyDescent="0.25">
      <c r="B473">
        <v>10</v>
      </c>
      <c r="C473">
        <f>IF(Adecco_India[[#This Row],[Attrition]]="Yes",1,0)</f>
        <v>0</v>
      </c>
      <c r="F473">
        <v>38</v>
      </c>
      <c r="G473">
        <v>3</v>
      </c>
      <c r="J473">
        <v>3</v>
      </c>
      <c r="K473">
        <v>3</v>
      </c>
      <c r="N473">
        <v>1</v>
      </c>
      <c r="O473">
        <v>3</v>
      </c>
      <c r="Q473">
        <v>0</v>
      </c>
      <c r="R473">
        <v>3</v>
      </c>
      <c r="S473">
        <v>1</v>
      </c>
      <c r="U473" t="s">
        <v>51</v>
      </c>
      <c r="V473">
        <v>1</v>
      </c>
    </row>
    <row r="474" spans="2:22" x14ac:dyDescent="0.25">
      <c r="B474">
        <v>1</v>
      </c>
      <c r="C474">
        <f>IF(Adecco_India[[#This Row],[Attrition]]="Yes",1,0)</f>
        <v>0</v>
      </c>
      <c r="F474">
        <v>37</v>
      </c>
      <c r="G474">
        <v>2</v>
      </c>
      <c r="J474">
        <v>2</v>
      </c>
      <c r="K474">
        <v>3</v>
      </c>
      <c r="N474">
        <v>6</v>
      </c>
      <c r="O474">
        <v>2</v>
      </c>
      <c r="Q474">
        <v>4</v>
      </c>
      <c r="R474">
        <v>3</v>
      </c>
      <c r="S474">
        <v>1</v>
      </c>
      <c r="U474" t="s">
        <v>38</v>
      </c>
      <c r="V474">
        <v>1</v>
      </c>
    </row>
    <row r="475" spans="2:22" x14ac:dyDescent="0.25">
      <c r="B475">
        <v>18</v>
      </c>
      <c r="C475">
        <f>IF(Adecco_India[[#This Row],[Attrition]]="Yes",1,0)</f>
        <v>0</v>
      </c>
      <c r="F475">
        <v>49</v>
      </c>
      <c r="G475">
        <v>3</v>
      </c>
      <c r="J475">
        <v>3</v>
      </c>
      <c r="K475">
        <v>3</v>
      </c>
      <c r="N475">
        <v>31</v>
      </c>
      <c r="O475">
        <v>3</v>
      </c>
      <c r="Q475">
        <v>0</v>
      </c>
      <c r="R475">
        <v>3</v>
      </c>
      <c r="S475">
        <v>1</v>
      </c>
      <c r="U475" t="s">
        <v>38</v>
      </c>
      <c r="V475">
        <v>1</v>
      </c>
    </row>
    <row r="476" spans="2:22" x14ac:dyDescent="0.25">
      <c r="B476">
        <v>23</v>
      </c>
      <c r="C476">
        <f>IF(Adecco_India[[#This Row],[Attrition]]="Yes",1,0)</f>
        <v>0</v>
      </c>
      <c r="F476">
        <v>24</v>
      </c>
      <c r="G476">
        <v>4</v>
      </c>
      <c r="J476">
        <v>3</v>
      </c>
      <c r="K476">
        <v>3</v>
      </c>
      <c r="N476">
        <v>6</v>
      </c>
      <c r="O476">
        <v>4</v>
      </c>
      <c r="Q476">
        <v>1</v>
      </c>
      <c r="R476">
        <v>3</v>
      </c>
      <c r="S476">
        <v>1</v>
      </c>
      <c r="U476" t="s">
        <v>51</v>
      </c>
      <c r="V476">
        <v>1</v>
      </c>
    </row>
    <row r="477" spans="2:22" x14ac:dyDescent="0.25">
      <c r="B477">
        <v>28</v>
      </c>
      <c r="C477">
        <f>IF(Adecco_India[[#This Row],[Attrition]]="Yes",1,0)</f>
        <v>0</v>
      </c>
      <c r="F477">
        <v>26</v>
      </c>
      <c r="G477">
        <v>2</v>
      </c>
      <c r="J477">
        <v>4</v>
      </c>
      <c r="K477">
        <v>4</v>
      </c>
      <c r="N477">
        <v>5</v>
      </c>
      <c r="O477">
        <v>2</v>
      </c>
      <c r="Q477">
        <v>1</v>
      </c>
      <c r="R477">
        <v>4</v>
      </c>
      <c r="S477">
        <v>1</v>
      </c>
      <c r="U477" t="s">
        <v>59</v>
      </c>
      <c r="V477">
        <v>1</v>
      </c>
    </row>
    <row r="478" spans="2:22" x14ac:dyDescent="0.25">
      <c r="B478">
        <v>17</v>
      </c>
      <c r="C478">
        <f>IF(Adecco_India[[#This Row],[Attrition]]="Yes",1,0)</f>
        <v>0</v>
      </c>
      <c r="F478">
        <v>24</v>
      </c>
      <c r="G478">
        <v>2</v>
      </c>
      <c r="J478">
        <v>3</v>
      </c>
      <c r="K478">
        <v>4</v>
      </c>
      <c r="N478">
        <v>1</v>
      </c>
      <c r="O478">
        <v>2</v>
      </c>
      <c r="Q478">
        <v>0</v>
      </c>
      <c r="R478">
        <v>4</v>
      </c>
      <c r="S478">
        <v>1</v>
      </c>
      <c r="U478" t="s">
        <v>49</v>
      </c>
      <c r="V478">
        <v>1</v>
      </c>
    </row>
    <row r="479" spans="2:22" x14ac:dyDescent="0.25">
      <c r="B479">
        <v>3</v>
      </c>
      <c r="C479">
        <f>IF(Adecco_India[[#This Row],[Attrition]]="Yes",1,0)</f>
        <v>0</v>
      </c>
      <c r="F479">
        <v>50</v>
      </c>
      <c r="G479">
        <v>2</v>
      </c>
      <c r="J479">
        <v>3</v>
      </c>
      <c r="K479">
        <v>3</v>
      </c>
      <c r="N479">
        <v>32</v>
      </c>
      <c r="O479">
        <v>2</v>
      </c>
      <c r="Q479">
        <v>10</v>
      </c>
      <c r="R479">
        <v>3</v>
      </c>
      <c r="S479">
        <v>1</v>
      </c>
      <c r="U479" t="s">
        <v>51</v>
      </c>
      <c r="V479">
        <v>1</v>
      </c>
    </row>
    <row r="480" spans="2:22" x14ac:dyDescent="0.25">
      <c r="B480">
        <v>13</v>
      </c>
      <c r="C480">
        <f>IF(Adecco_India[[#This Row],[Attrition]]="Yes",1,0)</f>
        <v>0</v>
      </c>
      <c r="F480">
        <v>25</v>
      </c>
      <c r="G480">
        <v>3</v>
      </c>
      <c r="J480">
        <v>3</v>
      </c>
      <c r="K480">
        <v>3</v>
      </c>
      <c r="N480">
        <v>7</v>
      </c>
      <c r="O480">
        <v>3</v>
      </c>
      <c r="Q480">
        <v>0</v>
      </c>
      <c r="R480">
        <v>3</v>
      </c>
      <c r="S480">
        <v>1</v>
      </c>
      <c r="U480" t="s">
        <v>51</v>
      </c>
      <c r="V480">
        <v>1</v>
      </c>
    </row>
    <row r="481" spans="2:22" x14ac:dyDescent="0.25">
      <c r="B481">
        <v>7</v>
      </c>
      <c r="C481">
        <f>IF(Adecco_India[[#This Row],[Attrition]]="Yes",1,0)</f>
        <v>1</v>
      </c>
      <c r="F481">
        <v>24</v>
      </c>
      <c r="G481">
        <v>3</v>
      </c>
      <c r="J481">
        <v>3</v>
      </c>
      <c r="K481">
        <v>3</v>
      </c>
      <c r="N481">
        <v>6</v>
      </c>
      <c r="O481">
        <v>3</v>
      </c>
      <c r="Q481">
        <v>1</v>
      </c>
      <c r="R481">
        <v>3</v>
      </c>
      <c r="S481">
        <v>1</v>
      </c>
      <c r="U481" t="s">
        <v>38</v>
      </c>
      <c r="V481">
        <v>1</v>
      </c>
    </row>
    <row r="482" spans="2:22" x14ac:dyDescent="0.25">
      <c r="B482">
        <v>12</v>
      </c>
      <c r="C482">
        <f>IF(Adecco_India[[#This Row],[Attrition]]="Yes",1,0)</f>
        <v>1</v>
      </c>
      <c r="F482">
        <v>30</v>
      </c>
      <c r="G482">
        <v>1</v>
      </c>
      <c r="J482">
        <v>4</v>
      </c>
      <c r="K482">
        <v>3</v>
      </c>
      <c r="N482">
        <v>1</v>
      </c>
      <c r="O482">
        <v>1</v>
      </c>
      <c r="Q482">
        <v>0</v>
      </c>
      <c r="R482">
        <v>3</v>
      </c>
      <c r="S482">
        <v>1</v>
      </c>
      <c r="U482" t="s">
        <v>38</v>
      </c>
      <c r="V482">
        <v>1</v>
      </c>
    </row>
    <row r="483" spans="2:22" x14ac:dyDescent="0.25">
      <c r="B483">
        <v>1</v>
      </c>
      <c r="C483">
        <f>IF(Adecco_India[[#This Row],[Attrition]]="Yes",1,0)</f>
        <v>0</v>
      </c>
      <c r="F483">
        <v>34</v>
      </c>
      <c r="G483">
        <v>4</v>
      </c>
      <c r="J483">
        <v>3</v>
      </c>
      <c r="K483">
        <v>3</v>
      </c>
      <c r="N483">
        <v>6</v>
      </c>
      <c r="O483">
        <v>4</v>
      </c>
      <c r="Q483">
        <v>1</v>
      </c>
      <c r="R483">
        <v>3</v>
      </c>
      <c r="S483">
        <v>1</v>
      </c>
      <c r="U483" t="s">
        <v>38</v>
      </c>
      <c r="V483">
        <v>1</v>
      </c>
    </row>
    <row r="484" spans="2:22" x14ac:dyDescent="0.25">
      <c r="B484">
        <v>13</v>
      </c>
      <c r="C484">
        <f>IF(Adecco_India[[#This Row],[Attrition]]="Yes",1,0)</f>
        <v>1</v>
      </c>
      <c r="F484">
        <v>31</v>
      </c>
      <c r="G484">
        <v>1</v>
      </c>
      <c r="J484">
        <v>1</v>
      </c>
      <c r="K484">
        <v>3</v>
      </c>
      <c r="N484">
        <v>3</v>
      </c>
      <c r="O484">
        <v>1</v>
      </c>
      <c r="Q484">
        <v>1</v>
      </c>
      <c r="R484">
        <v>3</v>
      </c>
      <c r="S484">
        <v>1</v>
      </c>
      <c r="U484" t="s">
        <v>51</v>
      </c>
      <c r="V484">
        <v>1</v>
      </c>
    </row>
    <row r="485" spans="2:22" x14ac:dyDescent="0.25">
      <c r="B485">
        <v>25</v>
      </c>
      <c r="C485">
        <f>IF(Adecco_India[[#This Row],[Attrition]]="Yes",1,0)</f>
        <v>0</v>
      </c>
      <c r="F485">
        <v>35</v>
      </c>
      <c r="G485">
        <v>4</v>
      </c>
      <c r="J485">
        <v>3</v>
      </c>
      <c r="K485">
        <v>3</v>
      </c>
      <c r="N485">
        <v>3</v>
      </c>
      <c r="O485">
        <v>4</v>
      </c>
      <c r="Q485">
        <v>0</v>
      </c>
      <c r="R485">
        <v>3</v>
      </c>
      <c r="S485">
        <v>1</v>
      </c>
      <c r="U485" t="s">
        <v>49</v>
      </c>
      <c r="V485">
        <v>1</v>
      </c>
    </row>
    <row r="486" spans="2:22" x14ac:dyDescent="0.25">
      <c r="B486">
        <v>6</v>
      </c>
      <c r="C486">
        <f>IF(Adecco_India[[#This Row],[Attrition]]="Yes",1,0)</f>
        <v>0</v>
      </c>
      <c r="F486">
        <v>31</v>
      </c>
      <c r="G486">
        <v>4</v>
      </c>
      <c r="J486">
        <v>4</v>
      </c>
      <c r="K486">
        <v>4</v>
      </c>
      <c r="N486">
        <v>7</v>
      </c>
      <c r="O486">
        <v>4</v>
      </c>
      <c r="Q486">
        <v>5</v>
      </c>
      <c r="R486">
        <v>4</v>
      </c>
      <c r="S486">
        <v>1</v>
      </c>
      <c r="U486" t="s">
        <v>51</v>
      </c>
      <c r="V486">
        <v>1</v>
      </c>
    </row>
    <row r="487" spans="2:22" x14ac:dyDescent="0.25">
      <c r="B487">
        <v>6</v>
      </c>
      <c r="C487">
        <f>IF(Adecco_India[[#This Row],[Attrition]]="Yes",1,0)</f>
        <v>0</v>
      </c>
      <c r="F487">
        <v>27</v>
      </c>
      <c r="G487">
        <v>3</v>
      </c>
      <c r="J487">
        <v>2</v>
      </c>
      <c r="K487">
        <v>3</v>
      </c>
      <c r="N487">
        <v>5</v>
      </c>
      <c r="O487">
        <v>3</v>
      </c>
      <c r="Q487">
        <v>0</v>
      </c>
      <c r="R487">
        <v>3</v>
      </c>
      <c r="S487">
        <v>1</v>
      </c>
      <c r="U487" t="s">
        <v>51</v>
      </c>
      <c r="V487">
        <v>1</v>
      </c>
    </row>
    <row r="488" spans="2:22" x14ac:dyDescent="0.25">
      <c r="B488">
        <v>2</v>
      </c>
      <c r="C488">
        <f>IF(Adecco_India[[#This Row],[Attrition]]="Yes",1,0)</f>
        <v>0</v>
      </c>
      <c r="F488">
        <v>37</v>
      </c>
      <c r="G488">
        <v>3</v>
      </c>
      <c r="J488">
        <v>2</v>
      </c>
      <c r="K488">
        <v>3</v>
      </c>
      <c r="N488">
        <v>3</v>
      </c>
      <c r="O488">
        <v>3</v>
      </c>
      <c r="Q488">
        <v>1</v>
      </c>
      <c r="R488">
        <v>3</v>
      </c>
      <c r="S488">
        <v>1</v>
      </c>
      <c r="U488" t="s">
        <v>59</v>
      </c>
      <c r="V488">
        <v>1</v>
      </c>
    </row>
    <row r="489" spans="2:22" x14ac:dyDescent="0.25">
      <c r="B489">
        <v>1</v>
      </c>
      <c r="C489">
        <f>IF(Adecco_India[[#This Row],[Attrition]]="Yes",1,0)</f>
        <v>0</v>
      </c>
      <c r="F489">
        <v>20</v>
      </c>
      <c r="G489">
        <v>2</v>
      </c>
      <c r="J489">
        <v>4</v>
      </c>
      <c r="K489">
        <v>3</v>
      </c>
      <c r="N489">
        <v>1</v>
      </c>
      <c r="O489">
        <v>2</v>
      </c>
      <c r="Q489">
        <v>0</v>
      </c>
      <c r="R489">
        <v>3</v>
      </c>
      <c r="S489">
        <v>1</v>
      </c>
      <c r="U489" t="s">
        <v>38</v>
      </c>
      <c r="V489">
        <v>1</v>
      </c>
    </row>
    <row r="490" spans="2:22" x14ac:dyDescent="0.25">
      <c r="B490">
        <v>2</v>
      </c>
      <c r="C490">
        <f>IF(Adecco_India[[#This Row],[Attrition]]="Yes",1,0)</f>
        <v>0</v>
      </c>
      <c r="F490">
        <v>42</v>
      </c>
      <c r="G490">
        <v>4</v>
      </c>
      <c r="J490">
        <v>3</v>
      </c>
      <c r="K490">
        <v>3</v>
      </c>
      <c r="N490">
        <v>10</v>
      </c>
      <c r="O490">
        <v>4</v>
      </c>
      <c r="Q490">
        <v>2</v>
      </c>
      <c r="R490">
        <v>3</v>
      </c>
      <c r="S490">
        <v>1</v>
      </c>
      <c r="U490" t="s">
        <v>38</v>
      </c>
      <c r="V490">
        <v>1</v>
      </c>
    </row>
    <row r="491" spans="2:22" x14ac:dyDescent="0.25">
      <c r="B491">
        <v>6</v>
      </c>
      <c r="C491">
        <f>IF(Adecco_India[[#This Row],[Attrition]]="Yes",1,0)</f>
        <v>0</v>
      </c>
      <c r="F491">
        <v>43</v>
      </c>
      <c r="G491">
        <v>4</v>
      </c>
      <c r="J491">
        <v>2</v>
      </c>
      <c r="K491">
        <v>3</v>
      </c>
      <c r="N491">
        <v>1</v>
      </c>
      <c r="O491">
        <v>4</v>
      </c>
      <c r="Q491">
        <v>0</v>
      </c>
      <c r="R491">
        <v>3</v>
      </c>
      <c r="S491">
        <v>1</v>
      </c>
      <c r="U491" t="s">
        <v>49</v>
      </c>
      <c r="V491">
        <v>1</v>
      </c>
    </row>
    <row r="492" spans="2:22" x14ac:dyDescent="0.25">
      <c r="B492">
        <v>1</v>
      </c>
      <c r="C492">
        <f>IF(Adecco_India[[#This Row],[Attrition]]="Yes",1,0)</f>
        <v>0</v>
      </c>
      <c r="F492">
        <v>38</v>
      </c>
      <c r="G492">
        <v>1</v>
      </c>
      <c r="J492">
        <v>2</v>
      </c>
      <c r="K492">
        <v>3</v>
      </c>
      <c r="N492">
        <v>0</v>
      </c>
      <c r="O492">
        <v>1</v>
      </c>
      <c r="Q492">
        <v>0</v>
      </c>
      <c r="R492">
        <v>3</v>
      </c>
      <c r="S492">
        <v>1</v>
      </c>
      <c r="U492" t="s">
        <v>38</v>
      </c>
      <c r="V492">
        <v>1</v>
      </c>
    </row>
    <row r="493" spans="2:22" x14ac:dyDescent="0.25">
      <c r="B493">
        <v>9</v>
      </c>
      <c r="C493">
        <f>IF(Adecco_India[[#This Row],[Attrition]]="Yes",1,0)</f>
        <v>0</v>
      </c>
      <c r="F493">
        <v>43</v>
      </c>
      <c r="G493">
        <v>3</v>
      </c>
      <c r="J493">
        <v>3</v>
      </c>
      <c r="K493">
        <v>3</v>
      </c>
      <c r="N493">
        <v>8</v>
      </c>
      <c r="O493">
        <v>3</v>
      </c>
      <c r="Q493">
        <v>4</v>
      </c>
      <c r="R493">
        <v>3</v>
      </c>
      <c r="S493">
        <v>1</v>
      </c>
      <c r="U493" t="s">
        <v>51</v>
      </c>
      <c r="V493">
        <v>1</v>
      </c>
    </row>
    <row r="494" spans="2:22" x14ac:dyDescent="0.25">
      <c r="B494">
        <v>1</v>
      </c>
      <c r="C494">
        <f>IF(Adecco_India[[#This Row],[Attrition]]="Yes",1,0)</f>
        <v>0</v>
      </c>
      <c r="F494">
        <v>48</v>
      </c>
      <c r="G494">
        <v>1</v>
      </c>
      <c r="J494">
        <v>1</v>
      </c>
      <c r="K494">
        <v>3</v>
      </c>
      <c r="N494">
        <v>3</v>
      </c>
      <c r="O494">
        <v>1</v>
      </c>
      <c r="Q494">
        <v>0</v>
      </c>
      <c r="R494">
        <v>3</v>
      </c>
      <c r="S494">
        <v>1</v>
      </c>
      <c r="U494" t="s">
        <v>38</v>
      </c>
      <c r="V494">
        <v>1</v>
      </c>
    </row>
    <row r="495" spans="2:22" x14ac:dyDescent="0.25">
      <c r="B495">
        <v>1</v>
      </c>
      <c r="C495">
        <f>IF(Adecco_India[[#This Row],[Attrition]]="Yes",1,0)</f>
        <v>0</v>
      </c>
      <c r="F495">
        <v>44</v>
      </c>
      <c r="G495">
        <v>3</v>
      </c>
      <c r="J495">
        <v>4</v>
      </c>
      <c r="K495">
        <v>3</v>
      </c>
      <c r="N495">
        <v>2</v>
      </c>
      <c r="O495">
        <v>3</v>
      </c>
      <c r="Q495">
        <v>0</v>
      </c>
      <c r="R495">
        <v>3</v>
      </c>
      <c r="S495">
        <v>1</v>
      </c>
      <c r="U495" t="s">
        <v>38</v>
      </c>
      <c r="V495">
        <v>1</v>
      </c>
    </row>
    <row r="496" spans="2:22" x14ac:dyDescent="0.25">
      <c r="B496">
        <v>14</v>
      </c>
      <c r="C496">
        <f>IF(Adecco_India[[#This Row],[Attrition]]="Yes",1,0)</f>
        <v>0</v>
      </c>
      <c r="F496">
        <v>34</v>
      </c>
      <c r="G496">
        <v>3</v>
      </c>
      <c r="J496">
        <v>3</v>
      </c>
      <c r="K496">
        <v>3</v>
      </c>
      <c r="N496">
        <v>8</v>
      </c>
      <c r="O496">
        <v>3</v>
      </c>
      <c r="Q496">
        <v>0</v>
      </c>
      <c r="R496">
        <v>3</v>
      </c>
      <c r="S496">
        <v>1</v>
      </c>
      <c r="U496" t="s">
        <v>60</v>
      </c>
      <c r="V496">
        <v>1</v>
      </c>
    </row>
    <row r="497" spans="2:22" x14ac:dyDescent="0.25">
      <c r="B497">
        <v>2</v>
      </c>
      <c r="C497">
        <f>IF(Adecco_India[[#This Row],[Attrition]]="Yes",1,0)</f>
        <v>1</v>
      </c>
      <c r="F497">
        <v>27</v>
      </c>
      <c r="G497">
        <v>1</v>
      </c>
      <c r="J497">
        <v>3</v>
      </c>
      <c r="K497">
        <v>3</v>
      </c>
      <c r="N497">
        <v>4</v>
      </c>
      <c r="O497">
        <v>1</v>
      </c>
      <c r="Q497">
        <v>0</v>
      </c>
      <c r="R497">
        <v>3</v>
      </c>
      <c r="S497">
        <v>1</v>
      </c>
      <c r="U497" t="s">
        <v>59</v>
      </c>
      <c r="V497">
        <v>1</v>
      </c>
    </row>
    <row r="498" spans="2:22" x14ac:dyDescent="0.25">
      <c r="B498">
        <v>22</v>
      </c>
      <c r="C498">
        <f>IF(Adecco_India[[#This Row],[Attrition]]="Yes",1,0)</f>
        <v>0</v>
      </c>
      <c r="F498">
        <v>21</v>
      </c>
      <c r="G498">
        <v>3</v>
      </c>
      <c r="J498">
        <v>3</v>
      </c>
      <c r="K498">
        <v>3</v>
      </c>
      <c r="N498">
        <v>3</v>
      </c>
      <c r="O498">
        <v>3</v>
      </c>
      <c r="Q498">
        <v>1</v>
      </c>
      <c r="R498">
        <v>3</v>
      </c>
      <c r="S498">
        <v>1</v>
      </c>
      <c r="U498" t="s">
        <v>60</v>
      </c>
      <c r="V498">
        <v>1</v>
      </c>
    </row>
    <row r="499" spans="2:22" x14ac:dyDescent="0.25">
      <c r="B499">
        <v>3</v>
      </c>
      <c r="C499">
        <f>IF(Adecco_India[[#This Row],[Attrition]]="Yes",1,0)</f>
        <v>0</v>
      </c>
      <c r="F499">
        <v>44</v>
      </c>
      <c r="G499">
        <v>4</v>
      </c>
      <c r="J499">
        <v>4</v>
      </c>
      <c r="K499">
        <v>3</v>
      </c>
      <c r="N499">
        <v>2</v>
      </c>
      <c r="O499">
        <v>4</v>
      </c>
      <c r="Q499">
        <v>0</v>
      </c>
      <c r="R499">
        <v>3</v>
      </c>
      <c r="S499">
        <v>1</v>
      </c>
      <c r="U499" t="s">
        <v>49</v>
      </c>
      <c r="V499">
        <v>1</v>
      </c>
    </row>
    <row r="500" spans="2:22" x14ac:dyDescent="0.25">
      <c r="B500">
        <v>6</v>
      </c>
      <c r="C500">
        <f>IF(Adecco_India[[#This Row],[Attrition]]="Yes",1,0)</f>
        <v>0</v>
      </c>
      <c r="F500">
        <v>22</v>
      </c>
      <c r="G500">
        <v>3</v>
      </c>
      <c r="J500">
        <v>3</v>
      </c>
      <c r="K500">
        <v>4</v>
      </c>
      <c r="N500">
        <v>2</v>
      </c>
      <c r="O500">
        <v>3</v>
      </c>
      <c r="Q500">
        <v>2</v>
      </c>
      <c r="R500">
        <v>4</v>
      </c>
      <c r="S500">
        <v>1</v>
      </c>
      <c r="U500" t="s">
        <v>51</v>
      </c>
      <c r="V500">
        <v>1</v>
      </c>
    </row>
    <row r="501" spans="2:22" x14ac:dyDescent="0.25">
      <c r="B501">
        <v>8</v>
      </c>
      <c r="C501">
        <f>IF(Adecco_India[[#This Row],[Attrition]]="Yes",1,0)</f>
        <v>0</v>
      </c>
      <c r="F501">
        <v>33</v>
      </c>
      <c r="G501">
        <v>3</v>
      </c>
      <c r="J501">
        <v>3</v>
      </c>
      <c r="K501">
        <v>3</v>
      </c>
      <c r="N501">
        <v>5</v>
      </c>
      <c r="O501">
        <v>3</v>
      </c>
      <c r="Q501">
        <v>1</v>
      </c>
      <c r="R501">
        <v>3</v>
      </c>
      <c r="S501">
        <v>1</v>
      </c>
      <c r="U501" t="s">
        <v>59</v>
      </c>
      <c r="V501">
        <v>1</v>
      </c>
    </row>
    <row r="502" spans="2:22" x14ac:dyDescent="0.25">
      <c r="B502">
        <v>9</v>
      </c>
      <c r="C502">
        <f>IF(Adecco_India[[#This Row],[Attrition]]="Yes",1,0)</f>
        <v>0</v>
      </c>
      <c r="F502">
        <v>32</v>
      </c>
      <c r="G502">
        <v>4</v>
      </c>
      <c r="J502">
        <v>2</v>
      </c>
      <c r="K502">
        <v>3</v>
      </c>
      <c r="N502">
        <v>6</v>
      </c>
      <c r="O502">
        <v>4</v>
      </c>
      <c r="Q502">
        <v>0</v>
      </c>
      <c r="R502">
        <v>3</v>
      </c>
      <c r="S502">
        <v>1</v>
      </c>
      <c r="U502" t="s">
        <v>38</v>
      </c>
      <c r="V502">
        <v>1</v>
      </c>
    </row>
    <row r="503" spans="2:22" x14ac:dyDescent="0.25">
      <c r="B503">
        <v>3</v>
      </c>
      <c r="C503">
        <f>IF(Adecco_India[[#This Row],[Attrition]]="Yes",1,0)</f>
        <v>0</v>
      </c>
      <c r="F503">
        <v>30</v>
      </c>
      <c r="G503">
        <v>3</v>
      </c>
      <c r="J503">
        <v>3</v>
      </c>
      <c r="K503">
        <v>4</v>
      </c>
      <c r="N503">
        <v>1</v>
      </c>
      <c r="O503">
        <v>3</v>
      </c>
      <c r="Q503">
        <v>0</v>
      </c>
      <c r="R503">
        <v>4</v>
      </c>
      <c r="S503">
        <v>1</v>
      </c>
      <c r="U503" t="s">
        <v>51</v>
      </c>
      <c r="V503">
        <v>1</v>
      </c>
    </row>
    <row r="504" spans="2:22" x14ac:dyDescent="0.25">
      <c r="B504">
        <v>1</v>
      </c>
      <c r="C504">
        <f>IF(Adecco_India[[#This Row],[Attrition]]="Yes",1,0)</f>
        <v>0</v>
      </c>
      <c r="F504">
        <v>53</v>
      </c>
      <c r="G504">
        <v>1</v>
      </c>
      <c r="J504">
        <v>4</v>
      </c>
      <c r="K504">
        <v>4</v>
      </c>
      <c r="N504">
        <v>14</v>
      </c>
      <c r="O504">
        <v>1</v>
      </c>
      <c r="Q504">
        <v>8</v>
      </c>
      <c r="R504">
        <v>4</v>
      </c>
      <c r="S504">
        <v>1</v>
      </c>
      <c r="U504" t="s">
        <v>51</v>
      </c>
      <c r="V504">
        <v>1</v>
      </c>
    </row>
    <row r="505" spans="2:22" x14ac:dyDescent="0.25">
      <c r="B505">
        <v>1</v>
      </c>
      <c r="C505">
        <f>IF(Adecco_India[[#This Row],[Attrition]]="Yes",1,0)</f>
        <v>0</v>
      </c>
      <c r="F505">
        <v>34</v>
      </c>
      <c r="G505">
        <v>4</v>
      </c>
      <c r="J505">
        <v>2</v>
      </c>
      <c r="K505">
        <v>3</v>
      </c>
      <c r="N505">
        <v>10</v>
      </c>
      <c r="O505">
        <v>4</v>
      </c>
      <c r="Q505">
        <v>8</v>
      </c>
      <c r="R505">
        <v>3</v>
      </c>
      <c r="S505">
        <v>1</v>
      </c>
      <c r="U505" t="s">
        <v>38</v>
      </c>
      <c r="V505">
        <v>1</v>
      </c>
    </row>
    <row r="506" spans="2:22" x14ac:dyDescent="0.25">
      <c r="B506">
        <v>26</v>
      </c>
      <c r="C506">
        <f>IF(Adecco_India[[#This Row],[Attrition]]="Yes",1,0)</f>
        <v>1</v>
      </c>
      <c r="F506">
        <v>45</v>
      </c>
      <c r="G506">
        <v>1</v>
      </c>
      <c r="J506">
        <v>3</v>
      </c>
      <c r="K506">
        <v>3</v>
      </c>
      <c r="N506">
        <v>1</v>
      </c>
      <c r="O506">
        <v>1</v>
      </c>
      <c r="Q506">
        <v>0</v>
      </c>
      <c r="R506">
        <v>3</v>
      </c>
      <c r="S506">
        <v>1</v>
      </c>
      <c r="U506" t="s">
        <v>38</v>
      </c>
      <c r="V506">
        <v>1</v>
      </c>
    </row>
    <row r="507" spans="2:22" x14ac:dyDescent="0.25">
      <c r="B507">
        <v>6</v>
      </c>
      <c r="C507">
        <f>IF(Adecco_India[[#This Row],[Attrition]]="Yes",1,0)</f>
        <v>0</v>
      </c>
      <c r="F507">
        <v>26</v>
      </c>
      <c r="G507">
        <v>4</v>
      </c>
      <c r="J507">
        <v>3</v>
      </c>
      <c r="K507">
        <v>3</v>
      </c>
      <c r="N507">
        <v>3</v>
      </c>
      <c r="O507">
        <v>4</v>
      </c>
      <c r="Q507">
        <v>0</v>
      </c>
      <c r="R507">
        <v>3</v>
      </c>
      <c r="S507">
        <v>1</v>
      </c>
      <c r="U507" t="s">
        <v>38</v>
      </c>
      <c r="V507">
        <v>1</v>
      </c>
    </row>
    <row r="508" spans="2:22" x14ac:dyDescent="0.25">
      <c r="B508">
        <v>3</v>
      </c>
      <c r="C508">
        <f>IF(Adecco_India[[#This Row],[Attrition]]="Yes",1,0)</f>
        <v>0</v>
      </c>
      <c r="F508">
        <v>37</v>
      </c>
      <c r="G508">
        <v>3</v>
      </c>
      <c r="J508">
        <v>3</v>
      </c>
      <c r="K508">
        <v>3</v>
      </c>
      <c r="N508">
        <v>10</v>
      </c>
      <c r="O508">
        <v>3</v>
      </c>
      <c r="Q508">
        <v>7</v>
      </c>
      <c r="R508">
        <v>3</v>
      </c>
      <c r="S508">
        <v>1</v>
      </c>
      <c r="U508" t="s">
        <v>49</v>
      </c>
      <c r="V508">
        <v>1</v>
      </c>
    </row>
    <row r="509" spans="2:22" x14ac:dyDescent="0.25">
      <c r="B509">
        <v>3</v>
      </c>
      <c r="C509">
        <f>IF(Adecco_India[[#This Row],[Attrition]]="Yes",1,0)</f>
        <v>0</v>
      </c>
      <c r="F509">
        <v>29</v>
      </c>
      <c r="G509">
        <v>3</v>
      </c>
      <c r="J509">
        <v>2</v>
      </c>
      <c r="K509">
        <v>3</v>
      </c>
      <c r="N509">
        <v>6</v>
      </c>
      <c r="O509">
        <v>3</v>
      </c>
      <c r="Q509">
        <v>1</v>
      </c>
      <c r="R509">
        <v>3</v>
      </c>
      <c r="S509">
        <v>1</v>
      </c>
      <c r="U509" t="s">
        <v>51</v>
      </c>
      <c r="V509">
        <v>1</v>
      </c>
    </row>
    <row r="510" spans="2:22" x14ac:dyDescent="0.25">
      <c r="B510">
        <v>6</v>
      </c>
      <c r="C510">
        <f>IF(Adecco_India[[#This Row],[Attrition]]="Yes",1,0)</f>
        <v>0</v>
      </c>
      <c r="F510">
        <v>35</v>
      </c>
      <c r="G510">
        <v>4</v>
      </c>
      <c r="J510">
        <v>3</v>
      </c>
      <c r="K510">
        <v>3</v>
      </c>
      <c r="N510">
        <v>17</v>
      </c>
      <c r="O510">
        <v>4</v>
      </c>
      <c r="Q510">
        <v>11</v>
      </c>
      <c r="R510">
        <v>3</v>
      </c>
      <c r="S510">
        <v>1</v>
      </c>
      <c r="U510" t="s">
        <v>38</v>
      </c>
      <c r="V510">
        <v>1</v>
      </c>
    </row>
    <row r="511" spans="2:22" x14ac:dyDescent="0.25">
      <c r="B511">
        <v>6</v>
      </c>
      <c r="C511">
        <f>IF(Adecco_India[[#This Row],[Attrition]]="Yes",1,0)</f>
        <v>0</v>
      </c>
      <c r="F511">
        <v>33</v>
      </c>
      <c r="G511">
        <v>4</v>
      </c>
      <c r="J511">
        <v>1</v>
      </c>
      <c r="K511">
        <v>4</v>
      </c>
      <c r="N511">
        <v>13</v>
      </c>
      <c r="O511">
        <v>4</v>
      </c>
      <c r="Q511">
        <v>4</v>
      </c>
      <c r="R511">
        <v>4</v>
      </c>
      <c r="S511">
        <v>1</v>
      </c>
      <c r="U511" t="s">
        <v>38</v>
      </c>
      <c r="V511">
        <v>1</v>
      </c>
    </row>
    <row r="512" spans="2:22" x14ac:dyDescent="0.25">
      <c r="B512">
        <v>19</v>
      </c>
      <c r="C512">
        <f>IF(Adecco_India[[#This Row],[Attrition]]="Yes",1,0)</f>
        <v>0</v>
      </c>
      <c r="F512">
        <v>54</v>
      </c>
      <c r="G512">
        <v>2</v>
      </c>
      <c r="J512">
        <v>4</v>
      </c>
      <c r="K512">
        <v>3</v>
      </c>
      <c r="N512">
        <v>9</v>
      </c>
      <c r="O512">
        <v>2</v>
      </c>
      <c r="Q512">
        <v>7</v>
      </c>
      <c r="R512">
        <v>3</v>
      </c>
      <c r="S512">
        <v>1</v>
      </c>
      <c r="U512" t="s">
        <v>51</v>
      </c>
      <c r="V512">
        <v>1</v>
      </c>
    </row>
    <row r="513" spans="2:22" x14ac:dyDescent="0.25">
      <c r="B513">
        <v>9</v>
      </c>
      <c r="C513">
        <f>IF(Adecco_India[[#This Row],[Attrition]]="Yes",1,0)</f>
        <v>0</v>
      </c>
      <c r="F513">
        <v>36</v>
      </c>
      <c r="G513">
        <v>2</v>
      </c>
      <c r="J513">
        <v>3</v>
      </c>
      <c r="K513">
        <v>3</v>
      </c>
      <c r="N513">
        <v>3</v>
      </c>
      <c r="O513">
        <v>2</v>
      </c>
      <c r="Q513">
        <v>0</v>
      </c>
      <c r="R513">
        <v>3</v>
      </c>
      <c r="S513">
        <v>1</v>
      </c>
      <c r="U513" t="s">
        <v>51</v>
      </c>
      <c r="V513">
        <v>1</v>
      </c>
    </row>
    <row r="514" spans="2:22" x14ac:dyDescent="0.25">
      <c r="B514">
        <v>3</v>
      </c>
      <c r="C514">
        <f>IF(Adecco_India[[#This Row],[Attrition]]="Yes",1,0)</f>
        <v>0</v>
      </c>
      <c r="F514">
        <v>27</v>
      </c>
      <c r="G514">
        <v>4</v>
      </c>
      <c r="J514">
        <v>3</v>
      </c>
      <c r="K514">
        <v>3</v>
      </c>
      <c r="N514">
        <v>4</v>
      </c>
      <c r="O514">
        <v>4</v>
      </c>
      <c r="Q514">
        <v>1</v>
      </c>
      <c r="R514">
        <v>3</v>
      </c>
      <c r="S514">
        <v>1</v>
      </c>
      <c r="U514" t="s">
        <v>51</v>
      </c>
      <c r="V514">
        <v>1</v>
      </c>
    </row>
    <row r="515" spans="2:22" x14ac:dyDescent="0.25">
      <c r="B515">
        <v>10</v>
      </c>
      <c r="C515">
        <f>IF(Adecco_India[[#This Row],[Attrition]]="Yes",1,0)</f>
        <v>1</v>
      </c>
      <c r="F515">
        <v>20</v>
      </c>
      <c r="G515">
        <v>3</v>
      </c>
      <c r="J515">
        <v>3</v>
      </c>
      <c r="K515">
        <v>3</v>
      </c>
      <c r="N515">
        <v>1</v>
      </c>
      <c r="O515">
        <v>3</v>
      </c>
      <c r="Q515">
        <v>1</v>
      </c>
      <c r="R515">
        <v>3</v>
      </c>
      <c r="S515">
        <v>1</v>
      </c>
      <c r="U515" t="s">
        <v>51</v>
      </c>
      <c r="V515">
        <v>1</v>
      </c>
    </row>
    <row r="516" spans="2:22" x14ac:dyDescent="0.25">
      <c r="B516">
        <v>3</v>
      </c>
      <c r="C516">
        <f>IF(Adecco_India[[#This Row],[Attrition]]="Yes",1,0)</f>
        <v>1</v>
      </c>
      <c r="F516">
        <v>33</v>
      </c>
      <c r="G516">
        <v>1</v>
      </c>
      <c r="J516">
        <v>3</v>
      </c>
      <c r="K516">
        <v>3</v>
      </c>
      <c r="N516">
        <v>10</v>
      </c>
      <c r="O516">
        <v>1</v>
      </c>
      <c r="Q516">
        <v>9</v>
      </c>
      <c r="R516">
        <v>3</v>
      </c>
      <c r="S516">
        <v>1</v>
      </c>
      <c r="U516" t="s">
        <v>38</v>
      </c>
      <c r="V516">
        <v>1</v>
      </c>
    </row>
    <row r="517" spans="2:22" x14ac:dyDescent="0.25">
      <c r="B517">
        <v>3</v>
      </c>
      <c r="C517">
        <f>IF(Adecco_India[[#This Row],[Attrition]]="Yes",1,0)</f>
        <v>0</v>
      </c>
      <c r="F517">
        <v>35</v>
      </c>
      <c r="G517">
        <v>3</v>
      </c>
      <c r="J517">
        <v>3</v>
      </c>
      <c r="K517">
        <v>3</v>
      </c>
      <c r="N517">
        <v>1</v>
      </c>
      <c r="O517">
        <v>3</v>
      </c>
      <c r="Q517">
        <v>0</v>
      </c>
      <c r="R517">
        <v>3</v>
      </c>
      <c r="S517">
        <v>1</v>
      </c>
      <c r="U517" t="s">
        <v>38</v>
      </c>
      <c r="V517">
        <v>1</v>
      </c>
    </row>
    <row r="518" spans="2:22" x14ac:dyDescent="0.25">
      <c r="B518">
        <v>4</v>
      </c>
      <c r="C518">
        <f>IF(Adecco_India[[#This Row],[Attrition]]="Yes",1,0)</f>
        <v>0</v>
      </c>
      <c r="F518">
        <v>23</v>
      </c>
      <c r="G518">
        <v>1</v>
      </c>
      <c r="J518">
        <v>4</v>
      </c>
      <c r="K518">
        <v>3</v>
      </c>
      <c r="N518">
        <v>3</v>
      </c>
      <c r="O518">
        <v>1</v>
      </c>
      <c r="Q518">
        <v>0</v>
      </c>
      <c r="R518">
        <v>3</v>
      </c>
      <c r="S518">
        <v>1</v>
      </c>
      <c r="U518" t="s">
        <v>51</v>
      </c>
      <c r="V518">
        <v>1</v>
      </c>
    </row>
    <row r="519" spans="2:22" x14ac:dyDescent="0.25">
      <c r="B519">
        <v>8</v>
      </c>
      <c r="C519">
        <f>IF(Adecco_India[[#This Row],[Attrition]]="Yes",1,0)</f>
        <v>0</v>
      </c>
      <c r="F519">
        <v>25</v>
      </c>
      <c r="G519">
        <v>2</v>
      </c>
      <c r="J519">
        <v>3</v>
      </c>
      <c r="K519">
        <v>4</v>
      </c>
      <c r="N519">
        <v>3</v>
      </c>
      <c r="O519">
        <v>2</v>
      </c>
      <c r="Q519">
        <v>1</v>
      </c>
      <c r="R519">
        <v>4</v>
      </c>
      <c r="S519">
        <v>1</v>
      </c>
      <c r="U519" t="s">
        <v>38</v>
      </c>
      <c r="V519">
        <v>1</v>
      </c>
    </row>
    <row r="520" spans="2:22" x14ac:dyDescent="0.25">
      <c r="B520">
        <v>7</v>
      </c>
      <c r="C520">
        <f>IF(Adecco_India[[#This Row],[Attrition]]="Yes",1,0)</f>
        <v>0</v>
      </c>
      <c r="F520">
        <v>38</v>
      </c>
      <c r="G520">
        <v>4</v>
      </c>
      <c r="J520">
        <v>3</v>
      </c>
      <c r="K520">
        <v>4</v>
      </c>
      <c r="N520">
        <v>7</v>
      </c>
      <c r="O520">
        <v>4</v>
      </c>
      <c r="Q520">
        <v>0</v>
      </c>
      <c r="R520">
        <v>4</v>
      </c>
      <c r="S520">
        <v>1</v>
      </c>
      <c r="U520" t="s">
        <v>59</v>
      </c>
      <c r="V520">
        <v>1</v>
      </c>
    </row>
    <row r="521" spans="2:22" x14ac:dyDescent="0.25">
      <c r="B521">
        <v>1</v>
      </c>
      <c r="C521">
        <f>IF(Adecco_India[[#This Row],[Attrition]]="Yes",1,0)</f>
        <v>0</v>
      </c>
      <c r="F521">
        <v>29</v>
      </c>
      <c r="G521">
        <v>4</v>
      </c>
      <c r="J521">
        <v>3</v>
      </c>
      <c r="K521">
        <v>3</v>
      </c>
      <c r="N521">
        <v>10</v>
      </c>
      <c r="O521">
        <v>4</v>
      </c>
      <c r="Q521">
        <v>2</v>
      </c>
      <c r="R521">
        <v>3</v>
      </c>
      <c r="S521">
        <v>1</v>
      </c>
      <c r="U521" t="s">
        <v>38</v>
      </c>
      <c r="V521">
        <v>1</v>
      </c>
    </row>
    <row r="522" spans="2:22" x14ac:dyDescent="0.25">
      <c r="B522">
        <v>2</v>
      </c>
      <c r="C522">
        <f>IF(Adecco_India[[#This Row],[Attrition]]="Yes",1,0)</f>
        <v>0</v>
      </c>
      <c r="F522">
        <v>48</v>
      </c>
      <c r="G522">
        <v>2</v>
      </c>
      <c r="J522">
        <v>3</v>
      </c>
      <c r="K522">
        <v>3</v>
      </c>
      <c r="N522">
        <v>2</v>
      </c>
      <c r="O522">
        <v>2</v>
      </c>
      <c r="Q522">
        <v>2</v>
      </c>
      <c r="R522">
        <v>3</v>
      </c>
      <c r="S522">
        <v>1</v>
      </c>
      <c r="U522" t="s">
        <v>59</v>
      </c>
      <c r="V522">
        <v>1</v>
      </c>
    </row>
    <row r="523" spans="2:22" x14ac:dyDescent="0.25">
      <c r="B523">
        <v>3</v>
      </c>
      <c r="C523">
        <f>IF(Adecco_India[[#This Row],[Attrition]]="Yes",1,0)</f>
        <v>0</v>
      </c>
      <c r="F523">
        <v>27</v>
      </c>
      <c r="G523">
        <v>4</v>
      </c>
      <c r="J523">
        <v>3</v>
      </c>
      <c r="K523">
        <v>4</v>
      </c>
      <c r="N523">
        <v>6</v>
      </c>
      <c r="O523">
        <v>4</v>
      </c>
      <c r="Q523">
        <v>0</v>
      </c>
      <c r="R523">
        <v>4</v>
      </c>
      <c r="S523">
        <v>1</v>
      </c>
      <c r="U523" t="s">
        <v>51</v>
      </c>
      <c r="V523">
        <v>1</v>
      </c>
    </row>
    <row r="524" spans="2:22" x14ac:dyDescent="0.25">
      <c r="B524">
        <v>10</v>
      </c>
      <c r="C524">
        <f>IF(Adecco_India[[#This Row],[Attrition]]="Yes",1,0)</f>
        <v>0</v>
      </c>
      <c r="F524">
        <v>37</v>
      </c>
      <c r="G524">
        <v>4</v>
      </c>
      <c r="J524">
        <v>3</v>
      </c>
      <c r="K524">
        <v>3</v>
      </c>
      <c r="N524">
        <v>1</v>
      </c>
      <c r="O524">
        <v>4</v>
      </c>
      <c r="Q524">
        <v>0</v>
      </c>
      <c r="R524">
        <v>3</v>
      </c>
      <c r="S524">
        <v>1</v>
      </c>
      <c r="U524" t="s">
        <v>38</v>
      </c>
      <c r="V524">
        <v>1</v>
      </c>
    </row>
    <row r="525" spans="2:22" x14ac:dyDescent="0.25">
      <c r="B525">
        <v>28</v>
      </c>
      <c r="C525">
        <f>IF(Adecco_India[[#This Row],[Attrition]]="Yes",1,0)</f>
        <v>0</v>
      </c>
      <c r="F525">
        <v>50</v>
      </c>
      <c r="G525">
        <v>3</v>
      </c>
      <c r="J525">
        <v>3</v>
      </c>
      <c r="K525">
        <v>3</v>
      </c>
      <c r="N525">
        <v>20</v>
      </c>
      <c r="O525">
        <v>3</v>
      </c>
      <c r="Q525">
        <v>3</v>
      </c>
      <c r="R525">
        <v>3</v>
      </c>
      <c r="S525">
        <v>1</v>
      </c>
      <c r="U525" t="s">
        <v>51</v>
      </c>
      <c r="V525">
        <v>1</v>
      </c>
    </row>
    <row r="526" spans="2:22" x14ac:dyDescent="0.25">
      <c r="B526">
        <v>9</v>
      </c>
      <c r="C526">
        <f>IF(Adecco_India[[#This Row],[Attrition]]="Yes",1,0)</f>
        <v>0</v>
      </c>
      <c r="F526">
        <v>34</v>
      </c>
      <c r="G526">
        <v>2</v>
      </c>
      <c r="J526">
        <v>4</v>
      </c>
      <c r="K526">
        <v>3</v>
      </c>
      <c r="N526">
        <v>8</v>
      </c>
      <c r="O526">
        <v>2</v>
      </c>
      <c r="Q526">
        <v>7</v>
      </c>
      <c r="R526">
        <v>3</v>
      </c>
      <c r="S526">
        <v>1</v>
      </c>
      <c r="U526" t="s">
        <v>51</v>
      </c>
      <c r="V526">
        <v>1</v>
      </c>
    </row>
    <row r="527" spans="2:22" x14ac:dyDescent="0.25">
      <c r="B527">
        <v>3</v>
      </c>
      <c r="C527">
        <f>IF(Adecco_India[[#This Row],[Attrition]]="Yes",1,0)</f>
        <v>1</v>
      </c>
      <c r="F527">
        <v>24</v>
      </c>
      <c r="G527">
        <v>3</v>
      </c>
      <c r="J527">
        <v>3</v>
      </c>
      <c r="K527">
        <v>3</v>
      </c>
      <c r="N527">
        <v>2</v>
      </c>
      <c r="O527">
        <v>3</v>
      </c>
      <c r="Q527">
        <v>2</v>
      </c>
      <c r="R527">
        <v>3</v>
      </c>
      <c r="S527">
        <v>1</v>
      </c>
      <c r="U527" t="s">
        <v>38</v>
      </c>
      <c r="V527">
        <v>1</v>
      </c>
    </row>
    <row r="528" spans="2:22" x14ac:dyDescent="0.25">
      <c r="B528">
        <v>2</v>
      </c>
      <c r="C528">
        <f>IF(Adecco_India[[#This Row],[Attrition]]="Yes",1,0)</f>
        <v>0</v>
      </c>
      <c r="F528">
        <v>39</v>
      </c>
      <c r="G528">
        <v>3</v>
      </c>
      <c r="J528">
        <v>3</v>
      </c>
      <c r="K528">
        <v>3</v>
      </c>
      <c r="N528">
        <v>20</v>
      </c>
      <c r="O528">
        <v>3</v>
      </c>
      <c r="Q528">
        <v>11</v>
      </c>
      <c r="R528">
        <v>3</v>
      </c>
      <c r="S528">
        <v>1</v>
      </c>
      <c r="U528" t="s">
        <v>60</v>
      </c>
      <c r="V528">
        <v>1</v>
      </c>
    </row>
    <row r="529" spans="2:22" x14ac:dyDescent="0.25">
      <c r="B529">
        <v>10</v>
      </c>
      <c r="C529">
        <f>IF(Adecco_India[[#This Row],[Attrition]]="Yes",1,0)</f>
        <v>0</v>
      </c>
      <c r="F529">
        <v>32</v>
      </c>
      <c r="G529">
        <v>4</v>
      </c>
      <c r="J529">
        <v>2</v>
      </c>
      <c r="K529">
        <v>3</v>
      </c>
      <c r="N529">
        <v>10</v>
      </c>
      <c r="O529">
        <v>4</v>
      </c>
      <c r="Q529">
        <v>0</v>
      </c>
      <c r="R529">
        <v>3</v>
      </c>
      <c r="S529">
        <v>1</v>
      </c>
      <c r="U529" t="s">
        <v>59</v>
      </c>
      <c r="V529">
        <v>1</v>
      </c>
    </row>
    <row r="530" spans="2:22" x14ac:dyDescent="0.25">
      <c r="B530">
        <v>8</v>
      </c>
      <c r="C530">
        <f>IF(Adecco_India[[#This Row],[Attrition]]="Yes",1,0)</f>
        <v>1</v>
      </c>
      <c r="F530">
        <v>50</v>
      </c>
      <c r="G530">
        <v>3</v>
      </c>
      <c r="J530">
        <v>3</v>
      </c>
      <c r="K530">
        <v>3</v>
      </c>
      <c r="N530">
        <v>4</v>
      </c>
      <c r="O530">
        <v>3</v>
      </c>
      <c r="Q530">
        <v>1</v>
      </c>
      <c r="R530">
        <v>3</v>
      </c>
      <c r="S530">
        <v>1</v>
      </c>
      <c r="U530" t="s">
        <v>60</v>
      </c>
      <c r="V530">
        <v>1</v>
      </c>
    </row>
    <row r="531" spans="2:22" x14ac:dyDescent="0.25">
      <c r="B531">
        <v>1</v>
      </c>
      <c r="C531">
        <f>IF(Adecco_India[[#This Row],[Attrition]]="Yes",1,0)</f>
        <v>0</v>
      </c>
      <c r="F531">
        <v>38</v>
      </c>
      <c r="G531">
        <v>4</v>
      </c>
      <c r="J531">
        <v>2</v>
      </c>
      <c r="K531">
        <v>3</v>
      </c>
      <c r="N531">
        <v>9</v>
      </c>
      <c r="O531">
        <v>4</v>
      </c>
      <c r="Q531">
        <v>1</v>
      </c>
      <c r="R531">
        <v>3</v>
      </c>
      <c r="S531">
        <v>1</v>
      </c>
      <c r="U531" t="s">
        <v>38</v>
      </c>
      <c r="V531">
        <v>1</v>
      </c>
    </row>
    <row r="532" spans="2:22" x14ac:dyDescent="0.25">
      <c r="B532">
        <v>1</v>
      </c>
      <c r="C532">
        <f>IF(Adecco_India[[#This Row],[Attrition]]="Yes",1,0)</f>
        <v>0</v>
      </c>
      <c r="F532">
        <v>27</v>
      </c>
      <c r="G532">
        <v>1</v>
      </c>
      <c r="J532">
        <v>3</v>
      </c>
      <c r="K532">
        <v>3</v>
      </c>
      <c r="N532">
        <v>9</v>
      </c>
      <c r="O532">
        <v>1</v>
      </c>
      <c r="Q532">
        <v>0</v>
      </c>
      <c r="R532">
        <v>3</v>
      </c>
      <c r="S532">
        <v>1</v>
      </c>
      <c r="U532" t="s">
        <v>38</v>
      </c>
      <c r="V532">
        <v>1</v>
      </c>
    </row>
    <row r="533" spans="2:22" x14ac:dyDescent="0.25">
      <c r="B533">
        <v>3</v>
      </c>
      <c r="C533">
        <f>IF(Adecco_India[[#This Row],[Attrition]]="Yes",1,0)</f>
        <v>0</v>
      </c>
      <c r="F533">
        <v>32</v>
      </c>
      <c r="G533">
        <v>4</v>
      </c>
      <c r="J533">
        <v>3</v>
      </c>
      <c r="K533">
        <v>3</v>
      </c>
      <c r="N533">
        <v>7</v>
      </c>
      <c r="O533">
        <v>4</v>
      </c>
      <c r="Q533">
        <v>7</v>
      </c>
      <c r="R533">
        <v>3</v>
      </c>
      <c r="S533">
        <v>1</v>
      </c>
      <c r="U533" t="s">
        <v>38</v>
      </c>
      <c r="V533">
        <v>1</v>
      </c>
    </row>
    <row r="534" spans="2:22" x14ac:dyDescent="0.25">
      <c r="B534">
        <v>14</v>
      </c>
      <c r="C534">
        <f>IF(Adecco_India[[#This Row],[Attrition]]="Yes",1,0)</f>
        <v>0</v>
      </c>
      <c r="F534">
        <v>47</v>
      </c>
      <c r="G534">
        <v>1</v>
      </c>
      <c r="J534">
        <v>3</v>
      </c>
      <c r="K534">
        <v>3</v>
      </c>
      <c r="N534">
        <v>7</v>
      </c>
      <c r="O534">
        <v>1</v>
      </c>
      <c r="Q534">
        <v>1</v>
      </c>
      <c r="R534">
        <v>3</v>
      </c>
      <c r="S534">
        <v>1</v>
      </c>
      <c r="U534" t="s">
        <v>59</v>
      </c>
      <c r="V534">
        <v>1</v>
      </c>
    </row>
    <row r="535" spans="2:22" x14ac:dyDescent="0.25">
      <c r="B535">
        <v>5</v>
      </c>
      <c r="C535">
        <f>IF(Adecco_India[[#This Row],[Attrition]]="Yes",1,0)</f>
        <v>0</v>
      </c>
      <c r="F535">
        <v>40</v>
      </c>
      <c r="G535">
        <v>1</v>
      </c>
      <c r="J535">
        <v>3</v>
      </c>
      <c r="K535">
        <v>4</v>
      </c>
      <c r="N535">
        <v>18</v>
      </c>
      <c r="O535">
        <v>1</v>
      </c>
      <c r="Q535">
        <v>1</v>
      </c>
      <c r="R535">
        <v>4</v>
      </c>
      <c r="S535">
        <v>1</v>
      </c>
      <c r="U535" t="s">
        <v>38</v>
      </c>
      <c r="V535">
        <v>1</v>
      </c>
    </row>
    <row r="536" spans="2:22" x14ac:dyDescent="0.25">
      <c r="B536">
        <v>7</v>
      </c>
      <c r="C536">
        <f>IF(Adecco_India[[#This Row],[Attrition]]="Yes",1,0)</f>
        <v>0</v>
      </c>
      <c r="F536">
        <v>53</v>
      </c>
      <c r="G536">
        <v>3</v>
      </c>
      <c r="J536">
        <v>3</v>
      </c>
      <c r="K536">
        <v>3</v>
      </c>
      <c r="N536">
        <v>5</v>
      </c>
      <c r="O536">
        <v>3</v>
      </c>
      <c r="Q536">
        <v>1</v>
      </c>
      <c r="R536">
        <v>3</v>
      </c>
      <c r="S536">
        <v>1</v>
      </c>
      <c r="U536" t="s">
        <v>38</v>
      </c>
      <c r="V536">
        <v>1</v>
      </c>
    </row>
    <row r="537" spans="2:22" x14ac:dyDescent="0.25">
      <c r="B537">
        <v>10</v>
      </c>
      <c r="C537">
        <f>IF(Adecco_India[[#This Row],[Attrition]]="Yes",1,0)</f>
        <v>0</v>
      </c>
      <c r="F537">
        <v>41</v>
      </c>
      <c r="G537">
        <v>4</v>
      </c>
      <c r="J537">
        <v>2</v>
      </c>
      <c r="K537">
        <v>3</v>
      </c>
      <c r="N537">
        <v>21</v>
      </c>
      <c r="O537">
        <v>4</v>
      </c>
      <c r="Q537">
        <v>12</v>
      </c>
      <c r="R537">
        <v>3</v>
      </c>
      <c r="S537">
        <v>1</v>
      </c>
      <c r="U537" t="s">
        <v>61</v>
      </c>
      <c r="V537">
        <v>1</v>
      </c>
    </row>
    <row r="538" spans="2:22" x14ac:dyDescent="0.25">
      <c r="B538">
        <v>16</v>
      </c>
      <c r="C538">
        <f>IF(Adecco_India[[#This Row],[Attrition]]="Yes",1,0)</f>
        <v>0</v>
      </c>
      <c r="F538">
        <v>60</v>
      </c>
      <c r="G538">
        <v>1</v>
      </c>
      <c r="J538">
        <v>3</v>
      </c>
      <c r="K538">
        <v>3</v>
      </c>
      <c r="N538">
        <v>2</v>
      </c>
      <c r="O538">
        <v>1</v>
      </c>
      <c r="Q538">
        <v>2</v>
      </c>
      <c r="R538">
        <v>3</v>
      </c>
      <c r="S538">
        <v>1</v>
      </c>
      <c r="U538" t="s">
        <v>59</v>
      </c>
      <c r="V538">
        <v>1</v>
      </c>
    </row>
    <row r="539" spans="2:22" x14ac:dyDescent="0.25">
      <c r="B539">
        <v>10</v>
      </c>
      <c r="C539">
        <f>IF(Adecco_India[[#This Row],[Attrition]]="Yes",1,0)</f>
        <v>0</v>
      </c>
      <c r="F539">
        <v>27</v>
      </c>
      <c r="G539">
        <v>1</v>
      </c>
      <c r="J539">
        <v>2</v>
      </c>
      <c r="K539">
        <v>4</v>
      </c>
      <c r="N539">
        <v>9</v>
      </c>
      <c r="O539">
        <v>1</v>
      </c>
      <c r="Q539">
        <v>1</v>
      </c>
      <c r="R539">
        <v>4</v>
      </c>
      <c r="S539">
        <v>1</v>
      </c>
      <c r="U539" t="s">
        <v>38</v>
      </c>
      <c r="V539">
        <v>1</v>
      </c>
    </row>
    <row r="540" spans="2:22" x14ac:dyDescent="0.25">
      <c r="B540">
        <v>1</v>
      </c>
      <c r="C540">
        <f>IF(Adecco_India[[#This Row],[Attrition]]="Yes",1,0)</f>
        <v>0</v>
      </c>
      <c r="F540">
        <v>41</v>
      </c>
      <c r="G540">
        <v>3</v>
      </c>
      <c r="J540">
        <v>3</v>
      </c>
      <c r="K540">
        <v>3</v>
      </c>
      <c r="N540">
        <v>22</v>
      </c>
      <c r="O540">
        <v>3</v>
      </c>
      <c r="Q540">
        <v>2</v>
      </c>
      <c r="R540">
        <v>3</v>
      </c>
      <c r="S540">
        <v>1</v>
      </c>
      <c r="U540" t="s">
        <v>61</v>
      </c>
      <c r="V540">
        <v>1</v>
      </c>
    </row>
    <row r="541" spans="2:22" x14ac:dyDescent="0.25">
      <c r="B541">
        <v>8</v>
      </c>
      <c r="C541">
        <f>IF(Adecco_India[[#This Row],[Attrition]]="Yes",1,0)</f>
        <v>0</v>
      </c>
      <c r="F541">
        <v>50</v>
      </c>
      <c r="G541">
        <v>2</v>
      </c>
      <c r="J541">
        <v>3</v>
      </c>
      <c r="K541">
        <v>3</v>
      </c>
      <c r="N541">
        <v>2</v>
      </c>
      <c r="O541">
        <v>2</v>
      </c>
      <c r="Q541">
        <v>2</v>
      </c>
      <c r="R541">
        <v>3</v>
      </c>
      <c r="S541">
        <v>1</v>
      </c>
      <c r="U541" t="s">
        <v>59</v>
      </c>
      <c r="V541">
        <v>1</v>
      </c>
    </row>
    <row r="542" spans="2:22" x14ac:dyDescent="0.25">
      <c r="B542">
        <v>1</v>
      </c>
      <c r="C542">
        <f>IF(Adecco_India[[#This Row],[Attrition]]="Yes",1,0)</f>
        <v>1</v>
      </c>
      <c r="F542">
        <v>28</v>
      </c>
      <c r="G542">
        <v>2</v>
      </c>
      <c r="J542">
        <v>3</v>
      </c>
      <c r="K542">
        <v>3</v>
      </c>
      <c r="N542">
        <v>7</v>
      </c>
      <c r="O542">
        <v>2</v>
      </c>
      <c r="Q542">
        <v>3</v>
      </c>
      <c r="R542">
        <v>3</v>
      </c>
      <c r="S542">
        <v>1</v>
      </c>
      <c r="U542" t="s">
        <v>38</v>
      </c>
      <c r="V542">
        <v>1</v>
      </c>
    </row>
    <row r="543" spans="2:22" x14ac:dyDescent="0.25">
      <c r="B543">
        <v>8</v>
      </c>
      <c r="C543">
        <f>IF(Adecco_India[[#This Row],[Attrition]]="Yes",1,0)</f>
        <v>0</v>
      </c>
      <c r="F543">
        <v>36</v>
      </c>
      <c r="G543">
        <v>1</v>
      </c>
      <c r="J543">
        <v>3</v>
      </c>
      <c r="K543">
        <v>3</v>
      </c>
      <c r="N543">
        <v>8</v>
      </c>
      <c r="O543">
        <v>1</v>
      </c>
      <c r="Q543">
        <v>0</v>
      </c>
      <c r="R543">
        <v>3</v>
      </c>
      <c r="S543">
        <v>1</v>
      </c>
      <c r="U543" t="s">
        <v>38</v>
      </c>
      <c r="V543">
        <v>1</v>
      </c>
    </row>
    <row r="544" spans="2:22" x14ac:dyDescent="0.25">
      <c r="B544">
        <v>1</v>
      </c>
      <c r="C544">
        <f>IF(Adecco_India[[#This Row],[Attrition]]="Yes",1,0)</f>
        <v>0</v>
      </c>
      <c r="F544">
        <v>38</v>
      </c>
      <c r="G544">
        <v>3</v>
      </c>
      <c r="J544">
        <v>4</v>
      </c>
      <c r="K544">
        <v>3</v>
      </c>
      <c r="N544">
        <v>1</v>
      </c>
      <c r="O544">
        <v>3</v>
      </c>
      <c r="Q544">
        <v>0</v>
      </c>
      <c r="R544">
        <v>3</v>
      </c>
      <c r="S544">
        <v>1</v>
      </c>
      <c r="U544" t="s">
        <v>38</v>
      </c>
      <c r="V544">
        <v>1</v>
      </c>
    </row>
    <row r="545" spans="2:22" x14ac:dyDescent="0.25">
      <c r="B545">
        <v>24</v>
      </c>
      <c r="C545">
        <f>IF(Adecco_India[[#This Row],[Attrition]]="Yes",1,0)</f>
        <v>0</v>
      </c>
      <c r="F545">
        <v>44</v>
      </c>
      <c r="G545">
        <v>3</v>
      </c>
      <c r="J545">
        <v>3</v>
      </c>
      <c r="K545">
        <v>3</v>
      </c>
      <c r="N545">
        <v>5</v>
      </c>
      <c r="O545">
        <v>3</v>
      </c>
      <c r="Q545">
        <v>1</v>
      </c>
      <c r="R545">
        <v>3</v>
      </c>
      <c r="S545">
        <v>1</v>
      </c>
      <c r="U545" t="s">
        <v>51</v>
      </c>
      <c r="V545">
        <v>1</v>
      </c>
    </row>
    <row r="546" spans="2:22" x14ac:dyDescent="0.25">
      <c r="B546">
        <v>3</v>
      </c>
      <c r="C546">
        <f>IF(Adecco_India[[#This Row],[Attrition]]="Yes",1,0)</f>
        <v>0</v>
      </c>
      <c r="F546">
        <v>47</v>
      </c>
      <c r="G546">
        <v>3</v>
      </c>
      <c r="J546">
        <v>2</v>
      </c>
      <c r="K546">
        <v>3</v>
      </c>
      <c r="N546">
        <v>22</v>
      </c>
      <c r="O546">
        <v>3</v>
      </c>
      <c r="Q546">
        <v>11</v>
      </c>
      <c r="R546">
        <v>3</v>
      </c>
      <c r="S546">
        <v>1</v>
      </c>
      <c r="U546" t="s">
        <v>51</v>
      </c>
      <c r="V546">
        <v>1</v>
      </c>
    </row>
    <row r="547" spans="2:22" x14ac:dyDescent="0.25">
      <c r="B547">
        <v>27</v>
      </c>
      <c r="C547">
        <f>IF(Adecco_India[[#This Row],[Attrition]]="Yes",1,0)</f>
        <v>0</v>
      </c>
      <c r="F547">
        <v>30</v>
      </c>
      <c r="G547">
        <v>4</v>
      </c>
      <c r="J547">
        <v>2</v>
      </c>
      <c r="K547">
        <v>4</v>
      </c>
      <c r="N547">
        <v>8</v>
      </c>
      <c r="O547">
        <v>4</v>
      </c>
      <c r="Q547">
        <v>7</v>
      </c>
      <c r="R547">
        <v>4</v>
      </c>
      <c r="S547">
        <v>1</v>
      </c>
      <c r="U547" t="s">
        <v>59</v>
      </c>
      <c r="V547">
        <v>1</v>
      </c>
    </row>
    <row r="548" spans="2:22" x14ac:dyDescent="0.25">
      <c r="B548">
        <v>10</v>
      </c>
      <c r="C548">
        <f>IF(Adecco_India[[#This Row],[Attrition]]="Yes",1,0)</f>
        <v>0</v>
      </c>
      <c r="F548">
        <v>29</v>
      </c>
      <c r="G548">
        <v>3</v>
      </c>
      <c r="J548">
        <v>3</v>
      </c>
      <c r="K548">
        <v>3</v>
      </c>
      <c r="N548">
        <v>1</v>
      </c>
      <c r="O548">
        <v>3</v>
      </c>
      <c r="Q548">
        <v>0</v>
      </c>
      <c r="R548">
        <v>3</v>
      </c>
      <c r="S548">
        <v>1</v>
      </c>
      <c r="U548" t="s">
        <v>38</v>
      </c>
      <c r="V548">
        <v>1</v>
      </c>
    </row>
    <row r="549" spans="2:22" x14ac:dyDescent="0.25">
      <c r="B549">
        <v>19</v>
      </c>
      <c r="C549">
        <f>IF(Adecco_India[[#This Row],[Attrition]]="Yes",1,0)</f>
        <v>1</v>
      </c>
      <c r="F549">
        <v>42</v>
      </c>
      <c r="G549">
        <v>3</v>
      </c>
      <c r="J549">
        <v>3</v>
      </c>
      <c r="K549">
        <v>3</v>
      </c>
      <c r="N549">
        <v>2</v>
      </c>
      <c r="O549">
        <v>3</v>
      </c>
      <c r="Q549">
        <v>2</v>
      </c>
      <c r="R549">
        <v>3</v>
      </c>
      <c r="S549">
        <v>1</v>
      </c>
      <c r="U549" t="s">
        <v>51</v>
      </c>
      <c r="V549">
        <v>1</v>
      </c>
    </row>
    <row r="550" spans="2:22" x14ac:dyDescent="0.25">
      <c r="B550">
        <v>15</v>
      </c>
      <c r="C550">
        <f>IF(Adecco_India[[#This Row],[Attrition]]="Yes",1,0)</f>
        <v>0</v>
      </c>
      <c r="F550">
        <v>43</v>
      </c>
      <c r="G550">
        <v>4</v>
      </c>
      <c r="J550">
        <v>3</v>
      </c>
      <c r="K550">
        <v>3</v>
      </c>
      <c r="N550">
        <v>2</v>
      </c>
      <c r="O550">
        <v>4</v>
      </c>
      <c r="Q550">
        <v>2</v>
      </c>
      <c r="R550">
        <v>3</v>
      </c>
      <c r="S550">
        <v>1</v>
      </c>
      <c r="U550" t="s">
        <v>38</v>
      </c>
      <c r="V550">
        <v>1</v>
      </c>
    </row>
    <row r="551" spans="2:22" x14ac:dyDescent="0.25">
      <c r="B551">
        <v>8</v>
      </c>
      <c r="C551">
        <f>IF(Adecco_India[[#This Row],[Attrition]]="Yes",1,0)</f>
        <v>0</v>
      </c>
      <c r="F551">
        <v>34</v>
      </c>
      <c r="G551">
        <v>3</v>
      </c>
      <c r="J551">
        <v>3</v>
      </c>
      <c r="K551">
        <v>3</v>
      </c>
      <c r="N551">
        <v>5</v>
      </c>
      <c r="O551">
        <v>3</v>
      </c>
      <c r="Q551">
        <v>4</v>
      </c>
      <c r="R551">
        <v>3</v>
      </c>
      <c r="S551">
        <v>1</v>
      </c>
      <c r="U551" t="s">
        <v>51</v>
      </c>
      <c r="V551">
        <v>1</v>
      </c>
    </row>
    <row r="552" spans="2:22" x14ac:dyDescent="0.25">
      <c r="B552">
        <v>9</v>
      </c>
      <c r="C552">
        <f>IF(Adecco_India[[#This Row],[Attrition]]="Yes",1,0)</f>
        <v>0</v>
      </c>
      <c r="F552">
        <v>23</v>
      </c>
      <c r="G552">
        <v>1</v>
      </c>
      <c r="J552">
        <v>4</v>
      </c>
      <c r="K552">
        <v>3</v>
      </c>
      <c r="N552">
        <v>4</v>
      </c>
      <c r="O552">
        <v>1</v>
      </c>
      <c r="Q552">
        <v>0</v>
      </c>
      <c r="R552">
        <v>3</v>
      </c>
      <c r="S552">
        <v>1</v>
      </c>
      <c r="U552" t="s">
        <v>51</v>
      </c>
      <c r="V552">
        <v>1</v>
      </c>
    </row>
    <row r="553" spans="2:22" x14ac:dyDescent="0.25">
      <c r="B553">
        <v>3</v>
      </c>
      <c r="C553">
        <f>IF(Adecco_India[[#This Row],[Attrition]]="Yes",1,0)</f>
        <v>0</v>
      </c>
      <c r="F553">
        <v>39</v>
      </c>
      <c r="G553">
        <v>2</v>
      </c>
      <c r="J553">
        <v>1</v>
      </c>
      <c r="K553">
        <v>3</v>
      </c>
      <c r="N553">
        <v>8</v>
      </c>
      <c r="O553">
        <v>2</v>
      </c>
      <c r="Q553">
        <v>3</v>
      </c>
      <c r="R553">
        <v>3</v>
      </c>
      <c r="S553">
        <v>1</v>
      </c>
      <c r="U553" t="s">
        <v>61</v>
      </c>
      <c r="V553">
        <v>1</v>
      </c>
    </row>
    <row r="554" spans="2:22" x14ac:dyDescent="0.25">
      <c r="B554">
        <v>9</v>
      </c>
      <c r="C554">
        <f>IF(Adecco_India[[#This Row],[Attrition]]="Yes",1,0)</f>
        <v>0</v>
      </c>
      <c r="F554">
        <v>56</v>
      </c>
      <c r="G554">
        <v>4</v>
      </c>
      <c r="J554">
        <v>2</v>
      </c>
      <c r="K554">
        <v>3</v>
      </c>
      <c r="N554">
        <v>10</v>
      </c>
      <c r="O554">
        <v>4</v>
      </c>
      <c r="Q554">
        <v>1</v>
      </c>
      <c r="R554">
        <v>3</v>
      </c>
      <c r="S554">
        <v>1</v>
      </c>
      <c r="U554" t="s">
        <v>51</v>
      </c>
      <c r="V554">
        <v>1</v>
      </c>
    </row>
    <row r="555" spans="2:22" x14ac:dyDescent="0.25">
      <c r="B555">
        <v>2</v>
      </c>
      <c r="C555">
        <f>IF(Adecco_India[[#This Row],[Attrition]]="Yes",1,0)</f>
        <v>0</v>
      </c>
      <c r="F555">
        <v>40</v>
      </c>
      <c r="G555">
        <v>4</v>
      </c>
      <c r="J555">
        <v>2</v>
      </c>
      <c r="K555">
        <v>4</v>
      </c>
      <c r="N555">
        <v>4</v>
      </c>
      <c r="O555">
        <v>4</v>
      </c>
      <c r="Q555">
        <v>2</v>
      </c>
      <c r="R555">
        <v>4</v>
      </c>
      <c r="S555">
        <v>1</v>
      </c>
      <c r="U555" t="s">
        <v>51</v>
      </c>
      <c r="V555">
        <v>1</v>
      </c>
    </row>
    <row r="556" spans="2:22" x14ac:dyDescent="0.25">
      <c r="B556">
        <v>7</v>
      </c>
      <c r="C556">
        <f>IF(Adecco_India[[#This Row],[Attrition]]="Yes",1,0)</f>
        <v>0</v>
      </c>
      <c r="F556">
        <v>27</v>
      </c>
      <c r="G556">
        <v>1</v>
      </c>
      <c r="J556">
        <v>1</v>
      </c>
      <c r="K556">
        <v>3</v>
      </c>
      <c r="N556">
        <v>7</v>
      </c>
      <c r="O556">
        <v>1</v>
      </c>
      <c r="Q556">
        <v>0</v>
      </c>
      <c r="R556">
        <v>3</v>
      </c>
      <c r="S556">
        <v>1</v>
      </c>
      <c r="U556" t="s">
        <v>51</v>
      </c>
      <c r="V556">
        <v>1</v>
      </c>
    </row>
    <row r="557" spans="2:22" x14ac:dyDescent="0.25">
      <c r="B557">
        <v>10</v>
      </c>
      <c r="C557">
        <f>IF(Adecco_India[[#This Row],[Attrition]]="Yes",1,0)</f>
        <v>0</v>
      </c>
      <c r="F557">
        <v>29</v>
      </c>
      <c r="G557">
        <v>2</v>
      </c>
      <c r="J557">
        <v>3</v>
      </c>
      <c r="K557">
        <v>3</v>
      </c>
      <c r="N557">
        <v>2</v>
      </c>
      <c r="O557">
        <v>2</v>
      </c>
      <c r="Q557">
        <v>2</v>
      </c>
      <c r="R557">
        <v>3</v>
      </c>
      <c r="S557">
        <v>1</v>
      </c>
      <c r="U557" t="s">
        <v>59</v>
      </c>
      <c r="V557">
        <v>1</v>
      </c>
    </row>
    <row r="558" spans="2:22" x14ac:dyDescent="0.25">
      <c r="B558">
        <v>6</v>
      </c>
      <c r="C558">
        <f>IF(Adecco_India[[#This Row],[Attrition]]="Yes",1,0)</f>
        <v>0</v>
      </c>
      <c r="F558">
        <v>53</v>
      </c>
      <c r="G558">
        <v>4</v>
      </c>
      <c r="J558">
        <v>3</v>
      </c>
      <c r="K558">
        <v>3</v>
      </c>
      <c r="N558">
        <v>2</v>
      </c>
      <c r="O558">
        <v>4</v>
      </c>
      <c r="Q558">
        <v>2</v>
      </c>
      <c r="R558">
        <v>3</v>
      </c>
      <c r="S558">
        <v>1</v>
      </c>
      <c r="U558" t="s">
        <v>38</v>
      </c>
      <c r="V558">
        <v>1</v>
      </c>
    </row>
    <row r="559" spans="2:22" x14ac:dyDescent="0.25">
      <c r="B559">
        <v>2</v>
      </c>
      <c r="C559">
        <f>IF(Adecco_India[[#This Row],[Attrition]]="Yes",1,0)</f>
        <v>0</v>
      </c>
      <c r="F559">
        <v>35</v>
      </c>
      <c r="G559">
        <v>1</v>
      </c>
      <c r="J559">
        <v>4</v>
      </c>
      <c r="K559">
        <v>3</v>
      </c>
      <c r="N559">
        <v>1</v>
      </c>
      <c r="O559">
        <v>1</v>
      </c>
      <c r="Q559">
        <v>0</v>
      </c>
      <c r="R559">
        <v>3</v>
      </c>
      <c r="S559">
        <v>1</v>
      </c>
      <c r="U559" t="s">
        <v>38</v>
      </c>
      <c r="V559">
        <v>1</v>
      </c>
    </row>
    <row r="560" spans="2:22" x14ac:dyDescent="0.25">
      <c r="B560">
        <v>24</v>
      </c>
      <c r="C560">
        <f>IF(Adecco_India[[#This Row],[Attrition]]="Yes",1,0)</f>
        <v>0</v>
      </c>
      <c r="F560">
        <v>32</v>
      </c>
      <c r="G560">
        <v>4</v>
      </c>
      <c r="J560">
        <v>3</v>
      </c>
      <c r="K560">
        <v>3</v>
      </c>
      <c r="N560">
        <v>10</v>
      </c>
      <c r="O560">
        <v>4</v>
      </c>
      <c r="Q560">
        <v>4</v>
      </c>
      <c r="R560">
        <v>3</v>
      </c>
      <c r="S560">
        <v>1</v>
      </c>
      <c r="U560" t="s">
        <v>38</v>
      </c>
      <c r="V560">
        <v>1</v>
      </c>
    </row>
    <row r="561" spans="2:22" x14ac:dyDescent="0.25">
      <c r="B561">
        <v>2</v>
      </c>
      <c r="C561">
        <f>IF(Adecco_India[[#This Row],[Attrition]]="Yes",1,0)</f>
        <v>0</v>
      </c>
      <c r="F561">
        <v>38</v>
      </c>
      <c r="G561">
        <v>3</v>
      </c>
      <c r="J561">
        <v>1</v>
      </c>
      <c r="K561">
        <v>3</v>
      </c>
      <c r="N561">
        <v>1</v>
      </c>
      <c r="O561">
        <v>3</v>
      </c>
      <c r="Q561">
        <v>0</v>
      </c>
      <c r="R561">
        <v>3</v>
      </c>
      <c r="S561">
        <v>1</v>
      </c>
      <c r="U561" t="s">
        <v>51</v>
      </c>
      <c r="V561">
        <v>1</v>
      </c>
    </row>
    <row r="562" spans="2:22" x14ac:dyDescent="0.25">
      <c r="B562">
        <v>8</v>
      </c>
      <c r="C562">
        <f>IF(Adecco_India[[#This Row],[Attrition]]="Yes",1,0)</f>
        <v>0</v>
      </c>
      <c r="F562">
        <v>34</v>
      </c>
      <c r="G562">
        <v>1</v>
      </c>
      <c r="J562">
        <v>3</v>
      </c>
      <c r="K562">
        <v>3</v>
      </c>
      <c r="N562">
        <v>0</v>
      </c>
      <c r="O562">
        <v>1</v>
      </c>
      <c r="Q562">
        <v>0</v>
      </c>
      <c r="R562">
        <v>3</v>
      </c>
      <c r="S562">
        <v>1</v>
      </c>
      <c r="U562" t="s">
        <v>38</v>
      </c>
      <c r="V562">
        <v>1</v>
      </c>
    </row>
    <row r="563" spans="2:22" x14ac:dyDescent="0.25">
      <c r="B563">
        <v>3</v>
      </c>
      <c r="C563">
        <f>IF(Adecco_India[[#This Row],[Attrition]]="Yes",1,0)</f>
        <v>0</v>
      </c>
      <c r="F563">
        <v>52</v>
      </c>
      <c r="G563">
        <v>1</v>
      </c>
      <c r="J563">
        <v>4</v>
      </c>
      <c r="K563">
        <v>3</v>
      </c>
      <c r="N563">
        <v>34</v>
      </c>
      <c r="O563">
        <v>1</v>
      </c>
      <c r="Q563">
        <v>1</v>
      </c>
      <c r="R563">
        <v>3</v>
      </c>
      <c r="S563">
        <v>1</v>
      </c>
      <c r="U563" t="s">
        <v>59</v>
      </c>
      <c r="V563">
        <v>1</v>
      </c>
    </row>
    <row r="564" spans="2:22" x14ac:dyDescent="0.25">
      <c r="B564">
        <v>1</v>
      </c>
      <c r="C564">
        <f>IF(Adecco_India[[#This Row],[Attrition]]="Yes",1,0)</f>
        <v>1</v>
      </c>
      <c r="F564">
        <v>33</v>
      </c>
      <c r="G564">
        <v>4</v>
      </c>
      <c r="J564">
        <v>2</v>
      </c>
      <c r="K564">
        <v>3</v>
      </c>
      <c r="N564">
        <v>10</v>
      </c>
      <c r="O564">
        <v>4</v>
      </c>
      <c r="Q564">
        <v>7</v>
      </c>
      <c r="R564">
        <v>3</v>
      </c>
      <c r="S564">
        <v>1</v>
      </c>
      <c r="U564" t="s">
        <v>49</v>
      </c>
      <c r="V564">
        <v>1</v>
      </c>
    </row>
    <row r="565" spans="2:22" x14ac:dyDescent="0.25">
      <c r="B565">
        <v>26</v>
      </c>
      <c r="C565">
        <f>IF(Adecco_India[[#This Row],[Attrition]]="Yes",1,0)</f>
        <v>0</v>
      </c>
      <c r="F565">
        <v>25</v>
      </c>
      <c r="G565">
        <v>4</v>
      </c>
      <c r="J565">
        <v>2</v>
      </c>
      <c r="K565">
        <v>4</v>
      </c>
      <c r="N565">
        <v>6</v>
      </c>
      <c r="O565">
        <v>4</v>
      </c>
      <c r="Q565">
        <v>1</v>
      </c>
      <c r="R565">
        <v>4</v>
      </c>
      <c r="S565">
        <v>1</v>
      </c>
      <c r="U565" t="s">
        <v>51</v>
      </c>
      <c r="V565">
        <v>1</v>
      </c>
    </row>
    <row r="566" spans="2:22" x14ac:dyDescent="0.25">
      <c r="B566">
        <v>2</v>
      </c>
      <c r="C566">
        <f>IF(Adecco_India[[#This Row],[Attrition]]="Yes",1,0)</f>
        <v>0</v>
      </c>
      <c r="F566">
        <v>45</v>
      </c>
      <c r="G566">
        <v>3</v>
      </c>
      <c r="J566">
        <v>3</v>
      </c>
      <c r="K566">
        <v>3</v>
      </c>
      <c r="N566">
        <v>8</v>
      </c>
      <c r="O566">
        <v>3</v>
      </c>
      <c r="Q566">
        <v>3</v>
      </c>
      <c r="R566">
        <v>3</v>
      </c>
      <c r="S566">
        <v>1</v>
      </c>
      <c r="U566" t="s">
        <v>60</v>
      </c>
      <c r="V566">
        <v>1</v>
      </c>
    </row>
    <row r="567" spans="2:22" x14ac:dyDescent="0.25">
      <c r="B567">
        <v>10</v>
      </c>
      <c r="C567">
        <f>IF(Adecco_India[[#This Row],[Attrition]]="Yes",1,0)</f>
        <v>0</v>
      </c>
      <c r="F567">
        <v>23</v>
      </c>
      <c r="G567">
        <v>3</v>
      </c>
      <c r="J567">
        <v>3</v>
      </c>
      <c r="K567">
        <v>3</v>
      </c>
      <c r="N567">
        <v>2</v>
      </c>
      <c r="O567">
        <v>3</v>
      </c>
      <c r="Q567">
        <v>0</v>
      </c>
      <c r="R567">
        <v>3</v>
      </c>
      <c r="S567">
        <v>1</v>
      </c>
      <c r="U567" t="s">
        <v>51</v>
      </c>
      <c r="V567">
        <v>1</v>
      </c>
    </row>
    <row r="568" spans="2:22" x14ac:dyDescent="0.25">
      <c r="B568">
        <v>27</v>
      </c>
      <c r="C568">
        <f>IF(Adecco_India[[#This Row],[Attrition]]="Yes",1,0)</f>
        <v>1</v>
      </c>
      <c r="F568">
        <v>47</v>
      </c>
      <c r="G568">
        <v>3</v>
      </c>
      <c r="J568">
        <v>3</v>
      </c>
      <c r="K568">
        <v>3</v>
      </c>
      <c r="N568">
        <v>5</v>
      </c>
      <c r="O568">
        <v>3</v>
      </c>
      <c r="Q568">
        <v>1</v>
      </c>
      <c r="R568">
        <v>3</v>
      </c>
      <c r="S568">
        <v>1</v>
      </c>
      <c r="U568" t="s">
        <v>38</v>
      </c>
      <c r="V568">
        <v>1</v>
      </c>
    </row>
    <row r="569" spans="2:22" x14ac:dyDescent="0.25">
      <c r="B569">
        <v>2</v>
      </c>
      <c r="C569">
        <f>IF(Adecco_India[[#This Row],[Attrition]]="Yes",1,0)</f>
        <v>0</v>
      </c>
      <c r="F569">
        <v>34</v>
      </c>
      <c r="G569">
        <v>4</v>
      </c>
      <c r="J569">
        <v>3</v>
      </c>
      <c r="K569">
        <v>4</v>
      </c>
      <c r="N569">
        <v>6</v>
      </c>
      <c r="O569">
        <v>4</v>
      </c>
      <c r="Q569">
        <v>1</v>
      </c>
      <c r="R569">
        <v>4</v>
      </c>
      <c r="S569">
        <v>1</v>
      </c>
      <c r="U569" t="s">
        <v>49</v>
      </c>
      <c r="V569">
        <v>1</v>
      </c>
    </row>
    <row r="570" spans="2:22" x14ac:dyDescent="0.25">
      <c r="B570">
        <v>2</v>
      </c>
      <c r="C570">
        <f>IF(Adecco_India[[#This Row],[Attrition]]="Yes",1,0)</f>
        <v>1</v>
      </c>
      <c r="F570">
        <v>55</v>
      </c>
      <c r="G570">
        <v>1</v>
      </c>
      <c r="J570">
        <v>3</v>
      </c>
      <c r="K570">
        <v>3</v>
      </c>
      <c r="N570">
        <v>5</v>
      </c>
      <c r="O570">
        <v>1</v>
      </c>
      <c r="Q570">
        <v>1</v>
      </c>
      <c r="R570">
        <v>3</v>
      </c>
      <c r="S570">
        <v>1</v>
      </c>
      <c r="U570" t="s">
        <v>51</v>
      </c>
      <c r="V570">
        <v>1</v>
      </c>
    </row>
    <row r="571" spans="2:22" x14ac:dyDescent="0.25">
      <c r="B571">
        <v>8</v>
      </c>
      <c r="C571">
        <f>IF(Adecco_India[[#This Row],[Attrition]]="Yes",1,0)</f>
        <v>0</v>
      </c>
      <c r="F571">
        <v>36</v>
      </c>
      <c r="G571">
        <v>1</v>
      </c>
      <c r="J571">
        <v>3</v>
      </c>
      <c r="K571">
        <v>3</v>
      </c>
      <c r="N571">
        <v>10</v>
      </c>
      <c r="O571">
        <v>1</v>
      </c>
      <c r="Q571">
        <v>0</v>
      </c>
      <c r="R571">
        <v>3</v>
      </c>
      <c r="S571">
        <v>1</v>
      </c>
      <c r="U571" t="s">
        <v>38</v>
      </c>
      <c r="V571">
        <v>1</v>
      </c>
    </row>
    <row r="572" spans="2:22" x14ac:dyDescent="0.25">
      <c r="B572">
        <v>19</v>
      </c>
      <c r="C572">
        <f>IF(Adecco_India[[#This Row],[Attrition]]="Yes",1,0)</f>
        <v>0</v>
      </c>
      <c r="F572">
        <v>52</v>
      </c>
      <c r="G572">
        <v>4</v>
      </c>
      <c r="J572">
        <v>3</v>
      </c>
      <c r="K572">
        <v>3</v>
      </c>
      <c r="N572">
        <v>4</v>
      </c>
      <c r="O572">
        <v>4</v>
      </c>
      <c r="Q572">
        <v>1</v>
      </c>
      <c r="R572">
        <v>3</v>
      </c>
      <c r="S572">
        <v>1</v>
      </c>
      <c r="U572" t="s">
        <v>51</v>
      </c>
      <c r="V572">
        <v>1</v>
      </c>
    </row>
    <row r="573" spans="2:22" x14ac:dyDescent="0.25">
      <c r="B573">
        <v>1</v>
      </c>
      <c r="C573">
        <f>IF(Adecco_India[[#This Row],[Attrition]]="Yes",1,0)</f>
        <v>0</v>
      </c>
      <c r="F573">
        <v>26</v>
      </c>
      <c r="G573">
        <v>4</v>
      </c>
      <c r="J573">
        <v>3</v>
      </c>
      <c r="K573">
        <v>3</v>
      </c>
      <c r="N573">
        <v>2</v>
      </c>
      <c r="O573">
        <v>4</v>
      </c>
      <c r="Q573">
        <v>2</v>
      </c>
      <c r="R573">
        <v>3</v>
      </c>
      <c r="S573">
        <v>1</v>
      </c>
      <c r="U573" t="s">
        <v>38</v>
      </c>
      <c r="V573">
        <v>1</v>
      </c>
    </row>
    <row r="574" spans="2:22" x14ac:dyDescent="0.25">
      <c r="B574">
        <v>27</v>
      </c>
      <c r="C574">
        <f>IF(Adecco_India[[#This Row],[Attrition]]="Yes",1,0)</f>
        <v>0</v>
      </c>
      <c r="F574">
        <v>29</v>
      </c>
      <c r="G574">
        <v>3</v>
      </c>
      <c r="J574">
        <v>2</v>
      </c>
      <c r="K574">
        <v>3</v>
      </c>
      <c r="N574">
        <v>8</v>
      </c>
      <c r="O574">
        <v>3</v>
      </c>
      <c r="Q574">
        <v>1</v>
      </c>
      <c r="R574">
        <v>3</v>
      </c>
      <c r="S574">
        <v>1</v>
      </c>
      <c r="U574" t="s">
        <v>51</v>
      </c>
      <c r="V574">
        <v>1</v>
      </c>
    </row>
    <row r="575" spans="2:22" x14ac:dyDescent="0.25">
      <c r="B575">
        <v>8</v>
      </c>
      <c r="C575">
        <f>IF(Adecco_India[[#This Row],[Attrition]]="Yes",1,0)</f>
        <v>1</v>
      </c>
      <c r="F575">
        <v>26</v>
      </c>
      <c r="G575">
        <v>1</v>
      </c>
      <c r="J575">
        <v>2</v>
      </c>
      <c r="K575">
        <v>3</v>
      </c>
      <c r="N575">
        <v>4</v>
      </c>
      <c r="O575">
        <v>1</v>
      </c>
      <c r="Q575">
        <v>1</v>
      </c>
      <c r="R575">
        <v>3</v>
      </c>
      <c r="S575">
        <v>1</v>
      </c>
      <c r="U575" t="s">
        <v>60</v>
      </c>
      <c r="V575">
        <v>1</v>
      </c>
    </row>
    <row r="576" spans="2:22" x14ac:dyDescent="0.25">
      <c r="B576">
        <v>1</v>
      </c>
      <c r="C576">
        <f>IF(Adecco_India[[#This Row],[Attrition]]="Yes",1,0)</f>
        <v>0</v>
      </c>
      <c r="F576">
        <v>34</v>
      </c>
      <c r="G576">
        <v>4</v>
      </c>
      <c r="J576">
        <v>3</v>
      </c>
      <c r="K576">
        <v>3</v>
      </c>
      <c r="N576">
        <v>4</v>
      </c>
      <c r="O576">
        <v>4</v>
      </c>
      <c r="Q576">
        <v>1</v>
      </c>
      <c r="R576">
        <v>3</v>
      </c>
      <c r="S576">
        <v>1</v>
      </c>
      <c r="U576" t="s">
        <v>38</v>
      </c>
      <c r="V576">
        <v>1</v>
      </c>
    </row>
    <row r="577" spans="2:22" x14ac:dyDescent="0.25">
      <c r="B577">
        <v>19</v>
      </c>
      <c r="C577">
        <f>IF(Adecco_India[[#This Row],[Attrition]]="Yes",1,0)</f>
        <v>0</v>
      </c>
      <c r="F577">
        <v>54</v>
      </c>
      <c r="G577">
        <v>1</v>
      </c>
      <c r="J577">
        <v>3</v>
      </c>
      <c r="K577">
        <v>3</v>
      </c>
      <c r="N577">
        <v>5</v>
      </c>
      <c r="O577">
        <v>1</v>
      </c>
      <c r="Q577">
        <v>1</v>
      </c>
      <c r="R577">
        <v>3</v>
      </c>
      <c r="S577">
        <v>1</v>
      </c>
      <c r="U577" t="s">
        <v>51</v>
      </c>
      <c r="V577">
        <v>1</v>
      </c>
    </row>
    <row r="578" spans="2:22" x14ac:dyDescent="0.25">
      <c r="B578">
        <v>8</v>
      </c>
      <c r="C578">
        <f>IF(Adecco_India[[#This Row],[Attrition]]="Yes",1,0)</f>
        <v>0</v>
      </c>
      <c r="F578">
        <v>27</v>
      </c>
      <c r="G578">
        <v>4</v>
      </c>
      <c r="J578">
        <v>3</v>
      </c>
      <c r="K578">
        <v>3</v>
      </c>
      <c r="N578">
        <v>4</v>
      </c>
      <c r="O578">
        <v>4</v>
      </c>
      <c r="Q578">
        <v>1</v>
      </c>
      <c r="R578">
        <v>3</v>
      </c>
      <c r="S578">
        <v>1</v>
      </c>
      <c r="U578" t="s">
        <v>59</v>
      </c>
      <c r="V578">
        <v>1</v>
      </c>
    </row>
    <row r="579" spans="2:22" x14ac:dyDescent="0.25">
      <c r="B579">
        <v>10</v>
      </c>
      <c r="C579">
        <f>IF(Adecco_India[[#This Row],[Attrition]]="Yes",1,0)</f>
        <v>0</v>
      </c>
      <c r="F579">
        <v>37</v>
      </c>
      <c r="G579">
        <v>1</v>
      </c>
      <c r="J579">
        <v>2</v>
      </c>
      <c r="K579">
        <v>3</v>
      </c>
      <c r="N579">
        <v>5</v>
      </c>
      <c r="O579">
        <v>1</v>
      </c>
      <c r="Q579">
        <v>4</v>
      </c>
      <c r="R579">
        <v>3</v>
      </c>
      <c r="S579">
        <v>1</v>
      </c>
      <c r="U579" t="s">
        <v>38</v>
      </c>
      <c r="V579">
        <v>1</v>
      </c>
    </row>
    <row r="580" spans="2:22" x14ac:dyDescent="0.25">
      <c r="B580">
        <v>2</v>
      </c>
      <c r="C580">
        <f>IF(Adecco_India[[#This Row],[Attrition]]="Yes",1,0)</f>
        <v>0</v>
      </c>
      <c r="F580">
        <v>38</v>
      </c>
      <c r="G580">
        <v>1</v>
      </c>
      <c r="J580">
        <v>3</v>
      </c>
      <c r="K580">
        <v>3</v>
      </c>
      <c r="N580">
        <v>15</v>
      </c>
      <c r="O580">
        <v>1</v>
      </c>
      <c r="Q580">
        <v>4</v>
      </c>
      <c r="R580">
        <v>3</v>
      </c>
      <c r="S580">
        <v>1</v>
      </c>
      <c r="U580" t="s">
        <v>38</v>
      </c>
      <c r="V580">
        <v>1</v>
      </c>
    </row>
    <row r="581" spans="2:22" x14ac:dyDescent="0.25">
      <c r="B581">
        <v>2</v>
      </c>
      <c r="C581">
        <f>IF(Adecco_India[[#This Row],[Attrition]]="Yes",1,0)</f>
        <v>0</v>
      </c>
      <c r="F581">
        <v>34</v>
      </c>
      <c r="G581">
        <v>1</v>
      </c>
      <c r="J581">
        <v>3</v>
      </c>
      <c r="K581">
        <v>3</v>
      </c>
      <c r="N581">
        <v>6</v>
      </c>
      <c r="O581">
        <v>1</v>
      </c>
      <c r="Q581">
        <v>1</v>
      </c>
      <c r="R581">
        <v>3</v>
      </c>
      <c r="S581">
        <v>1</v>
      </c>
      <c r="U581" t="s">
        <v>51</v>
      </c>
      <c r="V581">
        <v>1</v>
      </c>
    </row>
    <row r="582" spans="2:22" x14ac:dyDescent="0.25">
      <c r="B582">
        <v>8</v>
      </c>
      <c r="C582">
        <f>IF(Adecco_India[[#This Row],[Attrition]]="Yes",1,0)</f>
        <v>0</v>
      </c>
      <c r="F582">
        <v>35</v>
      </c>
      <c r="G582">
        <v>4</v>
      </c>
      <c r="J582">
        <v>2</v>
      </c>
      <c r="K582">
        <v>3</v>
      </c>
      <c r="N582">
        <v>3</v>
      </c>
      <c r="O582">
        <v>4</v>
      </c>
      <c r="Q582">
        <v>0</v>
      </c>
      <c r="R582">
        <v>3</v>
      </c>
      <c r="S582">
        <v>1</v>
      </c>
      <c r="U582" t="s">
        <v>38</v>
      </c>
      <c r="V582">
        <v>1</v>
      </c>
    </row>
    <row r="583" spans="2:22" x14ac:dyDescent="0.25">
      <c r="B583">
        <v>1</v>
      </c>
      <c r="C583">
        <f>IF(Adecco_India[[#This Row],[Attrition]]="Yes",1,0)</f>
        <v>0</v>
      </c>
      <c r="F583">
        <v>30</v>
      </c>
      <c r="G583">
        <v>3</v>
      </c>
      <c r="J583">
        <v>3</v>
      </c>
      <c r="K583">
        <v>4</v>
      </c>
      <c r="N583">
        <v>2</v>
      </c>
      <c r="O583">
        <v>3</v>
      </c>
      <c r="Q583">
        <v>0</v>
      </c>
      <c r="R583">
        <v>4</v>
      </c>
      <c r="S583">
        <v>1</v>
      </c>
      <c r="U583" t="s">
        <v>38</v>
      </c>
      <c r="V583">
        <v>1</v>
      </c>
    </row>
    <row r="584" spans="2:22" x14ac:dyDescent="0.25">
      <c r="B584">
        <v>2</v>
      </c>
      <c r="C584">
        <f>IF(Adecco_India[[#This Row],[Attrition]]="Yes",1,0)</f>
        <v>0</v>
      </c>
      <c r="F584">
        <v>40</v>
      </c>
      <c r="G584">
        <v>2</v>
      </c>
      <c r="J584">
        <v>3</v>
      </c>
      <c r="K584">
        <v>4</v>
      </c>
      <c r="N584">
        <v>8</v>
      </c>
      <c r="O584">
        <v>2</v>
      </c>
      <c r="Q584">
        <v>3</v>
      </c>
      <c r="R584">
        <v>4</v>
      </c>
      <c r="S584">
        <v>1</v>
      </c>
      <c r="U584" t="s">
        <v>51</v>
      </c>
      <c r="V584">
        <v>1</v>
      </c>
    </row>
    <row r="585" spans="2:22" x14ac:dyDescent="0.25">
      <c r="B585">
        <v>8</v>
      </c>
      <c r="C585">
        <f>IF(Adecco_India[[#This Row],[Attrition]]="Yes",1,0)</f>
        <v>0</v>
      </c>
      <c r="F585">
        <v>34</v>
      </c>
      <c r="G585">
        <v>1</v>
      </c>
      <c r="J585">
        <v>3</v>
      </c>
      <c r="K585">
        <v>3</v>
      </c>
      <c r="N585">
        <v>3</v>
      </c>
      <c r="O585">
        <v>1</v>
      </c>
      <c r="Q585">
        <v>1</v>
      </c>
      <c r="R585">
        <v>3</v>
      </c>
      <c r="S585">
        <v>1</v>
      </c>
      <c r="U585" t="s">
        <v>38</v>
      </c>
      <c r="V585">
        <v>1</v>
      </c>
    </row>
    <row r="586" spans="2:22" x14ac:dyDescent="0.25">
      <c r="B586">
        <v>8</v>
      </c>
      <c r="C586">
        <f>IF(Adecco_India[[#This Row],[Attrition]]="Yes",1,0)</f>
        <v>0</v>
      </c>
      <c r="F586">
        <v>42</v>
      </c>
      <c r="G586">
        <v>4</v>
      </c>
      <c r="J586">
        <v>2</v>
      </c>
      <c r="K586">
        <v>3</v>
      </c>
      <c r="N586">
        <v>24</v>
      </c>
      <c r="O586">
        <v>4</v>
      </c>
      <c r="Q586">
        <v>14</v>
      </c>
      <c r="R586">
        <v>3</v>
      </c>
      <c r="S586">
        <v>1</v>
      </c>
      <c r="U586" t="s">
        <v>38</v>
      </c>
      <c r="V586">
        <v>1</v>
      </c>
    </row>
    <row r="587" spans="2:22" x14ac:dyDescent="0.25">
      <c r="B587">
        <v>6</v>
      </c>
      <c r="C587">
        <f>IF(Adecco_India[[#This Row],[Attrition]]="Yes",1,0)</f>
        <v>1</v>
      </c>
      <c r="F587">
        <v>23</v>
      </c>
      <c r="G587">
        <v>1</v>
      </c>
      <c r="J587">
        <v>3</v>
      </c>
      <c r="K587">
        <v>4</v>
      </c>
      <c r="N587">
        <v>0</v>
      </c>
      <c r="O587">
        <v>1</v>
      </c>
      <c r="Q587">
        <v>0</v>
      </c>
      <c r="R587">
        <v>4</v>
      </c>
      <c r="S587">
        <v>1</v>
      </c>
      <c r="U587" t="s">
        <v>38</v>
      </c>
      <c r="V587">
        <v>1</v>
      </c>
    </row>
    <row r="588" spans="2:22" x14ac:dyDescent="0.25">
      <c r="B588">
        <v>9</v>
      </c>
      <c r="C588">
        <f>IF(Adecco_India[[#This Row],[Attrition]]="Yes",1,0)</f>
        <v>0</v>
      </c>
      <c r="F588">
        <v>24</v>
      </c>
      <c r="G588">
        <v>2</v>
      </c>
      <c r="J588">
        <v>3</v>
      </c>
      <c r="K588">
        <v>3</v>
      </c>
      <c r="N588">
        <v>1</v>
      </c>
      <c r="O588">
        <v>2</v>
      </c>
      <c r="Q588">
        <v>0</v>
      </c>
      <c r="R588">
        <v>3</v>
      </c>
      <c r="S588">
        <v>1</v>
      </c>
      <c r="U588" t="s">
        <v>38</v>
      </c>
      <c r="V588">
        <v>1</v>
      </c>
    </row>
    <row r="589" spans="2:22" x14ac:dyDescent="0.25">
      <c r="B589">
        <v>11</v>
      </c>
      <c r="C589">
        <f>IF(Adecco_India[[#This Row],[Attrition]]="Yes",1,0)</f>
        <v>0</v>
      </c>
      <c r="F589">
        <v>52</v>
      </c>
      <c r="G589">
        <v>3</v>
      </c>
      <c r="J589">
        <v>3</v>
      </c>
      <c r="K589">
        <v>4</v>
      </c>
      <c r="N589">
        <v>5</v>
      </c>
      <c r="O589">
        <v>3</v>
      </c>
      <c r="Q589">
        <v>1</v>
      </c>
      <c r="R589">
        <v>4</v>
      </c>
      <c r="S589">
        <v>1</v>
      </c>
      <c r="U589" t="s">
        <v>38</v>
      </c>
      <c r="V589">
        <v>1</v>
      </c>
    </row>
    <row r="590" spans="2:22" x14ac:dyDescent="0.25">
      <c r="B590">
        <v>2</v>
      </c>
      <c r="C590">
        <f>IF(Adecco_India[[#This Row],[Attrition]]="Yes",1,0)</f>
        <v>0</v>
      </c>
      <c r="F590">
        <v>50</v>
      </c>
      <c r="G590">
        <v>3</v>
      </c>
      <c r="J590">
        <v>3</v>
      </c>
      <c r="K590">
        <v>3</v>
      </c>
      <c r="N590">
        <v>4</v>
      </c>
      <c r="O590">
        <v>3</v>
      </c>
      <c r="Q590">
        <v>0</v>
      </c>
      <c r="R590">
        <v>3</v>
      </c>
      <c r="S590">
        <v>1</v>
      </c>
      <c r="U590" t="s">
        <v>51</v>
      </c>
      <c r="V590">
        <v>1</v>
      </c>
    </row>
    <row r="591" spans="2:22" x14ac:dyDescent="0.25">
      <c r="B591">
        <v>1</v>
      </c>
      <c r="C591">
        <f>IF(Adecco_India[[#This Row],[Attrition]]="Yes",1,0)</f>
        <v>1</v>
      </c>
      <c r="F591">
        <v>29</v>
      </c>
      <c r="G591">
        <v>1</v>
      </c>
      <c r="J591">
        <v>3</v>
      </c>
      <c r="K591">
        <v>3</v>
      </c>
      <c r="N591">
        <v>1</v>
      </c>
      <c r="O591">
        <v>1</v>
      </c>
      <c r="Q591">
        <v>0</v>
      </c>
      <c r="R591">
        <v>3</v>
      </c>
      <c r="S591">
        <v>1</v>
      </c>
      <c r="U591" t="s">
        <v>38</v>
      </c>
      <c r="V591">
        <v>1</v>
      </c>
    </row>
    <row r="592" spans="2:22" x14ac:dyDescent="0.25">
      <c r="B592">
        <v>7</v>
      </c>
      <c r="C592">
        <f>IF(Adecco_India[[#This Row],[Attrition]]="Yes",1,0)</f>
        <v>0</v>
      </c>
      <c r="F592">
        <v>33</v>
      </c>
      <c r="G592">
        <v>3</v>
      </c>
      <c r="J592">
        <v>4</v>
      </c>
      <c r="K592">
        <v>3</v>
      </c>
      <c r="N592">
        <v>13</v>
      </c>
      <c r="O592">
        <v>3</v>
      </c>
      <c r="Q592">
        <v>3</v>
      </c>
      <c r="R592">
        <v>3</v>
      </c>
      <c r="S592">
        <v>1</v>
      </c>
      <c r="U592" t="s">
        <v>51</v>
      </c>
      <c r="V592">
        <v>1</v>
      </c>
    </row>
    <row r="593" spans="2:22" x14ac:dyDescent="0.25">
      <c r="B593">
        <v>16</v>
      </c>
      <c r="C593">
        <f>IF(Adecco_India[[#This Row],[Attrition]]="Yes",1,0)</f>
        <v>1</v>
      </c>
      <c r="F593">
        <v>33</v>
      </c>
      <c r="G593">
        <v>1</v>
      </c>
      <c r="J593">
        <v>3</v>
      </c>
      <c r="K593">
        <v>3</v>
      </c>
      <c r="N593">
        <v>3</v>
      </c>
      <c r="O593">
        <v>1</v>
      </c>
      <c r="Q593">
        <v>0</v>
      </c>
      <c r="R593">
        <v>3</v>
      </c>
      <c r="S593">
        <v>1</v>
      </c>
      <c r="U593" t="s">
        <v>59</v>
      </c>
      <c r="V593">
        <v>1</v>
      </c>
    </row>
    <row r="594" spans="2:22" x14ac:dyDescent="0.25">
      <c r="B594">
        <v>2</v>
      </c>
      <c r="C594">
        <f>IF(Adecco_India[[#This Row],[Attrition]]="Yes",1,0)</f>
        <v>0</v>
      </c>
      <c r="F594">
        <v>47</v>
      </c>
      <c r="G594">
        <v>4</v>
      </c>
      <c r="J594">
        <v>2</v>
      </c>
      <c r="K594">
        <v>3</v>
      </c>
      <c r="N594">
        <v>26</v>
      </c>
      <c r="O594">
        <v>4</v>
      </c>
      <c r="Q594">
        <v>3</v>
      </c>
      <c r="R594">
        <v>3</v>
      </c>
      <c r="S594">
        <v>1</v>
      </c>
      <c r="U594" t="s">
        <v>49</v>
      </c>
      <c r="V594">
        <v>1</v>
      </c>
    </row>
    <row r="595" spans="2:22" x14ac:dyDescent="0.25">
      <c r="B595">
        <v>1</v>
      </c>
      <c r="C595">
        <f>IF(Adecco_India[[#This Row],[Attrition]]="Yes",1,0)</f>
        <v>0</v>
      </c>
      <c r="F595">
        <v>36</v>
      </c>
      <c r="G595">
        <v>2</v>
      </c>
      <c r="J595">
        <v>3</v>
      </c>
      <c r="K595">
        <v>3</v>
      </c>
      <c r="N595">
        <v>9</v>
      </c>
      <c r="O595">
        <v>2</v>
      </c>
      <c r="Q595">
        <v>0</v>
      </c>
      <c r="R595">
        <v>3</v>
      </c>
      <c r="S595">
        <v>1</v>
      </c>
      <c r="U595" t="s">
        <v>49</v>
      </c>
      <c r="V595">
        <v>1</v>
      </c>
    </row>
    <row r="596" spans="2:22" x14ac:dyDescent="0.25">
      <c r="B596">
        <v>23</v>
      </c>
      <c r="C596">
        <f>IF(Adecco_India[[#This Row],[Attrition]]="Yes",1,0)</f>
        <v>0</v>
      </c>
      <c r="F596">
        <v>29</v>
      </c>
      <c r="G596">
        <v>3</v>
      </c>
      <c r="J596">
        <v>3</v>
      </c>
      <c r="K596">
        <v>4</v>
      </c>
      <c r="N596">
        <v>10</v>
      </c>
      <c r="O596">
        <v>3</v>
      </c>
      <c r="Q596">
        <v>0</v>
      </c>
      <c r="R596">
        <v>4</v>
      </c>
      <c r="S596">
        <v>1</v>
      </c>
      <c r="U596" t="s">
        <v>38</v>
      </c>
      <c r="V596">
        <v>1</v>
      </c>
    </row>
    <row r="597" spans="2:22" x14ac:dyDescent="0.25">
      <c r="B597">
        <v>2</v>
      </c>
      <c r="C597">
        <f>IF(Adecco_India[[#This Row],[Attrition]]="Yes",1,0)</f>
        <v>1</v>
      </c>
      <c r="F597">
        <v>58</v>
      </c>
      <c r="G597">
        <v>2</v>
      </c>
      <c r="J597">
        <v>3</v>
      </c>
      <c r="K597">
        <v>3</v>
      </c>
      <c r="N597">
        <v>31</v>
      </c>
      <c r="O597">
        <v>2</v>
      </c>
      <c r="Q597">
        <v>13</v>
      </c>
      <c r="R597">
        <v>3</v>
      </c>
      <c r="S597">
        <v>1</v>
      </c>
      <c r="U597" t="s">
        <v>38</v>
      </c>
      <c r="V597">
        <v>1</v>
      </c>
    </row>
    <row r="598" spans="2:22" x14ac:dyDescent="0.25">
      <c r="B598">
        <v>1</v>
      </c>
      <c r="C598">
        <f>IF(Adecco_India[[#This Row],[Attrition]]="Yes",1,0)</f>
        <v>0</v>
      </c>
      <c r="F598">
        <v>35</v>
      </c>
      <c r="G598">
        <v>3</v>
      </c>
      <c r="J598">
        <v>3</v>
      </c>
      <c r="K598">
        <v>3</v>
      </c>
      <c r="N598">
        <v>2</v>
      </c>
      <c r="O598">
        <v>3</v>
      </c>
      <c r="Q598">
        <v>2</v>
      </c>
      <c r="R598">
        <v>3</v>
      </c>
      <c r="S598">
        <v>1</v>
      </c>
      <c r="U598" t="s">
        <v>38</v>
      </c>
      <c r="V598">
        <v>1</v>
      </c>
    </row>
    <row r="599" spans="2:22" x14ac:dyDescent="0.25">
      <c r="B599">
        <v>1</v>
      </c>
      <c r="C599">
        <f>IF(Adecco_India[[#This Row],[Attrition]]="Yes",1,0)</f>
        <v>0</v>
      </c>
      <c r="F599">
        <v>42</v>
      </c>
      <c r="G599">
        <v>4</v>
      </c>
      <c r="J599">
        <v>3</v>
      </c>
      <c r="K599">
        <v>3</v>
      </c>
      <c r="N599">
        <v>4</v>
      </c>
      <c r="O599">
        <v>4</v>
      </c>
      <c r="Q599">
        <v>0</v>
      </c>
      <c r="R599">
        <v>3</v>
      </c>
      <c r="S599">
        <v>1</v>
      </c>
      <c r="U599" t="s">
        <v>38</v>
      </c>
      <c r="V599">
        <v>1</v>
      </c>
    </row>
    <row r="600" spans="2:22" x14ac:dyDescent="0.25">
      <c r="B600">
        <v>2</v>
      </c>
      <c r="C600">
        <f>IF(Adecco_India[[#This Row],[Attrition]]="Yes",1,0)</f>
        <v>1</v>
      </c>
      <c r="F600">
        <v>28</v>
      </c>
      <c r="G600">
        <v>3</v>
      </c>
      <c r="J600">
        <v>2</v>
      </c>
      <c r="K600">
        <v>3</v>
      </c>
      <c r="N600">
        <v>2</v>
      </c>
      <c r="O600">
        <v>3</v>
      </c>
      <c r="Q600">
        <v>2</v>
      </c>
      <c r="R600">
        <v>3</v>
      </c>
      <c r="S600">
        <v>1</v>
      </c>
      <c r="U600" t="s">
        <v>51</v>
      </c>
      <c r="V600">
        <v>1</v>
      </c>
    </row>
    <row r="601" spans="2:22" x14ac:dyDescent="0.25">
      <c r="B601">
        <v>13</v>
      </c>
      <c r="C601">
        <f>IF(Adecco_India[[#This Row],[Attrition]]="Yes",1,0)</f>
        <v>0</v>
      </c>
      <c r="F601">
        <v>36</v>
      </c>
      <c r="G601">
        <v>2</v>
      </c>
      <c r="J601">
        <v>3</v>
      </c>
      <c r="K601">
        <v>3</v>
      </c>
      <c r="N601">
        <v>5</v>
      </c>
      <c r="O601">
        <v>2</v>
      </c>
      <c r="Q601">
        <v>0</v>
      </c>
      <c r="R601">
        <v>3</v>
      </c>
      <c r="S601">
        <v>1</v>
      </c>
      <c r="U601" t="s">
        <v>61</v>
      </c>
      <c r="V601">
        <v>1</v>
      </c>
    </row>
    <row r="602" spans="2:22" x14ac:dyDescent="0.25">
      <c r="B602">
        <v>4</v>
      </c>
      <c r="C602">
        <f>IF(Adecco_India[[#This Row],[Attrition]]="Yes",1,0)</f>
        <v>0</v>
      </c>
      <c r="F602">
        <v>32</v>
      </c>
      <c r="G602">
        <v>3</v>
      </c>
      <c r="J602">
        <v>3</v>
      </c>
      <c r="K602">
        <v>3</v>
      </c>
      <c r="N602">
        <v>14</v>
      </c>
      <c r="O602">
        <v>3</v>
      </c>
      <c r="Q602">
        <v>6</v>
      </c>
      <c r="R602">
        <v>3</v>
      </c>
      <c r="S602">
        <v>1</v>
      </c>
      <c r="U602" t="s">
        <v>38</v>
      </c>
      <c r="V602">
        <v>1</v>
      </c>
    </row>
    <row r="603" spans="2:22" x14ac:dyDescent="0.25">
      <c r="B603">
        <v>16</v>
      </c>
      <c r="C603">
        <f>IF(Adecco_India[[#This Row],[Attrition]]="Yes",1,0)</f>
        <v>0</v>
      </c>
      <c r="F603">
        <v>40</v>
      </c>
      <c r="G603">
        <v>3</v>
      </c>
      <c r="J603">
        <v>3</v>
      </c>
      <c r="K603">
        <v>3</v>
      </c>
      <c r="N603">
        <v>1</v>
      </c>
      <c r="O603">
        <v>3</v>
      </c>
      <c r="Q603">
        <v>0</v>
      </c>
      <c r="R603">
        <v>3</v>
      </c>
      <c r="S603">
        <v>1</v>
      </c>
      <c r="U603" t="s">
        <v>51</v>
      </c>
      <c r="V603">
        <v>1</v>
      </c>
    </row>
    <row r="604" spans="2:22" x14ac:dyDescent="0.25">
      <c r="B604">
        <v>2</v>
      </c>
      <c r="C604">
        <f>IF(Adecco_India[[#This Row],[Attrition]]="Yes",1,0)</f>
        <v>0</v>
      </c>
      <c r="F604">
        <v>30</v>
      </c>
      <c r="G604">
        <v>4</v>
      </c>
      <c r="J604">
        <v>2</v>
      </c>
      <c r="K604">
        <v>4</v>
      </c>
      <c r="N604">
        <v>0</v>
      </c>
      <c r="O604">
        <v>4</v>
      </c>
      <c r="Q604">
        <v>0</v>
      </c>
      <c r="R604">
        <v>4</v>
      </c>
      <c r="S604">
        <v>1</v>
      </c>
      <c r="U604" t="s">
        <v>51</v>
      </c>
      <c r="V604">
        <v>1</v>
      </c>
    </row>
    <row r="605" spans="2:22" x14ac:dyDescent="0.25">
      <c r="B605">
        <v>2</v>
      </c>
      <c r="C605">
        <f>IF(Adecco_India[[#This Row],[Attrition]]="Yes",1,0)</f>
        <v>0</v>
      </c>
      <c r="F605">
        <v>45</v>
      </c>
      <c r="G605">
        <v>3</v>
      </c>
      <c r="J605">
        <v>3</v>
      </c>
      <c r="K605">
        <v>3</v>
      </c>
      <c r="N605">
        <v>1</v>
      </c>
      <c r="O605">
        <v>3</v>
      </c>
      <c r="Q605">
        <v>0</v>
      </c>
      <c r="R605">
        <v>3</v>
      </c>
      <c r="S605">
        <v>1</v>
      </c>
      <c r="U605" t="s">
        <v>38</v>
      </c>
      <c r="V605">
        <v>1</v>
      </c>
    </row>
    <row r="606" spans="2:22" x14ac:dyDescent="0.25">
      <c r="B606">
        <v>29</v>
      </c>
      <c r="C606">
        <f>IF(Adecco_India[[#This Row],[Attrition]]="Yes",1,0)</f>
        <v>0</v>
      </c>
      <c r="F606">
        <v>42</v>
      </c>
      <c r="G606">
        <v>2</v>
      </c>
      <c r="J606">
        <v>2</v>
      </c>
      <c r="K606">
        <v>3</v>
      </c>
      <c r="N606">
        <v>9</v>
      </c>
      <c r="O606">
        <v>2</v>
      </c>
      <c r="Q606">
        <v>7</v>
      </c>
      <c r="R606">
        <v>3</v>
      </c>
      <c r="S606">
        <v>1</v>
      </c>
      <c r="U606" t="s">
        <v>38</v>
      </c>
      <c r="V606">
        <v>1</v>
      </c>
    </row>
    <row r="607" spans="2:22" x14ac:dyDescent="0.25">
      <c r="B607">
        <v>12</v>
      </c>
      <c r="C607">
        <f>IF(Adecco_India[[#This Row],[Attrition]]="Yes",1,0)</f>
        <v>0</v>
      </c>
      <c r="F607">
        <v>38</v>
      </c>
      <c r="G607">
        <v>1</v>
      </c>
      <c r="J607">
        <v>2</v>
      </c>
      <c r="K607">
        <v>3</v>
      </c>
      <c r="N607">
        <v>4</v>
      </c>
      <c r="O607">
        <v>1</v>
      </c>
      <c r="Q607">
        <v>1</v>
      </c>
      <c r="R607">
        <v>3</v>
      </c>
      <c r="S607">
        <v>1</v>
      </c>
      <c r="U607" t="s">
        <v>38</v>
      </c>
      <c r="V607">
        <v>1</v>
      </c>
    </row>
    <row r="608" spans="2:22" x14ac:dyDescent="0.25">
      <c r="B608">
        <v>16</v>
      </c>
      <c r="C608">
        <f>IF(Adecco_India[[#This Row],[Attrition]]="Yes",1,0)</f>
        <v>0</v>
      </c>
      <c r="F608">
        <v>34</v>
      </c>
      <c r="G608">
        <v>4</v>
      </c>
      <c r="J608">
        <v>3</v>
      </c>
      <c r="K608">
        <v>3</v>
      </c>
      <c r="N608">
        <v>5</v>
      </c>
      <c r="O608">
        <v>4</v>
      </c>
      <c r="Q608">
        <v>1</v>
      </c>
      <c r="R608">
        <v>3</v>
      </c>
      <c r="S608">
        <v>1</v>
      </c>
      <c r="U608" t="s">
        <v>38</v>
      </c>
      <c r="V608">
        <v>1</v>
      </c>
    </row>
    <row r="609" spans="2:22" x14ac:dyDescent="0.25">
      <c r="B609">
        <v>11</v>
      </c>
      <c r="C609">
        <f>IF(Adecco_India[[#This Row],[Attrition]]="Yes",1,0)</f>
        <v>1</v>
      </c>
      <c r="F609">
        <v>49</v>
      </c>
      <c r="G609">
        <v>4</v>
      </c>
      <c r="J609">
        <v>4</v>
      </c>
      <c r="K609">
        <v>3</v>
      </c>
      <c r="N609">
        <v>9</v>
      </c>
      <c r="O609">
        <v>4</v>
      </c>
      <c r="Q609">
        <v>7</v>
      </c>
      <c r="R609">
        <v>3</v>
      </c>
      <c r="S609">
        <v>1</v>
      </c>
      <c r="U609" t="s">
        <v>59</v>
      </c>
      <c r="V609">
        <v>1</v>
      </c>
    </row>
    <row r="610" spans="2:22" x14ac:dyDescent="0.25">
      <c r="B610">
        <v>2</v>
      </c>
      <c r="C610">
        <f>IF(Adecco_India[[#This Row],[Attrition]]="Yes",1,0)</f>
        <v>1</v>
      </c>
      <c r="F610">
        <v>55</v>
      </c>
      <c r="G610">
        <v>4</v>
      </c>
      <c r="J610">
        <v>2</v>
      </c>
      <c r="K610">
        <v>3</v>
      </c>
      <c r="N610">
        <v>9</v>
      </c>
      <c r="O610">
        <v>4</v>
      </c>
      <c r="Q610">
        <v>7</v>
      </c>
      <c r="R610">
        <v>3</v>
      </c>
      <c r="S610">
        <v>1</v>
      </c>
      <c r="U610" t="s">
        <v>51</v>
      </c>
      <c r="V610">
        <v>1</v>
      </c>
    </row>
    <row r="611" spans="2:22" x14ac:dyDescent="0.25">
      <c r="B611">
        <v>14</v>
      </c>
      <c r="C611">
        <f>IF(Adecco_India[[#This Row],[Attrition]]="Yes",1,0)</f>
        <v>0</v>
      </c>
      <c r="F611">
        <v>43</v>
      </c>
      <c r="G611">
        <v>1</v>
      </c>
      <c r="J611">
        <v>3</v>
      </c>
      <c r="K611">
        <v>4</v>
      </c>
      <c r="N611">
        <v>4</v>
      </c>
      <c r="O611">
        <v>1</v>
      </c>
      <c r="Q611">
        <v>1</v>
      </c>
      <c r="R611">
        <v>4</v>
      </c>
      <c r="S611">
        <v>1</v>
      </c>
      <c r="U611" t="s">
        <v>38</v>
      </c>
      <c r="V611">
        <v>1</v>
      </c>
    </row>
    <row r="612" spans="2:22" x14ac:dyDescent="0.25">
      <c r="B612">
        <v>5</v>
      </c>
      <c r="C612">
        <f>IF(Adecco_India[[#This Row],[Attrition]]="Yes",1,0)</f>
        <v>0</v>
      </c>
      <c r="F612">
        <v>27</v>
      </c>
      <c r="G612">
        <v>4</v>
      </c>
      <c r="J612">
        <v>3</v>
      </c>
      <c r="K612">
        <v>3</v>
      </c>
      <c r="N612">
        <v>9</v>
      </c>
      <c r="O612">
        <v>4</v>
      </c>
      <c r="Q612">
        <v>0</v>
      </c>
      <c r="R612">
        <v>3</v>
      </c>
      <c r="S612">
        <v>1</v>
      </c>
      <c r="U612" t="s">
        <v>60</v>
      </c>
      <c r="V612">
        <v>1</v>
      </c>
    </row>
    <row r="613" spans="2:22" x14ac:dyDescent="0.25">
      <c r="B613">
        <v>7</v>
      </c>
      <c r="C613">
        <f>IF(Adecco_India[[#This Row],[Attrition]]="Yes",1,0)</f>
        <v>0</v>
      </c>
      <c r="F613">
        <v>35</v>
      </c>
      <c r="G613">
        <v>3</v>
      </c>
      <c r="J613">
        <v>4</v>
      </c>
      <c r="K613">
        <v>4</v>
      </c>
      <c r="N613">
        <v>8</v>
      </c>
      <c r="O613">
        <v>3</v>
      </c>
      <c r="Q613">
        <v>1</v>
      </c>
      <c r="R613">
        <v>4</v>
      </c>
      <c r="S613">
        <v>1</v>
      </c>
      <c r="U613" t="s">
        <v>49</v>
      </c>
      <c r="V613">
        <v>1</v>
      </c>
    </row>
    <row r="614" spans="2:22" x14ac:dyDescent="0.25">
      <c r="B614">
        <v>2</v>
      </c>
      <c r="C614">
        <f>IF(Adecco_India[[#This Row],[Attrition]]="Yes",1,0)</f>
        <v>0</v>
      </c>
      <c r="F614">
        <v>28</v>
      </c>
      <c r="G614">
        <v>2</v>
      </c>
      <c r="J614">
        <v>3</v>
      </c>
      <c r="K614">
        <v>4</v>
      </c>
      <c r="N614">
        <v>8</v>
      </c>
      <c r="O614">
        <v>2</v>
      </c>
      <c r="Q614">
        <v>7</v>
      </c>
      <c r="R614">
        <v>4</v>
      </c>
      <c r="S614">
        <v>1</v>
      </c>
      <c r="U614" t="s">
        <v>59</v>
      </c>
      <c r="V614">
        <v>1</v>
      </c>
    </row>
    <row r="615" spans="2:22" x14ac:dyDescent="0.25">
      <c r="B615">
        <v>3</v>
      </c>
      <c r="C615">
        <f>IF(Adecco_India[[#This Row],[Attrition]]="Yes",1,0)</f>
        <v>0</v>
      </c>
      <c r="F615">
        <v>34</v>
      </c>
      <c r="G615">
        <v>4</v>
      </c>
      <c r="J615">
        <v>1</v>
      </c>
      <c r="K615">
        <v>3</v>
      </c>
      <c r="N615">
        <v>3</v>
      </c>
      <c r="O615">
        <v>4</v>
      </c>
      <c r="Q615">
        <v>0</v>
      </c>
      <c r="R615">
        <v>3</v>
      </c>
      <c r="S615">
        <v>1</v>
      </c>
      <c r="U615" t="s">
        <v>61</v>
      </c>
      <c r="V615">
        <v>1</v>
      </c>
    </row>
    <row r="616" spans="2:22" x14ac:dyDescent="0.25">
      <c r="B616">
        <v>5</v>
      </c>
      <c r="C616">
        <f>IF(Adecco_India[[#This Row],[Attrition]]="Yes",1,0)</f>
        <v>1</v>
      </c>
      <c r="F616">
        <v>26</v>
      </c>
      <c r="G616">
        <v>3</v>
      </c>
      <c r="J616">
        <v>3</v>
      </c>
      <c r="K616">
        <v>3</v>
      </c>
      <c r="N616">
        <v>8</v>
      </c>
      <c r="O616">
        <v>3</v>
      </c>
      <c r="Q616">
        <v>1</v>
      </c>
      <c r="R616">
        <v>3</v>
      </c>
      <c r="S616">
        <v>1</v>
      </c>
      <c r="U616" t="s">
        <v>51</v>
      </c>
      <c r="V616">
        <v>1</v>
      </c>
    </row>
    <row r="617" spans="2:22" x14ac:dyDescent="0.25">
      <c r="B617">
        <v>3</v>
      </c>
      <c r="C617">
        <f>IF(Adecco_India[[#This Row],[Attrition]]="Yes",1,0)</f>
        <v>0</v>
      </c>
      <c r="F617">
        <v>27</v>
      </c>
      <c r="G617">
        <v>4</v>
      </c>
      <c r="J617">
        <v>2</v>
      </c>
      <c r="K617">
        <v>3</v>
      </c>
      <c r="N617">
        <v>0</v>
      </c>
      <c r="O617">
        <v>4</v>
      </c>
      <c r="Q617">
        <v>0</v>
      </c>
      <c r="R617">
        <v>3</v>
      </c>
      <c r="S617">
        <v>1</v>
      </c>
      <c r="U617" t="s">
        <v>51</v>
      </c>
      <c r="V617">
        <v>1</v>
      </c>
    </row>
    <row r="618" spans="2:22" x14ac:dyDescent="0.25">
      <c r="B618">
        <v>26</v>
      </c>
      <c r="C618">
        <f>IF(Adecco_India[[#This Row],[Attrition]]="Yes",1,0)</f>
        <v>0</v>
      </c>
      <c r="F618">
        <v>51</v>
      </c>
      <c r="G618">
        <v>3</v>
      </c>
      <c r="J618">
        <v>2</v>
      </c>
      <c r="K618">
        <v>3</v>
      </c>
      <c r="N618">
        <v>20</v>
      </c>
      <c r="O618">
        <v>3</v>
      </c>
      <c r="Q618">
        <v>4</v>
      </c>
      <c r="R618">
        <v>3</v>
      </c>
      <c r="S618">
        <v>1</v>
      </c>
      <c r="U618" t="s">
        <v>59</v>
      </c>
      <c r="V618">
        <v>1</v>
      </c>
    </row>
    <row r="619" spans="2:22" x14ac:dyDescent="0.25">
      <c r="B619">
        <v>4</v>
      </c>
      <c r="C619">
        <f>IF(Adecco_India[[#This Row],[Attrition]]="Yes",1,0)</f>
        <v>0</v>
      </c>
      <c r="F619">
        <v>44</v>
      </c>
      <c r="G619">
        <v>2</v>
      </c>
      <c r="J619">
        <v>2</v>
      </c>
      <c r="K619">
        <v>3</v>
      </c>
      <c r="N619">
        <v>5</v>
      </c>
      <c r="O619">
        <v>2</v>
      </c>
      <c r="Q619">
        <v>2</v>
      </c>
      <c r="R619">
        <v>3</v>
      </c>
      <c r="S619">
        <v>1</v>
      </c>
      <c r="U619" t="s">
        <v>51</v>
      </c>
      <c r="V619">
        <v>1</v>
      </c>
    </row>
    <row r="620" spans="2:22" x14ac:dyDescent="0.25">
      <c r="B620">
        <v>2</v>
      </c>
      <c r="C620">
        <f>IF(Adecco_India[[#This Row],[Attrition]]="Yes",1,0)</f>
        <v>0</v>
      </c>
      <c r="F620">
        <v>25</v>
      </c>
      <c r="G620">
        <v>1</v>
      </c>
      <c r="J620">
        <v>2</v>
      </c>
      <c r="K620">
        <v>3</v>
      </c>
      <c r="N620">
        <v>4</v>
      </c>
      <c r="O620">
        <v>1</v>
      </c>
      <c r="Q620">
        <v>0</v>
      </c>
      <c r="R620">
        <v>3</v>
      </c>
      <c r="S620">
        <v>1</v>
      </c>
      <c r="U620" t="s">
        <v>51</v>
      </c>
      <c r="V620">
        <v>1</v>
      </c>
    </row>
    <row r="621" spans="2:22" x14ac:dyDescent="0.25">
      <c r="B621">
        <v>1</v>
      </c>
      <c r="C621">
        <f>IF(Adecco_India[[#This Row],[Attrition]]="Yes",1,0)</f>
        <v>0</v>
      </c>
      <c r="F621">
        <v>33</v>
      </c>
      <c r="G621">
        <v>1</v>
      </c>
      <c r="J621">
        <v>3</v>
      </c>
      <c r="K621">
        <v>4</v>
      </c>
      <c r="N621">
        <v>9</v>
      </c>
      <c r="O621">
        <v>1</v>
      </c>
      <c r="Q621">
        <v>0</v>
      </c>
      <c r="R621">
        <v>4</v>
      </c>
      <c r="S621">
        <v>1</v>
      </c>
      <c r="U621" t="s">
        <v>51</v>
      </c>
      <c r="V621">
        <v>1</v>
      </c>
    </row>
    <row r="622" spans="2:22" x14ac:dyDescent="0.25">
      <c r="B622">
        <v>27</v>
      </c>
      <c r="C622">
        <f>IF(Adecco_India[[#This Row],[Attrition]]="Yes",1,0)</f>
        <v>0</v>
      </c>
      <c r="F622">
        <v>35</v>
      </c>
      <c r="G622">
        <v>1</v>
      </c>
      <c r="J622">
        <v>2</v>
      </c>
      <c r="K622">
        <v>3</v>
      </c>
      <c r="N622">
        <v>6</v>
      </c>
      <c r="O622">
        <v>1</v>
      </c>
      <c r="Q622">
        <v>1</v>
      </c>
      <c r="R622">
        <v>3</v>
      </c>
      <c r="S622">
        <v>1</v>
      </c>
      <c r="U622" t="s">
        <v>51</v>
      </c>
      <c r="V622">
        <v>1</v>
      </c>
    </row>
    <row r="623" spans="2:22" x14ac:dyDescent="0.25">
      <c r="B623">
        <v>1</v>
      </c>
      <c r="C623">
        <f>IF(Adecco_India[[#This Row],[Attrition]]="Yes",1,0)</f>
        <v>0</v>
      </c>
      <c r="F623">
        <v>36</v>
      </c>
      <c r="G623">
        <v>4</v>
      </c>
      <c r="J623">
        <v>2</v>
      </c>
      <c r="K623">
        <v>3</v>
      </c>
      <c r="N623">
        <v>18</v>
      </c>
      <c r="O623">
        <v>4</v>
      </c>
      <c r="Q623">
        <v>4</v>
      </c>
      <c r="R623">
        <v>3</v>
      </c>
      <c r="S623">
        <v>1</v>
      </c>
      <c r="U623" t="s">
        <v>38</v>
      </c>
      <c r="V623">
        <v>1</v>
      </c>
    </row>
    <row r="624" spans="2:22" x14ac:dyDescent="0.25">
      <c r="B624">
        <v>13</v>
      </c>
      <c r="C624">
        <f>IF(Adecco_India[[#This Row],[Attrition]]="Yes",1,0)</f>
        <v>0</v>
      </c>
      <c r="F624">
        <v>32</v>
      </c>
      <c r="G624">
        <v>4</v>
      </c>
      <c r="J624">
        <v>2</v>
      </c>
      <c r="K624">
        <v>3</v>
      </c>
      <c r="N624">
        <v>5</v>
      </c>
      <c r="O624">
        <v>4</v>
      </c>
      <c r="Q624">
        <v>0</v>
      </c>
      <c r="R624">
        <v>3</v>
      </c>
      <c r="S624">
        <v>1</v>
      </c>
      <c r="U624" t="s">
        <v>38</v>
      </c>
      <c r="V624">
        <v>1</v>
      </c>
    </row>
    <row r="625" spans="2:22" x14ac:dyDescent="0.25">
      <c r="B625">
        <v>5</v>
      </c>
      <c r="C625">
        <f>IF(Adecco_India[[#This Row],[Attrition]]="Yes",1,0)</f>
        <v>0</v>
      </c>
      <c r="F625">
        <v>30</v>
      </c>
      <c r="G625">
        <v>4</v>
      </c>
      <c r="J625">
        <v>2</v>
      </c>
      <c r="K625">
        <v>3</v>
      </c>
      <c r="N625">
        <v>5</v>
      </c>
      <c r="O625">
        <v>4</v>
      </c>
      <c r="Q625">
        <v>0</v>
      </c>
      <c r="R625">
        <v>3</v>
      </c>
      <c r="S625">
        <v>1</v>
      </c>
      <c r="U625" t="s">
        <v>38</v>
      </c>
      <c r="V625">
        <v>1</v>
      </c>
    </row>
    <row r="626" spans="2:22" x14ac:dyDescent="0.25">
      <c r="B626">
        <v>7</v>
      </c>
      <c r="C626">
        <f>IF(Adecco_India[[#This Row],[Attrition]]="Yes",1,0)</f>
        <v>0</v>
      </c>
      <c r="F626">
        <v>53</v>
      </c>
      <c r="G626">
        <v>4</v>
      </c>
      <c r="J626">
        <v>3</v>
      </c>
      <c r="K626">
        <v>3</v>
      </c>
      <c r="N626">
        <v>5</v>
      </c>
      <c r="O626">
        <v>4</v>
      </c>
      <c r="Q626">
        <v>0</v>
      </c>
      <c r="R626">
        <v>3</v>
      </c>
      <c r="S626">
        <v>1</v>
      </c>
      <c r="U626" t="s">
        <v>59</v>
      </c>
      <c r="V626">
        <v>1</v>
      </c>
    </row>
    <row r="627" spans="2:22" x14ac:dyDescent="0.25">
      <c r="B627">
        <v>9</v>
      </c>
      <c r="C627">
        <f>IF(Adecco_India[[#This Row],[Attrition]]="Yes",1,0)</f>
        <v>0</v>
      </c>
      <c r="F627">
        <v>45</v>
      </c>
      <c r="G627">
        <v>1</v>
      </c>
      <c r="J627">
        <v>3</v>
      </c>
      <c r="K627">
        <v>3</v>
      </c>
      <c r="N627">
        <v>5</v>
      </c>
      <c r="O627">
        <v>1</v>
      </c>
      <c r="Q627">
        <v>0</v>
      </c>
      <c r="R627">
        <v>3</v>
      </c>
      <c r="S627">
        <v>1</v>
      </c>
      <c r="U627" t="s">
        <v>59</v>
      </c>
      <c r="V627">
        <v>1</v>
      </c>
    </row>
    <row r="628" spans="2:22" x14ac:dyDescent="0.25">
      <c r="B628">
        <v>8</v>
      </c>
      <c r="C628">
        <f>IF(Adecco_India[[#This Row],[Attrition]]="Yes",1,0)</f>
        <v>0</v>
      </c>
      <c r="F628">
        <v>32</v>
      </c>
      <c r="G628">
        <v>3</v>
      </c>
      <c r="J628">
        <v>2</v>
      </c>
      <c r="K628">
        <v>3</v>
      </c>
      <c r="N628">
        <v>5</v>
      </c>
      <c r="O628">
        <v>3</v>
      </c>
      <c r="Q628">
        <v>1</v>
      </c>
      <c r="R628">
        <v>3</v>
      </c>
      <c r="S628">
        <v>1</v>
      </c>
      <c r="U628" t="s">
        <v>51</v>
      </c>
      <c r="V628">
        <v>1</v>
      </c>
    </row>
    <row r="629" spans="2:22" x14ac:dyDescent="0.25">
      <c r="B629">
        <v>25</v>
      </c>
      <c r="C629">
        <f>IF(Adecco_India[[#This Row],[Attrition]]="Yes",1,0)</f>
        <v>0</v>
      </c>
      <c r="F629">
        <v>52</v>
      </c>
      <c r="G629">
        <v>4</v>
      </c>
      <c r="J629">
        <v>3</v>
      </c>
      <c r="K629">
        <v>4</v>
      </c>
      <c r="N629">
        <v>9</v>
      </c>
      <c r="O629">
        <v>4</v>
      </c>
      <c r="Q629">
        <v>0</v>
      </c>
      <c r="R629">
        <v>4</v>
      </c>
      <c r="S629">
        <v>1</v>
      </c>
      <c r="U629" t="s">
        <v>51</v>
      </c>
      <c r="V629">
        <v>1</v>
      </c>
    </row>
    <row r="630" spans="2:22" x14ac:dyDescent="0.25">
      <c r="B630">
        <v>16</v>
      </c>
      <c r="C630">
        <f>IF(Adecco_India[[#This Row],[Attrition]]="Yes",1,0)</f>
        <v>0</v>
      </c>
      <c r="F630">
        <v>37</v>
      </c>
      <c r="G630">
        <v>3</v>
      </c>
      <c r="J630">
        <v>3</v>
      </c>
      <c r="K630">
        <v>3</v>
      </c>
      <c r="N630">
        <v>1</v>
      </c>
      <c r="O630">
        <v>3</v>
      </c>
      <c r="Q630">
        <v>0</v>
      </c>
      <c r="R630">
        <v>3</v>
      </c>
      <c r="S630">
        <v>1</v>
      </c>
      <c r="U630" t="s">
        <v>59</v>
      </c>
      <c r="V630">
        <v>1</v>
      </c>
    </row>
    <row r="631" spans="2:22" x14ac:dyDescent="0.25">
      <c r="B631">
        <v>8</v>
      </c>
      <c r="C631">
        <f>IF(Adecco_India[[#This Row],[Attrition]]="Yes",1,0)</f>
        <v>0</v>
      </c>
      <c r="F631">
        <v>28</v>
      </c>
      <c r="G631">
        <v>4</v>
      </c>
      <c r="J631">
        <v>3</v>
      </c>
      <c r="K631">
        <v>3</v>
      </c>
      <c r="N631">
        <v>5</v>
      </c>
      <c r="O631">
        <v>4</v>
      </c>
      <c r="Q631">
        <v>0</v>
      </c>
      <c r="R631">
        <v>3</v>
      </c>
      <c r="S631">
        <v>1</v>
      </c>
      <c r="U631" t="s">
        <v>51</v>
      </c>
      <c r="V631">
        <v>1</v>
      </c>
    </row>
    <row r="632" spans="2:22" x14ac:dyDescent="0.25">
      <c r="B632">
        <v>1</v>
      </c>
      <c r="C632">
        <f>IF(Adecco_India[[#This Row],[Attrition]]="Yes",1,0)</f>
        <v>0</v>
      </c>
      <c r="F632">
        <v>22</v>
      </c>
      <c r="G632">
        <v>4</v>
      </c>
      <c r="J632">
        <v>1</v>
      </c>
      <c r="K632">
        <v>4</v>
      </c>
      <c r="N632">
        <v>2</v>
      </c>
      <c r="O632">
        <v>4</v>
      </c>
      <c r="Q632">
        <v>2</v>
      </c>
      <c r="R632">
        <v>4</v>
      </c>
      <c r="S632">
        <v>1</v>
      </c>
      <c r="U632" t="s">
        <v>38</v>
      </c>
      <c r="V632">
        <v>1</v>
      </c>
    </row>
    <row r="633" spans="2:22" x14ac:dyDescent="0.25">
      <c r="B633">
        <v>8</v>
      </c>
      <c r="C633">
        <f>IF(Adecco_India[[#This Row],[Attrition]]="Yes",1,0)</f>
        <v>0</v>
      </c>
      <c r="F633">
        <v>44</v>
      </c>
      <c r="G633">
        <v>4</v>
      </c>
      <c r="J633">
        <v>2</v>
      </c>
      <c r="K633">
        <v>4</v>
      </c>
      <c r="N633">
        <v>3</v>
      </c>
      <c r="O633">
        <v>4</v>
      </c>
      <c r="Q633">
        <v>0</v>
      </c>
      <c r="R633">
        <v>4</v>
      </c>
      <c r="S633">
        <v>1</v>
      </c>
      <c r="U633" t="s">
        <v>38</v>
      </c>
      <c r="V633">
        <v>1</v>
      </c>
    </row>
    <row r="634" spans="2:22" x14ac:dyDescent="0.25">
      <c r="B634">
        <v>2</v>
      </c>
      <c r="C634">
        <f>IF(Adecco_India[[#This Row],[Attrition]]="Yes",1,0)</f>
        <v>0</v>
      </c>
      <c r="F634">
        <v>42</v>
      </c>
      <c r="G634">
        <v>4</v>
      </c>
      <c r="J634">
        <v>3</v>
      </c>
      <c r="K634">
        <v>3</v>
      </c>
      <c r="N634">
        <v>2</v>
      </c>
      <c r="O634">
        <v>4</v>
      </c>
      <c r="Q634">
        <v>2</v>
      </c>
      <c r="R634">
        <v>3</v>
      </c>
      <c r="S634">
        <v>1</v>
      </c>
      <c r="U634" t="s">
        <v>51</v>
      </c>
      <c r="V634">
        <v>1</v>
      </c>
    </row>
    <row r="635" spans="2:22" x14ac:dyDescent="0.25">
      <c r="B635">
        <v>8</v>
      </c>
      <c r="C635">
        <f>IF(Adecco_India[[#This Row],[Attrition]]="Yes",1,0)</f>
        <v>0</v>
      </c>
      <c r="F635">
        <v>36</v>
      </c>
      <c r="G635">
        <v>1</v>
      </c>
      <c r="J635">
        <v>3</v>
      </c>
      <c r="K635">
        <v>4</v>
      </c>
      <c r="N635">
        <v>5</v>
      </c>
      <c r="O635">
        <v>1</v>
      </c>
      <c r="Q635">
        <v>0</v>
      </c>
      <c r="R635">
        <v>4</v>
      </c>
      <c r="S635">
        <v>1</v>
      </c>
      <c r="U635" t="s">
        <v>38</v>
      </c>
      <c r="V635">
        <v>1</v>
      </c>
    </row>
    <row r="636" spans="2:22" x14ac:dyDescent="0.25">
      <c r="B636">
        <v>3</v>
      </c>
      <c r="C636">
        <f>IF(Adecco_India[[#This Row],[Attrition]]="Yes",1,0)</f>
        <v>0</v>
      </c>
      <c r="F636">
        <v>25</v>
      </c>
      <c r="G636">
        <v>1</v>
      </c>
      <c r="J636">
        <v>3</v>
      </c>
      <c r="K636">
        <v>3</v>
      </c>
      <c r="N636">
        <v>5</v>
      </c>
      <c r="O636">
        <v>1</v>
      </c>
      <c r="Q636">
        <v>0</v>
      </c>
      <c r="R636">
        <v>3</v>
      </c>
      <c r="S636">
        <v>1</v>
      </c>
      <c r="U636" t="s">
        <v>49</v>
      </c>
      <c r="V636">
        <v>1</v>
      </c>
    </row>
    <row r="637" spans="2:22" x14ac:dyDescent="0.25">
      <c r="B637">
        <v>9</v>
      </c>
      <c r="C637">
        <f>IF(Adecco_India[[#This Row],[Attrition]]="Yes",1,0)</f>
        <v>0</v>
      </c>
      <c r="F637">
        <v>35</v>
      </c>
      <c r="G637">
        <v>3</v>
      </c>
      <c r="J637">
        <v>3</v>
      </c>
      <c r="K637">
        <v>4</v>
      </c>
      <c r="N637">
        <v>17</v>
      </c>
      <c r="O637">
        <v>3</v>
      </c>
      <c r="Q637">
        <v>5</v>
      </c>
      <c r="R637">
        <v>4</v>
      </c>
      <c r="S637">
        <v>1</v>
      </c>
      <c r="U637" t="s">
        <v>38</v>
      </c>
      <c r="V637">
        <v>1</v>
      </c>
    </row>
    <row r="638" spans="2:22" x14ac:dyDescent="0.25">
      <c r="B638">
        <v>25</v>
      </c>
      <c r="C638">
        <f>IF(Adecco_India[[#This Row],[Attrition]]="Yes",1,0)</f>
        <v>1</v>
      </c>
      <c r="F638">
        <v>35</v>
      </c>
      <c r="G638">
        <v>2</v>
      </c>
      <c r="J638">
        <v>2</v>
      </c>
      <c r="K638">
        <v>3</v>
      </c>
      <c r="N638">
        <v>10</v>
      </c>
      <c r="O638">
        <v>2</v>
      </c>
      <c r="Q638">
        <v>7</v>
      </c>
      <c r="R638">
        <v>3</v>
      </c>
      <c r="S638">
        <v>1</v>
      </c>
      <c r="U638" t="s">
        <v>38</v>
      </c>
      <c r="V638">
        <v>1</v>
      </c>
    </row>
    <row r="639" spans="2:22" x14ac:dyDescent="0.25">
      <c r="B639">
        <v>1</v>
      </c>
      <c r="C639">
        <f>IF(Adecco_India[[#This Row],[Attrition]]="Yes",1,0)</f>
        <v>0</v>
      </c>
      <c r="F639">
        <v>32</v>
      </c>
      <c r="G639">
        <v>4</v>
      </c>
      <c r="J639">
        <v>3</v>
      </c>
      <c r="K639">
        <v>3</v>
      </c>
      <c r="N639">
        <v>3</v>
      </c>
      <c r="O639">
        <v>4</v>
      </c>
      <c r="Q639">
        <v>0</v>
      </c>
      <c r="R639">
        <v>3</v>
      </c>
      <c r="S639">
        <v>1</v>
      </c>
      <c r="U639" t="s">
        <v>38</v>
      </c>
      <c r="V639">
        <v>1</v>
      </c>
    </row>
    <row r="640" spans="2:22" x14ac:dyDescent="0.25">
      <c r="B640">
        <v>4</v>
      </c>
      <c r="C640">
        <f>IF(Adecco_India[[#This Row],[Attrition]]="Yes",1,0)</f>
        <v>0</v>
      </c>
      <c r="F640">
        <v>25</v>
      </c>
      <c r="G640">
        <v>1</v>
      </c>
      <c r="J640">
        <v>4</v>
      </c>
      <c r="K640">
        <v>3</v>
      </c>
      <c r="N640">
        <v>5</v>
      </c>
      <c r="O640">
        <v>1</v>
      </c>
      <c r="Q640">
        <v>0</v>
      </c>
      <c r="R640">
        <v>3</v>
      </c>
      <c r="S640">
        <v>1</v>
      </c>
      <c r="U640" t="s">
        <v>59</v>
      </c>
      <c r="V640">
        <v>1</v>
      </c>
    </row>
    <row r="641" spans="2:22" x14ac:dyDescent="0.25">
      <c r="B641">
        <v>1</v>
      </c>
      <c r="C641">
        <f>IF(Adecco_India[[#This Row],[Attrition]]="Yes",1,0)</f>
        <v>0</v>
      </c>
      <c r="F641">
        <v>49</v>
      </c>
      <c r="G641">
        <v>1</v>
      </c>
      <c r="J641">
        <v>3</v>
      </c>
      <c r="K641">
        <v>3</v>
      </c>
      <c r="N641">
        <v>4</v>
      </c>
      <c r="O641">
        <v>1</v>
      </c>
      <c r="Q641">
        <v>0</v>
      </c>
      <c r="R641">
        <v>3</v>
      </c>
      <c r="S641">
        <v>1</v>
      </c>
      <c r="U641" t="s">
        <v>60</v>
      </c>
      <c r="V641">
        <v>1</v>
      </c>
    </row>
    <row r="642" spans="2:22" x14ac:dyDescent="0.25">
      <c r="B642">
        <v>4</v>
      </c>
      <c r="C642">
        <f>IF(Adecco_India[[#This Row],[Attrition]]="Yes",1,0)</f>
        <v>0</v>
      </c>
      <c r="F642">
        <v>24</v>
      </c>
      <c r="G642">
        <v>4</v>
      </c>
      <c r="J642">
        <v>2</v>
      </c>
      <c r="K642">
        <v>3</v>
      </c>
      <c r="N642">
        <v>5</v>
      </c>
      <c r="O642">
        <v>4</v>
      </c>
      <c r="Q642">
        <v>3</v>
      </c>
      <c r="R642">
        <v>3</v>
      </c>
      <c r="S642">
        <v>1</v>
      </c>
      <c r="U642" t="s">
        <v>38</v>
      </c>
      <c r="V642">
        <v>1</v>
      </c>
    </row>
    <row r="643" spans="2:22" x14ac:dyDescent="0.25">
      <c r="B643">
        <v>5</v>
      </c>
      <c r="C643">
        <f>IF(Adecco_India[[#This Row],[Attrition]]="Yes",1,0)</f>
        <v>0</v>
      </c>
      <c r="F643">
        <v>32</v>
      </c>
      <c r="G643">
        <v>2</v>
      </c>
      <c r="J643">
        <v>3</v>
      </c>
      <c r="K643">
        <v>3</v>
      </c>
      <c r="N643">
        <v>10</v>
      </c>
      <c r="O643">
        <v>2</v>
      </c>
      <c r="Q643">
        <v>5</v>
      </c>
      <c r="R643">
        <v>3</v>
      </c>
      <c r="S643">
        <v>1</v>
      </c>
      <c r="U643" t="s">
        <v>38</v>
      </c>
      <c r="V643">
        <v>1</v>
      </c>
    </row>
    <row r="644" spans="2:22" x14ac:dyDescent="0.25">
      <c r="B644">
        <v>9</v>
      </c>
      <c r="C644">
        <f>IF(Adecco_India[[#This Row],[Attrition]]="Yes",1,0)</f>
        <v>0</v>
      </c>
      <c r="F644">
        <v>38</v>
      </c>
      <c r="G644">
        <v>2</v>
      </c>
      <c r="J644">
        <v>3</v>
      </c>
      <c r="K644">
        <v>3</v>
      </c>
      <c r="N644">
        <v>2</v>
      </c>
      <c r="O644">
        <v>2</v>
      </c>
      <c r="Q644">
        <v>1</v>
      </c>
      <c r="R644">
        <v>3</v>
      </c>
      <c r="S644">
        <v>1</v>
      </c>
      <c r="U644" t="s">
        <v>59</v>
      </c>
      <c r="V644">
        <v>1</v>
      </c>
    </row>
    <row r="645" spans="2:22" x14ac:dyDescent="0.25">
      <c r="B645">
        <v>3</v>
      </c>
      <c r="C645">
        <f>IF(Adecco_India[[#This Row],[Attrition]]="Yes",1,0)</f>
        <v>0</v>
      </c>
      <c r="F645">
        <v>42</v>
      </c>
      <c r="G645">
        <v>4</v>
      </c>
      <c r="J645">
        <v>2</v>
      </c>
      <c r="K645">
        <v>3</v>
      </c>
      <c r="N645">
        <v>5</v>
      </c>
      <c r="O645">
        <v>4</v>
      </c>
      <c r="Q645">
        <v>1</v>
      </c>
      <c r="R645">
        <v>3</v>
      </c>
      <c r="S645">
        <v>1</v>
      </c>
      <c r="U645" t="s">
        <v>38</v>
      </c>
      <c r="V645">
        <v>1</v>
      </c>
    </row>
    <row r="646" spans="2:22" x14ac:dyDescent="0.25">
      <c r="B646">
        <v>11</v>
      </c>
      <c r="C646">
        <f>IF(Adecco_India[[#This Row],[Attrition]]="Yes",1,0)</f>
        <v>0</v>
      </c>
      <c r="F646">
        <v>31</v>
      </c>
      <c r="G646">
        <v>4</v>
      </c>
      <c r="J646">
        <v>3</v>
      </c>
      <c r="K646">
        <v>3</v>
      </c>
      <c r="N646">
        <v>6</v>
      </c>
      <c r="O646">
        <v>4</v>
      </c>
      <c r="Q646">
        <v>0</v>
      </c>
      <c r="R646">
        <v>3</v>
      </c>
      <c r="S646">
        <v>1</v>
      </c>
      <c r="U646" t="s">
        <v>38</v>
      </c>
      <c r="V646">
        <v>1</v>
      </c>
    </row>
    <row r="647" spans="2:22" x14ac:dyDescent="0.25">
      <c r="B647">
        <v>1</v>
      </c>
      <c r="C647">
        <f>IF(Adecco_India[[#This Row],[Attrition]]="Yes",1,0)</f>
        <v>1</v>
      </c>
      <c r="F647">
        <v>29</v>
      </c>
      <c r="G647">
        <v>3</v>
      </c>
      <c r="J647">
        <v>3</v>
      </c>
      <c r="K647">
        <v>3</v>
      </c>
      <c r="N647">
        <v>3</v>
      </c>
      <c r="O647">
        <v>3</v>
      </c>
      <c r="Q647">
        <v>0</v>
      </c>
      <c r="R647">
        <v>3</v>
      </c>
      <c r="S647">
        <v>1</v>
      </c>
      <c r="U647" t="s">
        <v>51</v>
      </c>
      <c r="V647">
        <v>1</v>
      </c>
    </row>
    <row r="648" spans="2:22" x14ac:dyDescent="0.25">
      <c r="B648">
        <v>8</v>
      </c>
      <c r="C648">
        <f>IF(Adecco_India[[#This Row],[Attrition]]="Yes",1,0)</f>
        <v>0</v>
      </c>
      <c r="F648">
        <v>53</v>
      </c>
      <c r="G648">
        <v>4</v>
      </c>
      <c r="J648">
        <v>3</v>
      </c>
      <c r="K648">
        <v>3</v>
      </c>
      <c r="N648">
        <v>2</v>
      </c>
      <c r="O648">
        <v>4</v>
      </c>
      <c r="Q648">
        <v>2</v>
      </c>
      <c r="R648">
        <v>3</v>
      </c>
      <c r="S648">
        <v>1</v>
      </c>
      <c r="U648" t="s">
        <v>59</v>
      </c>
      <c r="V648">
        <v>1</v>
      </c>
    </row>
    <row r="649" spans="2:22" x14ac:dyDescent="0.25">
      <c r="B649">
        <v>25</v>
      </c>
      <c r="C649">
        <f>IF(Adecco_India[[#This Row],[Attrition]]="Yes",1,0)</f>
        <v>0</v>
      </c>
      <c r="F649">
        <v>35</v>
      </c>
      <c r="G649">
        <v>2</v>
      </c>
      <c r="J649">
        <v>3</v>
      </c>
      <c r="K649">
        <v>3</v>
      </c>
      <c r="N649">
        <v>13</v>
      </c>
      <c r="O649">
        <v>2</v>
      </c>
      <c r="Q649">
        <v>4</v>
      </c>
      <c r="R649">
        <v>3</v>
      </c>
      <c r="S649">
        <v>1</v>
      </c>
      <c r="U649" t="s">
        <v>60</v>
      </c>
      <c r="V649">
        <v>1</v>
      </c>
    </row>
    <row r="650" spans="2:22" x14ac:dyDescent="0.25">
      <c r="B650">
        <v>21</v>
      </c>
      <c r="C650">
        <f>IF(Adecco_India[[#This Row],[Attrition]]="Yes",1,0)</f>
        <v>0</v>
      </c>
      <c r="F650">
        <v>37</v>
      </c>
      <c r="G650">
        <v>4</v>
      </c>
      <c r="J650">
        <v>3</v>
      </c>
      <c r="K650">
        <v>3</v>
      </c>
      <c r="N650">
        <v>5</v>
      </c>
      <c r="O650">
        <v>4</v>
      </c>
      <c r="Q650">
        <v>0</v>
      </c>
      <c r="R650">
        <v>3</v>
      </c>
      <c r="S650">
        <v>1</v>
      </c>
      <c r="U650" t="s">
        <v>51</v>
      </c>
      <c r="V650">
        <v>1</v>
      </c>
    </row>
    <row r="651" spans="2:22" x14ac:dyDescent="0.25">
      <c r="B651">
        <v>23</v>
      </c>
      <c r="C651">
        <f>IF(Adecco_India[[#This Row],[Attrition]]="Yes",1,0)</f>
        <v>0</v>
      </c>
      <c r="F651">
        <v>53</v>
      </c>
      <c r="G651">
        <v>4</v>
      </c>
      <c r="J651">
        <v>3</v>
      </c>
      <c r="K651">
        <v>3</v>
      </c>
      <c r="N651">
        <v>12</v>
      </c>
      <c r="O651">
        <v>4</v>
      </c>
      <c r="Q651">
        <v>3</v>
      </c>
      <c r="R651">
        <v>3</v>
      </c>
      <c r="S651">
        <v>1</v>
      </c>
      <c r="U651" t="s">
        <v>38</v>
      </c>
      <c r="V651">
        <v>1</v>
      </c>
    </row>
    <row r="652" spans="2:22" x14ac:dyDescent="0.25">
      <c r="B652">
        <v>1</v>
      </c>
      <c r="C652">
        <f>IF(Adecco_India[[#This Row],[Attrition]]="Yes",1,0)</f>
        <v>0</v>
      </c>
      <c r="F652">
        <v>43</v>
      </c>
      <c r="G652">
        <v>4</v>
      </c>
      <c r="J652">
        <v>2</v>
      </c>
      <c r="K652">
        <v>3</v>
      </c>
      <c r="N652">
        <v>5</v>
      </c>
      <c r="O652">
        <v>4</v>
      </c>
      <c r="Q652">
        <v>2</v>
      </c>
      <c r="R652">
        <v>3</v>
      </c>
      <c r="S652">
        <v>1</v>
      </c>
      <c r="U652" t="s">
        <v>38</v>
      </c>
      <c r="V652">
        <v>1</v>
      </c>
    </row>
    <row r="653" spans="2:22" x14ac:dyDescent="0.25">
      <c r="B653">
        <v>2</v>
      </c>
      <c r="C653">
        <f>IF(Adecco_India[[#This Row],[Attrition]]="Yes",1,0)</f>
        <v>0</v>
      </c>
      <c r="F653">
        <v>47</v>
      </c>
      <c r="G653">
        <v>4</v>
      </c>
      <c r="J653">
        <v>3</v>
      </c>
      <c r="K653">
        <v>4</v>
      </c>
      <c r="N653">
        <v>7</v>
      </c>
      <c r="O653">
        <v>4</v>
      </c>
      <c r="Q653">
        <v>7</v>
      </c>
      <c r="R653">
        <v>4</v>
      </c>
      <c r="S653">
        <v>1</v>
      </c>
      <c r="U653" t="s">
        <v>59</v>
      </c>
      <c r="V653">
        <v>1</v>
      </c>
    </row>
    <row r="654" spans="2:22" x14ac:dyDescent="0.25">
      <c r="B654">
        <v>19</v>
      </c>
      <c r="C654">
        <f>IF(Adecco_India[[#This Row],[Attrition]]="Yes",1,0)</f>
        <v>0</v>
      </c>
      <c r="F654">
        <v>37</v>
      </c>
      <c r="G654">
        <v>2</v>
      </c>
      <c r="J654">
        <v>3</v>
      </c>
      <c r="K654">
        <v>3</v>
      </c>
      <c r="N654">
        <v>10</v>
      </c>
      <c r="O654">
        <v>2</v>
      </c>
      <c r="Q654">
        <v>0</v>
      </c>
      <c r="R654">
        <v>3</v>
      </c>
      <c r="S654">
        <v>1</v>
      </c>
      <c r="U654" t="s">
        <v>51</v>
      </c>
      <c r="V654">
        <v>1</v>
      </c>
    </row>
    <row r="655" spans="2:22" x14ac:dyDescent="0.25">
      <c r="B655">
        <v>2</v>
      </c>
      <c r="C655">
        <f>IF(Adecco_India[[#This Row],[Attrition]]="Yes",1,0)</f>
        <v>0</v>
      </c>
      <c r="F655">
        <v>50</v>
      </c>
      <c r="G655">
        <v>1</v>
      </c>
      <c r="J655">
        <v>3</v>
      </c>
      <c r="K655">
        <v>3</v>
      </c>
      <c r="N655">
        <v>31</v>
      </c>
      <c r="O655">
        <v>1</v>
      </c>
      <c r="Q655">
        <v>14</v>
      </c>
      <c r="R655">
        <v>3</v>
      </c>
      <c r="S655">
        <v>1</v>
      </c>
      <c r="U655" t="s">
        <v>38</v>
      </c>
      <c r="V655">
        <v>1</v>
      </c>
    </row>
    <row r="656" spans="2:22" x14ac:dyDescent="0.25">
      <c r="B656">
        <v>2</v>
      </c>
      <c r="C656">
        <f>IF(Adecco_India[[#This Row],[Attrition]]="Yes",1,0)</f>
        <v>0</v>
      </c>
      <c r="F656">
        <v>39</v>
      </c>
      <c r="G656">
        <v>4</v>
      </c>
      <c r="J656">
        <v>3</v>
      </c>
      <c r="K656">
        <v>3</v>
      </c>
      <c r="N656">
        <v>5</v>
      </c>
      <c r="O656">
        <v>4</v>
      </c>
      <c r="Q656">
        <v>0</v>
      </c>
      <c r="R656">
        <v>3</v>
      </c>
      <c r="S656">
        <v>1</v>
      </c>
      <c r="U656" t="s">
        <v>38</v>
      </c>
      <c r="V656">
        <v>1</v>
      </c>
    </row>
    <row r="657" spans="2:22" x14ac:dyDescent="0.25">
      <c r="B657">
        <v>3</v>
      </c>
      <c r="C657">
        <f>IF(Adecco_India[[#This Row],[Attrition]]="Yes",1,0)</f>
        <v>0</v>
      </c>
      <c r="F657">
        <v>33</v>
      </c>
      <c r="G657">
        <v>2</v>
      </c>
      <c r="J657">
        <v>4</v>
      </c>
      <c r="K657">
        <v>3</v>
      </c>
      <c r="N657">
        <v>4</v>
      </c>
      <c r="O657">
        <v>2</v>
      </c>
      <c r="Q657">
        <v>0</v>
      </c>
      <c r="R657">
        <v>3</v>
      </c>
      <c r="S657">
        <v>1</v>
      </c>
      <c r="U657" t="s">
        <v>61</v>
      </c>
      <c r="V657">
        <v>1</v>
      </c>
    </row>
    <row r="658" spans="2:22" x14ac:dyDescent="0.25">
      <c r="B658">
        <v>25</v>
      </c>
      <c r="C658">
        <f>IF(Adecco_India[[#This Row],[Attrition]]="Yes",1,0)</f>
        <v>1</v>
      </c>
      <c r="F658">
        <v>32</v>
      </c>
      <c r="G658">
        <v>4</v>
      </c>
      <c r="J658">
        <v>1</v>
      </c>
      <c r="K658">
        <v>4</v>
      </c>
      <c r="N658">
        <v>1</v>
      </c>
      <c r="O658">
        <v>4</v>
      </c>
      <c r="Q658">
        <v>0</v>
      </c>
      <c r="R658">
        <v>4</v>
      </c>
      <c r="S658">
        <v>1</v>
      </c>
      <c r="U658" t="s">
        <v>38</v>
      </c>
      <c r="V658">
        <v>1</v>
      </c>
    </row>
    <row r="659" spans="2:22" x14ac:dyDescent="0.25">
      <c r="B659">
        <v>7</v>
      </c>
      <c r="C659">
        <f>IF(Adecco_India[[#This Row],[Attrition]]="Yes",1,0)</f>
        <v>0</v>
      </c>
      <c r="F659">
        <v>29</v>
      </c>
      <c r="G659">
        <v>4</v>
      </c>
      <c r="J659">
        <v>3</v>
      </c>
      <c r="K659">
        <v>3</v>
      </c>
      <c r="N659">
        <v>4</v>
      </c>
      <c r="O659">
        <v>4</v>
      </c>
      <c r="Q659">
        <v>0</v>
      </c>
      <c r="R659">
        <v>3</v>
      </c>
      <c r="S659">
        <v>1</v>
      </c>
      <c r="U659" t="s">
        <v>51</v>
      </c>
      <c r="V659">
        <v>1</v>
      </c>
    </row>
    <row r="660" spans="2:22" x14ac:dyDescent="0.25">
      <c r="B660">
        <v>9</v>
      </c>
      <c r="C660">
        <f>IF(Adecco_India[[#This Row],[Attrition]]="Yes",1,0)</f>
        <v>0</v>
      </c>
      <c r="F660">
        <v>44</v>
      </c>
      <c r="G660">
        <v>1</v>
      </c>
      <c r="J660">
        <v>3</v>
      </c>
      <c r="K660">
        <v>3</v>
      </c>
      <c r="N660">
        <v>8</v>
      </c>
      <c r="O660">
        <v>1</v>
      </c>
      <c r="Q660">
        <v>7</v>
      </c>
      <c r="R660">
        <v>3</v>
      </c>
      <c r="S660">
        <v>1</v>
      </c>
      <c r="U660" t="s">
        <v>38</v>
      </c>
      <c r="V660">
        <v>1</v>
      </c>
    </row>
    <row r="661" spans="2:22" x14ac:dyDescent="0.25">
      <c r="B661">
        <v>5</v>
      </c>
      <c r="C661">
        <f>IF(Adecco_India[[#This Row],[Attrition]]="Yes",1,0)</f>
        <v>0</v>
      </c>
      <c r="F661">
        <v>28</v>
      </c>
      <c r="G661">
        <v>4</v>
      </c>
      <c r="J661">
        <v>3</v>
      </c>
      <c r="K661">
        <v>3</v>
      </c>
      <c r="N661">
        <v>4</v>
      </c>
      <c r="O661">
        <v>4</v>
      </c>
      <c r="Q661">
        <v>0</v>
      </c>
      <c r="R661">
        <v>3</v>
      </c>
      <c r="S661">
        <v>1</v>
      </c>
      <c r="U661" t="s">
        <v>51</v>
      </c>
      <c r="V661">
        <v>1</v>
      </c>
    </row>
    <row r="662" spans="2:22" x14ac:dyDescent="0.25">
      <c r="B662">
        <v>2</v>
      </c>
      <c r="C662">
        <f>IF(Adecco_India[[#This Row],[Attrition]]="Yes",1,0)</f>
        <v>1</v>
      </c>
      <c r="F662">
        <v>58</v>
      </c>
      <c r="G662">
        <v>4</v>
      </c>
      <c r="J662">
        <v>2</v>
      </c>
      <c r="K662">
        <v>3</v>
      </c>
      <c r="N662">
        <v>1</v>
      </c>
      <c r="O662">
        <v>4</v>
      </c>
      <c r="Q662">
        <v>0</v>
      </c>
      <c r="R662">
        <v>3</v>
      </c>
      <c r="S662">
        <v>1</v>
      </c>
      <c r="U662" t="s">
        <v>38</v>
      </c>
      <c r="V662">
        <v>1</v>
      </c>
    </row>
    <row r="663" spans="2:22" x14ac:dyDescent="0.25">
      <c r="B663">
        <v>8</v>
      </c>
      <c r="C663">
        <f>IF(Adecco_India[[#This Row],[Attrition]]="Yes",1,0)</f>
        <v>0</v>
      </c>
      <c r="F663">
        <v>43</v>
      </c>
      <c r="G663">
        <v>2</v>
      </c>
      <c r="J663">
        <v>4</v>
      </c>
      <c r="K663">
        <v>4</v>
      </c>
      <c r="N663">
        <v>1</v>
      </c>
      <c r="O663">
        <v>2</v>
      </c>
      <c r="Q663">
        <v>0</v>
      </c>
      <c r="R663">
        <v>4</v>
      </c>
      <c r="S663">
        <v>1</v>
      </c>
      <c r="U663" t="s">
        <v>38</v>
      </c>
      <c r="V663">
        <v>1</v>
      </c>
    </row>
    <row r="664" spans="2:22" x14ac:dyDescent="0.25">
      <c r="B664">
        <v>2</v>
      </c>
      <c r="C664">
        <f>IF(Adecco_India[[#This Row],[Attrition]]="Yes",1,0)</f>
        <v>1</v>
      </c>
      <c r="F664">
        <v>20</v>
      </c>
      <c r="G664">
        <v>3</v>
      </c>
      <c r="J664">
        <v>2</v>
      </c>
      <c r="K664">
        <v>3</v>
      </c>
      <c r="N664">
        <v>2</v>
      </c>
      <c r="O664">
        <v>3</v>
      </c>
      <c r="Q664">
        <v>0</v>
      </c>
      <c r="R664">
        <v>3</v>
      </c>
      <c r="S664">
        <v>1</v>
      </c>
      <c r="U664" t="s">
        <v>51</v>
      </c>
      <c r="V664">
        <v>1</v>
      </c>
    </row>
    <row r="665" spans="2:22" x14ac:dyDescent="0.25">
      <c r="B665">
        <v>18</v>
      </c>
      <c r="C665">
        <f>IF(Adecco_India[[#This Row],[Attrition]]="Yes",1,0)</f>
        <v>1</v>
      </c>
      <c r="F665">
        <v>21</v>
      </c>
      <c r="G665">
        <v>4</v>
      </c>
      <c r="J665">
        <v>2</v>
      </c>
      <c r="K665">
        <v>3</v>
      </c>
      <c r="N665">
        <v>1</v>
      </c>
      <c r="O665">
        <v>4</v>
      </c>
      <c r="Q665">
        <v>0</v>
      </c>
      <c r="R665">
        <v>3</v>
      </c>
      <c r="S665">
        <v>1</v>
      </c>
      <c r="U665" t="s">
        <v>49</v>
      </c>
      <c r="V665">
        <v>1</v>
      </c>
    </row>
    <row r="666" spans="2:22" x14ac:dyDescent="0.25">
      <c r="B666">
        <v>14</v>
      </c>
      <c r="C666">
        <f>IF(Adecco_India[[#This Row],[Attrition]]="Yes",1,0)</f>
        <v>0</v>
      </c>
      <c r="F666">
        <v>36</v>
      </c>
      <c r="G666">
        <v>4</v>
      </c>
      <c r="J666">
        <v>2</v>
      </c>
      <c r="K666">
        <v>3</v>
      </c>
      <c r="N666">
        <v>16</v>
      </c>
      <c r="O666">
        <v>4</v>
      </c>
      <c r="Q666">
        <v>4</v>
      </c>
      <c r="R666">
        <v>3</v>
      </c>
      <c r="S666">
        <v>1</v>
      </c>
      <c r="U666" t="s">
        <v>38</v>
      </c>
      <c r="V666">
        <v>1</v>
      </c>
    </row>
    <row r="667" spans="2:22" x14ac:dyDescent="0.25">
      <c r="B667">
        <v>2</v>
      </c>
      <c r="C667">
        <f>IF(Adecco_India[[#This Row],[Attrition]]="Yes",1,0)</f>
        <v>0</v>
      </c>
      <c r="F667">
        <v>47</v>
      </c>
      <c r="G667">
        <v>4</v>
      </c>
      <c r="J667">
        <v>2</v>
      </c>
      <c r="K667">
        <v>3</v>
      </c>
      <c r="N667">
        <v>3</v>
      </c>
      <c r="O667">
        <v>4</v>
      </c>
      <c r="Q667">
        <v>1</v>
      </c>
      <c r="R667">
        <v>3</v>
      </c>
      <c r="S667">
        <v>1</v>
      </c>
      <c r="U667" t="s">
        <v>38</v>
      </c>
      <c r="V667">
        <v>1</v>
      </c>
    </row>
    <row r="668" spans="2:22" x14ac:dyDescent="0.25">
      <c r="B668">
        <v>3</v>
      </c>
      <c r="C668">
        <f>IF(Adecco_India[[#This Row],[Attrition]]="Yes",1,0)</f>
        <v>1</v>
      </c>
      <c r="F668">
        <v>22</v>
      </c>
      <c r="G668">
        <v>3</v>
      </c>
      <c r="J668">
        <v>4</v>
      </c>
      <c r="K668">
        <v>3</v>
      </c>
      <c r="N668">
        <v>3</v>
      </c>
      <c r="O668">
        <v>3</v>
      </c>
      <c r="Q668">
        <v>0</v>
      </c>
      <c r="R668">
        <v>3</v>
      </c>
      <c r="S668">
        <v>1</v>
      </c>
      <c r="U668" t="s">
        <v>38</v>
      </c>
      <c r="V668">
        <v>1</v>
      </c>
    </row>
    <row r="669" spans="2:22" x14ac:dyDescent="0.25">
      <c r="B669">
        <v>2</v>
      </c>
      <c r="C669">
        <f>IF(Adecco_India[[#This Row],[Attrition]]="Yes",1,0)</f>
        <v>1</v>
      </c>
      <c r="F669">
        <v>41</v>
      </c>
      <c r="G669">
        <v>4</v>
      </c>
      <c r="J669">
        <v>2</v>
      </c>
      <c r="K669">
        <v>3</v>
      </c>
      <c r="N669">
        <v>7</v>
      </c>
      <c r="O669">
        <v>4</v>
      </c>
      <c r="Q669">
        <v>1</v>
      </c>
      <c r="R669">
        <v>3</v>
      </c>
      <c r="S669">
        <v>1</v>
      </c>
      <c r="U669" t="s">
        <v>38</v>
      </c>
      <c r="V669">
        <v>1</v>
      </c>
    </row>
    <row r="670" spans="2:22" x14ac:dyDescent="0.25">
      <c r="B670">
        <v>9</v>
      </c>
      <c r="C670">
        <f>IF(Adecco_India[[#This Row],[Attrition]]="Yes",1,0)</f>
        <v>0</v>
      </c>
      <c r="F670">
        <v>28</v>
      </c>
      <c r="G670">
        <v>3</v>
      </c>
      <c r="J670">
        <v>3</v>
      </c>
      <c r="K670">
        <v>3</v>
      </c>
      <c r="N670">
        <v>2</v>
      </c>
      <c r="O670">
        <v>3</v>
      </c>
      <c r="Q670">
        <v>2</v>
      </c>
      <c r="R670">
        <v>3</v>
      </c>
      <c r="S670">
        <v>1</v>
      </c>
      <c r="U670" t="s">
        <v>51</v>
      </c>
      <c r="V670">
        <v>1</v>
      </c>
    </row>
    <row r="671" spans="2:22" x14ac:dyDescent="0.25">
      <c r="B671">
        <v>6</v>
      </c>
      <c r="C671">
        <f>IF(Adecco_India[[#This Row],[Attrition]]="Yes",1,0)</f>
        <v>1</v>
      </c>
      <c r="F671">
        <v>39</v>
      </c>
      <c r="G671">
        <v>1</v>
      </c>
      <c r="J671">
        <v>1</v>
      </c>
      <c r="K671">
        <v>4</v>
      </c>
      <c r="N671">
        <v>2</v>
      </c>
      <c r="O671">
        <v>1</v>
      </c>
      <c r="Q671">
        <v>2</v>
      </c>
      <c r="R671">
        <v>4</v>
      </c>
      <c r="S671">
        <v>1</v>
      </c>
      <c r="U671" t="s">
        <v>51</v>
      </c>
      <c r="V671">
        <v>1</v>
      </c>
    </row>
    <row r="672" spans="2:22" x14ac:dyDescent="0.25">
      <c r="B672">
        <v>4</v>
      </c>
      <c r="C672">
        <f>IF(Adecco_India[[#This Row],[Attrition]]="Yes",1,0)</f>
        <v>0</v>
      </c>
      <c r="F672">
        <v>27</v>
      </c>
      <c r="G672">
        <v>3</v>
      </c>
      <c r="J672">
        <v>3</v>
      </c>
      <c r="K672">
        <v>3</v>
      </c>
      <c r="N672">
        <v>1</v>
      </c>
      <c r="O672">
        <v>3</v>
      </c>
      <c r="Q672">
        <v>0</v>
      </c>
      <c r="R672">
        <v>3</v>
      </c>
      <c r="S672">
        <v>1</v>
      </c>
      <c r="U672" t="s">
        <v>38</v>
      </c>
      <c r="V672">
        <v>1</v>
      </c>
    </row>
    <row r="673" spans="2:22" x14ac:dyDescent="0.25">
      <c r="B673">
        <v>10</v>
      </c>
      <c r="C673">
        <f>IF(Adecco_India[[#This Row],[Attrition]]="Yes",1,0)</f>
        <v>0</v>
      </c>
      <c r="F673">
        <v>34</v>
      </c>
      <c r="G673">
        <v>2</v>
      </c>
      <c r="J673">
        <v>3</v>
      </c>
      <c r="K673">
        <v>3</v>
      </c>
      <c r="N673">
        <v>1</v>
      </c>
      <c r="O673">
        <v>2</v>
      </c>
      <c r="Q673">
        <v>1</v>
      </c>
      <c r="R673">
        <v>3</v>
      </c>
      <c r="S673">
        <v>1</v>
      </c>
      <c r="U673" t="s">
        <v>38</v>
      </c>
      <c r="V673">
        <v>1</v>
      </c>
    </row>
    <row r="674" spans="2:22" x14ac:dyDescent="0.25">
      <c r="B674">
        <v>14</v>
      </c>
      <c r="C674">
        <f>IF(Adecco_India[[#This Row],[Attrition]]="Yes",1,0)</f>
        <v>0</v>
      </c>
      <c r="F674">
        <v>42</v>
      </c>
      <c r="G674">
        <v>3</v>
      </c>
      <c r="J674">
        <v>3</v>
      </c>
      <c r="K674">
        <v>3</v>
      </c>
      <c r="N674">
        <v>5</v>
      </c>
      <c r="O674">
        <v>3</v>
      </c>
      <c r="Q674">
        <v>0</v>
      </c>
      <c r="R674">
        <v>3</v>
      </c>
      <c r="S674">
        <v>1</v>
      </c>
      <c r="U674" t="s">
        <v>51</v>
      </c>
      <c r="V674">
        <v>1</v>
      </c>
    </row>
    <row r="675" spans="2:22" x14ac:dyDescent="0.25">
      <c r="B675">
        <v>1</v>
      </c>
      <c r="C675">
        <f>IF(Adecco_India[[#This Row],[Attrition]]="Yes",1,0)</f>
        <v>0</v>
      </c>
      <c r="F675">
        <v>33</v>
      </c>
      <c r="G675">
        <v>1</v>
      </c>
      <c r="J675">
        <v>3</v>
      </c>
      <c r="K675">
        <v>3</v>
      </c>
      <c r="N675">
        <v>3</v>
      </c>
      <c r="O675">
        <v>1</v>
      </c>
      <c r="Q675">
        <v>0</v>
      </c>
      <c r="R675">
        <v>3</v>
      </c>
      <c r="S675">
        <v>1</v>
      </c>
      <c r="U675" t="s">
        <v>49</v>
      </c>
      <c r="V675">
        <v>1</v>
      </c>
    </row>
    <row r="676" spans="2:22" x14ac:dyDescent="0.25">
      <c r="B676">
        <v>5</v>
      </c>
      <c r="C676">
        <f>IF(Adecco_India[[#This Row],[Attrition]]="Yes",1,0)</f>
        <v>0</v>
      </c>
      <c r="F676">
        <v>58</v>
      </c>
      <c r="G676">
        <v>2</v>
      </c>
      <c r="J676">
        <v>3</v>
      </c>
      <c r="K676">
        <v>3</v>
      </c>
      <c r="N676">
        <v>6</v>
      </c>
      <c r="O676">
        <v>2</v>
      </c>
      <c r="Q676">
        <v>0</v>
      </c>
      <c r="R676">
        <v>3</v>
      </c>
      <c r="S676">
        <v>1</v>
      </c>
      <c r="U676" t="s">
        <v>60</v>
      </c>
      <c r="V676">
        <v>1</v>
      </c>
    </row>
    <row r="677" spans="2:22" x14ac:dyDescent="0.25">
      <c r="B677">
        <v>7</v>
      </c>
      <c r="C677">
        <f>IF(Adecco_India[[#This Row],[Attrition]]="Yes",1,0)</f>
        <v>0</v>
      </c>
      <c r="F677">
        <v>31</v>
      </c>
      <c r="G677">
        <v>3</v>
      </c>
      <c r="J677">
        <v>4</v>
      </c>
      <c r="K677">
        <v>3</v>
      </c>
      <c r="N677">
        <v>7</v>
      </c>
      <c r="O677">
        <v>3</v>
      </c>
      <c r="Q677">
        <v>5</v>
      </c>
      <c r="R677">
        <v>3</v>
      </c>
      <c r="S677">
        <v>1</v>
      </c>
      <c r="U677" t="s">
        <v>38</v>
      </c>
      <c r="V677">
        <v>1</v>
      </c>
    </row>
    <row r="678" spans="2:22" x14ac:dyDescent="0.25">
      <c r="B678">
        <v>21</v>
      </c>
      <c r="C678">
        <f>IF(Adecco_India[[#This Row],[Attrition]]="Yes",1,0)</f>
        <v>0</v>
      </c>
      <c r="F678">
        <v>35</v>
      </c>
      <c r="G678">
        <v>4</v>
      </c>
      <c r="J678">
        <v>1</v>
      </c>
      <c r="K678">
        <v>4</v>
      </c>
      <c r="N678">
        <v>10</v>
      </c>
      <c r="O678">
        <v>4</v>
      </c>
      <c r="Q678">
        <v>0</v>
      </c>
      <c r="R678">
        <v>4</v>
      </c>
      <c r="S678">
        <v>1</v>
      </c>
      <c r="U678" t="s">
        <v>38</v>
      </c>
      <c r="V678">
        <v>1</v>
      </c>
    </row>
    <row r="679" spans="2:22" x14ac:dyDescent="0.25">
      <c r="B679">
        <v>8</v>
      </c>
      <c r="C679">
        <f>IF(Adecco_India[[#This Row],[Attrition]]="Yes",1,0)</f>
        <v>0</v>
      </c>
      <c r="F679">
        <v>49</v>
      </c>
      <c r="G679">
        <v>2</v>
      </c>
      <c r="J679">
        <v>2</v>
      </c>
      <c r="K679">
        <v>3</v>
      </c>
      <c r="N679">
        <v>26</v>
      </c>
      <c r="O679">
        <v>2</v>
      </c>
      <c r="Q679">
        <v>1</v>
      </c>
      <c r="R679">
        <v>3</v>
      </c>
      <c r="S679">
        <v>1</v>
      </c>
      <c r="U679" t="s">
        <v>49</v>
      </c>
      <c r="V679">
        <v>1</v>
      </c>
    </row>
    <row r="680" spans="2:22" x14ac:dyDescent="0.25">
      <c r="B680">
        <v>20</v>
      </c>
      <c r="C680">
        <f>IF(Adecco_India[[#This Row],[Attrition]]="Yes",1,0)</f>
        <v>0</v>
      </c>
      <c r="F680">
        <v>48</v>
      </c>
      <c r="G680">
        <v>3</v>
      </c>
      <c r="J680">
        <v>2</v>
      </c>
      <c r="K680">
        <v>3</v>
      </c>
      <c r="N680">
        <v>0</v>
      </c>
      <c r="O680">
        <v>3</v>
      </c>
      <c r="Q680">
        <v>0</v>
      </c>
      <c r="R680">
        <v>3</v>
      </c>
      <c r="S680">
        <v>1</v>
      </c>
      <c r="U680" t="s">
        <v>51</v>
      </c>
      <c r="V680">
        <v>1</v>
      </c>
    </row>
    <row r="681" spans="2:22" x14ac:dyDescent="0.25">
      <c r="B681">
        <v>20</v>
      </c>
      <c r="C681">
        <f>IF(Adecco_India[[#This Row],[Attrition]]="Yes",1,0)</f>
        <v>0</v>
      </c>
      <c r="F681">
        <v>31</v>
      </c>
      <c r="G681">
        <v>3</v>
      </c>
      <c r="J681">
        <v>2</v>
      </c>
      <c r="K681">
        <v>3</v>
      </c>
      <c r="N681">
        <v>9</v>
      </c>
      <c r="O681">
        <v>3</v>
      </c>
      <c r="Q681">
        <v>0</v>
      </c>
      <c r="R681">
        <v>3</v>
      </c>
      <c r="S681">
        <v>1</v>
      </c>
      <c r="U681" t="s">
        <v>59</v>
      </c>
      <c r="V681">
        <v>1</v>
      </c>
    </row>
    <row r="682" spans="2:22" x14ac:dyDescent="0.25">
      <c r="B682">
        <v>7</v>
      </c>
      <c r="C682">
        <f>IF(Adecco_India[[#This Row],[Attrition]]="Yes",1,0)</f>
        <v>0</v>
      </c>
      <c r="F682">
        <v>36</v>
      </c>
      <c r="G682">
        <v>4</v>
      </c>
      <c r="J682">
        <v>3</v>
      </c>
      <c r="K682">
        <v>3</v>
      </c>
      <c r="N682">
        <v>6</v>
      </c>
      <c r="O682">
        <v>4</v>
      </c>
      <c r="Q682">
        <v>0</v>
      </c>
      <c r="R682">
        <v>3</v>
      </c>
      <c r="S682">
        <v>1</v>
      </c>
      <c r="U682" t="s">
        <v>49</v>
      </c>
      <c r="V682">
        <v>1</v>
      </c>
    </row>
    <row r="683" spans="2:22" x14ac:dyDescent="0.25">
      <c r="B683">
        <v>1</v>
      </c>
      <c r="C683">
        <f>IF(Adecco_India[[#This Row],[Attrition]]="Yes",1,0)</f>
        <v>0</v>
      </c>
      <c r="F683">
        <v>38</v>
      </c>
      <c r="G683">
        <v>1</v>
      </c>
      <c r="J683">
        <v>3</v>
      </c>
      <c r="K683">
        <v>3</v>
      </c>
      <c r="N683">
        <v>15</v>
      </c>
      <c r="O683">
        <v>1</v>
      </c>
      <c r="Q683">
        <v>5</v>
      </c>
      <c r="R683">
        <v>3</v>
      </c>
      <c r="S683">
        <v>1</v>
      </c>
      <c r="U683" t="s">
        <v>60</v>
      </c>
      <c r="V683">
        <v>1</v>
      </c>
    </row>
    <row r="684" spans="2:22" x14ac:dyDescent="0.25">
      <c r="B684">
        <v>1</v>
      </c>
      <c r="C684">
        <f>IF(Adecco_India[[#This Row],[Attrition]]="Yes",1,0)</f>
        <v>0</v>
      </c>
      <c r="F684">
        <v>32</v>
      </c>
      <c r="G684">
        <v>2</v>
      </c>
      <c r="J684">
        <v>3</v>
      </c>
      <c r="K684">
        <v>4</v>
      </c>
      <c r="N684">
        <v>3</v>
      </c>
      <c r="O684">
        <v>2</v>
      </c>
      <c r="Q684">
        <v>0</v>
      </c>
      <c r="R684">
        <v>4</v>
      </c>
      <c r="S684">
        <v>1</v>
      </c>
      <c r="U684" t="s">
        <v>38</v>
      </c>
      <c r="V684">
        <v>1</v>
      </c>
    </row>
    <row r="685" spans="2:22" x14ac:dyDescent="0.25">
      <c r="B685">
        <v>19</v>
      </c>
      <c r="C685">
        <f>IF(Adecco_India[[#This Row],[Attrition]]="Yes",1,0)</f>
        <v>1</v>
      </c>
      <c r="F685">
        <v>25</v>
      </c>
      <c r="G685">
        <v>2</v>
      </c>
      <c r="J685">
        <v>3</v>
      </c>
      <c r="K685">
        <v>3</v>
      </c>
      <c r="N685">
        <v>1</v>
      </c>
      <c r="O685">
        <v>2</v>
      </c>
      <c r="Q685">
        <v>0</v>
      </c>
      <c r="R685">
        <v>3</v>
      </c>
      <c r="S685">
        <v>1</v>
      </c>
      <c r="U685" t="s">
        <v>59</v>
      </c>
      <c r="V685">
        <v>1</v>
      </c>
    </row>
    <row r="686" spans="2:22" x14ac:dyDescent="0.25">
      <c r="B686">
        <v>10</v>
      </c>
      <c r="C686">
        <f>IF(Adecco_India[[#This Row],[Attrition]]="Yes",1,0)</f>
        <v>0</v>
      </c>
      <c r="F686">
        <v>40</v>
      </c>
      <c r="G686">
        <v>2</v>
      </c>
      <c r="J686">
        <v>2</v>
      </c>
      <c r="K686">
        <v>3</v>
      </c>
      <c r="N686">
        <v>1</v>
      </c>
      <c r="O686">
        <v>2</v>
      </c>
      <c r="Q686">
        <v>0</v>
      </c>
      <c r="R686">
        <v>3</v>
      </c>
      <c r="S686">
        <v>1</v>
      </c>
      <c r="U686" t="s">
        <v>59</v>
      </c>
      <c r="V686">
        <v>1</v>
      </c>
    </row>
    <row r="687" spans="2:22" x14ac:dyDescent="0.25">
      <c r="B687">
        <v>1</v>
      </c>
      <c r="C687">
        <f>IF(Adecco_India[[#This Row],[Attrition]]="Yes",1,0)</f>
        <v>0</v>
      </c>
      <c r="F687">
        <v>26</v>
      </c>
      <c r="G687">
        <v>1</v>
      </c>
      <c r="J687">
        <v>3</v>
      </c>
      <c r="K687">
        <v>3</v>
      </c>
      <c r="N687">
        <v>7</v>
      </c>
      <c r="O687">
        <v>1</v>
      </c>
      <c r="Q687">
        <v>0</v>
      </c>
      <c r="R687">
        <v>3</v>
      </c>
      <c r="S687">
        <v>1</v>
      </c>
      <c r="U687" t="s">
        <v>51</v>
      </c>
      <c r="V687">
        <v>1</v>
      </c>
    </row>
    <row r="688" spans="2:22" x14ac:dyDescent="0.25">
      <c r="B688">
        <v>6</v>
      </c>
      <c r="C688">
        <f>IF(Adecco_India[[#This Row],[Attrition]]="Yes",1,0)</f>
        <v>0</v>
      </c>
      <c r="F688">
        <v>41</v>
      </c>
      <c r="G688">
        <v>1</v>
      </c>
      <c r="J688">
        <v>3</v>
      </c>
      <c r="K688">
        <v>3</v>
      </c>
      <c r="N688">
        <v>18</v>
      </c>
      <c r="O688">
        <v>1</v>
      </c>
      <c r="Q688">
        <v>2</v>
      </c>
      <c r="R688">
        <v>3</v>
      </c>
      <c r="S688">
        <v>1</v>
      </c>
      <c r="U688" t="s">
        <v>51</v>
      </c>
      <c r="V688">
        <v>1</v>
      </c>
    </row>
    <row r="689" spans="2:22" x14ac:dyDescent="0.25">
      <c r="B689">
        <v>2</v>
      </c>
      <c r="C689">
        <f>IF(Adecco_India[[#This Row],[Attrition]]="Yes",1,0)</f>
        <v>0</v>
      </c>
      <c r="F689">
        <v>36</v>
      </c>
      <c r="G689">
        <v>3</v>
      </c>
      <c r="J689">
        <v>3</v>
      </c>
      <c r="K689">
        <v>4</v>
      </c>
      <c r="N689">
        <v>11</v>
      </c>
      <c r="O689">
        <v>3</v>
      </c>
      <c r="Q689">
        <v>3</v>
      </c>
      <c r="R689">
        <v>4</v>
      </c>
      <c r="S689">
        <v>1</v>
      </c>
      <c r="U689" t="s">
        <v>51</v>
      </c>
      <c r="V689">
        <v>1</v>
      </c>
    </row>
    <row r="690" spans="2:22" x14ac:dyDescent="0.25">
      <c r="B690">
        <v>21</v>
      </c>
      <c r="C690">
        <f>IF(Adecco_India[[#This Row],[Attrition]]="Yes",1,0)</f>
        <v>1</v>
      </c>
      <c r="F690">
        <v>19</v>
      </c>
      <c r="G690">
        <v>2</v>
      </c>
      <c r="J690">
        <v>4</v>
      </c>
      <c r="K690">
        <v>3</v>
      </c>
      <c r="N690">
        <v>1</v>
      </c>
      <c r="O690">
        <v>2</v>
      </c>
      <c r="Q690">
        <v>0</v>
      </c>
      <c r="R690">
        <v>3</v>
      </c>
      <c r="S690">
        <v>1</v>
      </c>
      <c r="U690" t="s">
        <v>49</v>
      </c>
      <c r="V690">
        <v>1</v>
      </c>
    </row>
    <row r="691" spans="2:22" x14ac:dyDescent="0.25">
      <c r="B691">
        <v>4</v>
      </c>
      <c r="C691">
        <f>IF(Adecco_India[[#This Row],[Attrition]]="Yes",1,0)</f>
        <v>1</v>
      </c>
      <c r="F691">
        <v>20</v>
      </c>
      <c r="G691">
        <v>1</v>
      </c>
      <c r="J691">
        <v>3</v>
      </c>
      <c r="K691">
        <v>3</v>
      </c>
      <c r="N691">
        <v>1</v>
      </c>
      <c r="O691">
        <v>1</v>
      </c>
      <c r="Q691">
        <v>0</v>
      </c>
      <c r="R691">
        <v>3</v>
      </c>
      <c r="S691">
        <v>1</v>
      </c>
      <c r="U691" t="s">
        <v>60</v>
      </c>
      <c r="V691">
        <v>1</v>
      </c>
    </row>
    <row r="692" spans="2:22" x14ac:dyDescent="0.25">
      <c r="B692">
        <v>12</v>
      </c>
      <c r="C692">
        <f>IF(Adecco_India[[#This Row],[Attrition]]="Yes",1,0)</f>
        <v>0</v>
      </c>
      <c r="F692">
        <v>31</v>
      </c>
      <c r="G692">
        <v>4</v>
      </c>
      <c r="J692">
        <v>1</v>
      </c>
      <c r="K692">
        <v>3</v>
      </c>
      <c r="N692">
        <v>9</v>
      </c>
      <c r="O692">
        <v>4</v>
      </c>
      <c r="Q692">
        <v>8</v>
      </c>
      <c r="R692">
        <v>3</v>
      </c>
      <c r="S692">
        <v>1</v>
      </c>
      <c r="U692" t="s">
        <v>51</v>
      </c>
      <c r="V692">
        <v>1</v>
      </c>
    </row>
    <row r="693" spans="2:22" x14ac:dyDescent="0.25">
      <c r="B693">
        <v>9</v>
      </c>
      <c r="C693">
        <f>IF(Adecco_India[[#This Row],[Attrition]]="Yes",1,0)</f>
        <v>0</v>
      </c>
      <c r="F693">
        <v>40</v>
      </c>
      <c r="G693">
        <v>2</v>
      </c>
      <c r="J693">
        <v>3</v>
      </c>
      <c r="K693">
        <v>3</v>
      </c>
      <c r="N693">
        <v>1</v>
      </c>
      <c r="O693">
        <v>2</v>
      </c>
      <c r="Q693">
        <v>0</v>
      </c>
      <c r="R693">
        <v>3</v>
      </c>
      <c r="S693">
        <v>1</v>
      </c>
      <c r="U693" t="s">
        <v>51</v>
      </c>
      <c r="V693">
        <v>1</v>
      </c>
    </row>
    <row r="694" spans="2:22" x14ac:dyDescent="0.25">
      <c r="B694">
        <v>3</v>
      </c>
      <c r="C694">
        <f>IF(Adecco_India[[#This Row],[Attrition]]="Yes",1,0)</f>
        <v>0</v>
      </c>
      <c r="F694">
        <v>32</v>
      </c>
      <c r="G694">
        <v>1</v>
      </c>
      <c r="J694">
        <v>4</v>
      </c>
      <c r="K694">
        <v>3</v>
      </c>
      <c r="N694">
        <v>8</v>
      </c>
      <c r="O694">
        <v>1</v>
      </c>
      <c r="Q694">
        <v>6</v>
      </c>
      <c r="R694">
        <v>3</v>
      </c>
      <c r="S694">
        <v>1</v>
      </c>
      <c r="U694" t="s">
        <v>51</v>
      </c>
      <c r="V694">
        <v>1</v>
      </c>
    </row>
    <row r="695" spans="2:22" x14ac:dyDescent="0.25">
      <c r="B695">
        <v>3</v>
      </c>
      <c r="C695">
        <f>IF(Adecco_India[[#This Row],[Attrition]]="Yes",1,0)</f>
        <v>1</v>
      </c>
      <c r="F695">
        <v>36</v>
      </c>
      <c r="G695">
        <v>4</v>
      </c>
      <c r="J695">
        <v>3</v>
      </c>
      <c r="K695">
        <v>3</v>
      </c>
      <c r="N695">
        <v>16</v>
      </c>
      <c r="O695">
        <v>4</v>
      </c>
      <c r="Q695">
        <v>3</v>
      </c>
      <c r="R695">
        <v>3</v>
      </c>
      <c r="S695">
        <v>1</v>
      </c>
      <c r="U695" t="s">
        <v>38</v>
      </c>
      <c r="V695">
        <v>1</v>
      </c>
    </row>
    <row r="696" spans="2:22" x14ac:dyDescent="0.25">
      <c r="B696">
        <v>1</v>
      </c>
      <c r="C696">
        <f>IF(Adecco_India[[#This Row],[Attrition]]="Yes",1,0)</f>
        <v>0</v>
      </c>
      <c r="F696">
        <v>33</v>
      </c>
      <c r="G696">
        <v>4</v>
      </c>
      <c r="J696">
        <v>3</v>
      </c>
      <c r="K696">
        <v>3</v>
      </c>
      <c r="N696">
        <v>5</v>
      </c>
      <c r="O696">
        <v>4</v>
      </c>
      <c r="Q696">
        <v>1</v>
      </c>
      <c r="R696">
        <v>3</v>
      </c>
      <c r="S696">
        <v>1</v>
      </c>
      <c r="U696" t="s">
        <v>38</v>
      </c>
      <c r="V696">
        <v>1</v>
      </c>
    </row>
    <row r="697" spans="2:22" x14ac:dyDescent="0.25">
      <c r="B697">
        <v>1</v>
      </c>
      <c r="C697">
        <f>IF(Adecco_India[[#This Row],[Attrition]]="Yes",1,0)</f>
        <v>1</v>
      </c>
      <c r="F697">
        <v>37</v>
      </c>
      <c r="G697">
        <v>3</v>
      </c>
      <c r="J697">
        <v>1</v>
      </c>
      <c r="K697">
        <v>3</v>
      </c>
      <c r="N697">
        <v>14</v>
      </c>
      <c r="O697">
        <v>3</v>
      </c>
      <c r="Q697">
        <v>11</v>
      </c>
      <c r="R697">
        <v>3</v>
      </c>
      <c r="S697">
        <v>1</v>
      </c>
      <c r="U697" t="s">
        <v>38</v>
      </c>
      <c r="V697">
        <v>1</v>
      </c>
    </row>
    <row r="698" spans="2:22" x14ac:dyDescent="0.25">
      <c r="B698">
        <v>4</v>
      </c>
      <c r="C698">
        <f>IF(Adecco_India[[#This Row],[Attrition]]="Yes",1,0)</f>
        <v>0</v>
      </c>
      <c r="F698">
        <v>45</v>
      </c>
      <c r="G698">
        <v>2</v>
      </c>
      <c r="J698">
        <v>2</v>
      </c>
      <c r="K698">
        <v>3</v>
      </c>
      <c r="N698">
        <v>9</v>
      </c>
      <c r="O698">
        <v>2</v>
      </c>
      <c r="Q698">
        <v>0</v>
      </c>
      <c r="R698">
        <v>3</v>
      </c>
      <c r="S698">
        <v>1</v>
      </c>
      <c r="U698" t="s">
        <v>38</v>
      </c>
      <c r="V698">
        <v>1</v>
      </c>
    </row>
    <row r="699" spans="2:22" x14ac:dyDescent="0.25">
      <c r="B699">
        <v>20</v>
      </c>
      <c r="C699">
        <f>IF(Adecco_India[[#This Row],[Attrition]]="Yes",1,0)</f>
        <v>0</v>
      </c>
      <c r="F699">
        <v>29</v>
      </c>
      <c r="G699">
        <v>4</v>
      </c>
      <c r="J699">
        <v>3</v>
      </c>
      <c r="K699">
        <v>3</v>
      </c>
      <c r="N699">
        <v>3</v>
      </c>
      <c r="O699">
        <v>4</v>
      </c>
      <c r="Q699">
        <v>0</v>
      </c>
      <c r="R699">
        <v>3</v>
      </c>
      <c r="S699">
        <v>1</v>
      </c>
      <c r="U699" t="s">
        <v>60</v>
      </c>
      <c r="V699">
        <v>1</v>
      </c>
    </row>
    <row r="700" spans="2:22" x14ac:dyDescent="0.25">
      <c r="B700">
        <v>18</v>
      </c>
      <c r="C700">
        <f>IF(Adecco_India[[#This Row],[Attrition]]="Yes",1,0)</f>
        <v>0</v>
      </c>
      <c r="F700">
        <v>35</v>
      </c>
      <c r="G700">
        <v>3</v>
      </c>
      <c r="J700">
        <v>3</v>
      </c>
      <c r="K700">
        <v>3</v>
      </c>
      <c r="N700">
        <v>5</v>
      </c>
      <c r="O700">
        <v>3</v>
      </c>
      <c r="Q700">
        <v>1</v>
      </c>
      <c r="R700">
        <v>3</v>
      </c>
      <c r="S700">
        <v>1</v>
      </c>
      <c r="U700" t="s">
        <v>51</v>
      </c>
      <c r="V700">
        <v>1</v>
      </c>
    </row>
    <row r="701" spans="2:22" x14ac:dyDescent="0.25">
      <c r="B701">
        <v>1</v>
      </c>
      <c r="C701">
        <f>IF(Adecco_India[[#This Row],[Attrition]]="Yes",1,0)</f>
        <v>0</v>
      </c>
      <c r="F701">
        <v>52</v>
      </c>
      <c r="G701">
        <v>4</v>
      </c>
      <c r="J701">
        <v>2</v>
      </c>
      <c r="K701">
        <v>3</v>
      </c>
      <c r="N701">
        <v>9</v>
      </c>
      <c r="O701">
        <v>4</v>
      </c>
      <c r="Q701">
        <v>7</v>
      </c>
      <c r="R701">
        <v>3</v>
      </c>
      <c r="S701">
        <v>1</v>
      </c>
      <c r="U701" t="s">
        <v>38</v>
      </c>
      <c r="V701">
        <v>1</v>
      </c>
    </row>
    <row r="702" spans="2:22" x14ac:dyDescent="0.25">
      <c r="B702">
        <v>2</v>
      </c>
      <c r="C702">
        <f>IF(Adecco_India[[#This Row],[Attrition]]="Yes",1,0)</f>
        <v>1</v>
      </c>
      <c r="F702">
        <v>58</v>
      </c>
      <c r="G702">
        <v>3</v>
      </c>
      <c r="J702">
        <v>3</v>
      </c>
      <c r="K702">
        <v>4</v>
      </c>
      <c r="N702">
        <v>1</v>
      </c>
      <c r="O702">
        <v>3</v>
      </c>
      <c r="Q702">
        <v>0</v>
      </c>
      <c r="R702">
        <v>4</v>
      </c>
      <c r="S702">
        <v>1</v>
      </c>
      <c r="U702" t="s">
        <v>60</v>
      </c>
      <c r="V702">
        <v>1</v>
      </c>
    </row>
    <row r="703" spans="2:22" x14ac:dyDescent="0.25">
      <c r="B703">
        <v>2</v>
      </c>
      <c r="C703">
        <f>IF(Adecco_India[[#This Row],[Attrition]]="Yes",1,0)</f>
        <v>0</v>
      </c>
      <c r="F703">
        <v>53</v>
      </c>
      <c r="G703">
        <v>3</v>
      </c>
      <c r="J703">
        <v>4</v>
      </c>
      <c r="K703">
        <v>3</v>
      </c>
      <c r="N703">
        <v>17</v>
      </c>
      <c r="O703">
        <v>3</v>
      </c>
      <c r="Q703">
        <v>15</v>
      </c>
      <c r="R703">
        <v>3</v>
      </c>
      <c r="S703">
        <v>1</v>
      </c>
      <c r="U703" t="s">
        <v>51</v>
      </c>
      <c r="V703">
        <v>1</v>
      </c>
    </row>
    <row r="704" spans="2:22" x14ac:dyDescent="0.25">
      <c r="B704">
        <v>8</v>
      </c>
      <c r="C704">
        <f>IF(Adecco_India[[#This Row],[Attrition]]="Yes",1,0)</f>
        <v>0</v>
      </c>
      <c r="F704">
        <v>30</v>
      </c>
      <c r="G704">
        <v>3</v>
      </c>
      <c r="J704">
        <v>4</v>
      </c>
      <c r="K704">
        <v>3</v>
      </c>
      <c r="N704">
        <v>8</v>
      </c>
      <c r="O704">
        <v>3</v>
      </c>
      <c r="Q704">
        <v>7</v>
      </c>
      <c r="R704">
        <v>3</v>
      </c>
      <c r="S704">
        <v>1</v>
      </c>
      <c r="U704" t="s">
        <v>49</v>
      </c>
      <c r="V704">
        <v>1</v>
      </c>
    </row>
    <row r="705" spans="2:22" x14ac:dyDescent="0.25">
      <c r="B705">
        <v>10</v>
      </c>
      <c r="C705">
        <f>IF(Adecco_India[[#This Row],[Attrition]]="Yes",1,0)</f>
        <v>0</v>
      </c>
      <c r="F705">
        <v>38</v>
      </c>
      <c r="G705">
        <v>4</v>
      </c>
      <c r="J705">
        <v>3</v>
      </c>
      <c r="K705">
        <v>3</v>
      </c>
      <c r="N705">
        <v>5</v>
      </c>
      <c r="O705">
        <v>4</v>
      </c>
      <c r="Q705">
        <v>1</v>
      </c>
      <c r="R705">
        <v>3</v>
      </c>
      <c r="S705">
        <v>1</v>
      </c>
      <c r="U705" t="s">
        <v>60</v>
      </c>
      <c r="V705">
        <v>1</v>
      </c>
    </row>
    <row r="706" spans="2:22" x14ac:dyDescent="0.25">
      <c r="B706">
        <v>3</v>
      </c>
      <c r="C706">
        <f>IF(Adecco_India[[#This Row],[Attrition]]="Yes",1,0)</f>
        <v>0</v>
      </c>
      <c r="F706">
        <v>35</v>
      </c>
      <c r="G706">
        <v>4</v>
      </c>
      <c r="J706">
        <v>3</v>
      </c>
      <c r="K706">
        <v>3</v>
      </c>
      <c r="N706">
        <v>10</v>
      </c>
      <c r="O706">
        <v>4</v>
      </c>
      <c r="Q706">
        <v>0</v>
      </c>
      <c r="R706">
        <v>3</v>
      </c>
      <c r="S706">
        <v>1</v>
      </c>
      <c r="U706" t="s">
        <v>38</v>
      </c>
      <c r="V706">
        <v>1</v>
      </c>
    </row>
    <row r="707" spans="2:22" x14ac:dyDescent="0.25">
      <c r="B707">
        <v>2</v>
      </c>
      <c r="C707">
        <f>IF(Adecco_India[[#This Row],[Attrition]]="Yes",1,0)</f>
        <v>0</v>
      </c>
      <c r="F707">
        <v>39</v>
      </c>
      <c r="G707">
        <v>3</v>
      </c>
      <c r="J707">
        <v>3</v>
      </c>
      <c r="K707">
        <v>3</v>
      </c>
      <c r="N707">
        <v>8</v>
      </c>
      <c r="O707">
        <v>3</v>
      </c>
      <c r="Q707">
        <v>0</v>
      </c>
      <c r="R707">
        <v>3</v>
      </c>
      <c r="S707">
        <v>1</v>
      </c>
      <c r="U707" t="s">
        <v>38</v>
      </c>
      <c r="V707">
        <v>1</v>
      </c>
    </row>
    <row r="708" spans="2:22" x14ac:dyDescent="0.25">
      <c r="B708">
        <v>24</v>
      </c>
      <c r="C708">
        <f>IF(Adecco_India[[#This Row],[Attrition]]="Yes",1,0)</f>
        <v>1</v>
      </c>
      <c r="F708">
        <v>40</v>
      </c>
      <c r="G708">
        <v>2</v>
      </c>
      <c r="J708">
        <v>2</v>
      </c>
      <c r="K708">
        <v>3</v>
      </c>
      <c r="N708">
        <v>1</v>
      </c>
      <c r="O708">
        <v>2</v>
      </c>
      <c r="Q708">
        <v>0</v>
      </c>
      <c r="R708">
        <v>3</v>
      </c>
      <c r="S708">
        <v>1</v>
      </c>
      <c r="U708" t="s">
        <v>38</v>
      </c>
      <c r="V708">
        <v>1</v>
      </c>
    </row>
    <row r="709" spans="2:22" x14ac:dyDescent="0.25">
      <c r="B709">
        <v>16</v>
      </c>
      <c r="C709">
        <f>IF(Adecco_India[[#This Row],[Attrition]]="Yes",1,0)</f>
        <v>0</v>
      </c>
      <c r="F709">
        <v>47</v>
      </c>
      <c r="G709">
        <v>3</v>
      </c>
      <c r="J709">
        <v>4</v>
      </c>
      <c r="K709">
        <v>3</v>
      </c>
      <c r="N709">
        <v>19</v>
      </c>
      <c r="O709">
        <v>3</v>
      </c>
      <c r="Q709">
        <v>2</v>
      </c>
      <c r="R709">
        <v>3</v>
      </c>
      <c r="S709">
        <v>1</v>
      </c>
      <c r="U709" t="s">
        <v>51</v>
      </c>
      <c r="V709">
        <v>1</v>
      </c>
    </row>
    <row r="710" spans="2:22" x14ac:dyDescent="0.25">
      <c r="B710">
        <v>8</v>
      </c>
      <c r="C710">
        <f>IF(Adecco_India[[#This Row],[Attrition]]="Yes",1,0)</f>
        <v>0</v>
      </c>
      <c r="F710">
        <v>36</v>
      </c>
      <c r="G710">
        <v>4</v>
      </c>
      <c r="J710">
        <v>3</v>
      </c>
      <c r="K710">
        <v>3</v>
      </c>
      <c r="N710">
        <v>7</v>
      </c>
      <c r="O710">
        <v>4</v>
      </c>
      <c r="Q710">
        <v>0</v>
      </c>
      <c r="R710">
        <v>3</v>
      </c>
      <c r="S710">
        <v>1</v>
      </c>
      <c r="U710" t="s">
        <v>60</v>
      </c>
      <c r="V710">
        <v>1</v>
      </c>
    </row>
    <row r="711" spans="2:22" x14ac:dyDescent="0.25">
      <c r="B711">
        <v>9</v>
      </c>
      <c r="C711">
        <f>IF(Adecco_India[[#This Row],[Attrition]]="Yes",1,0)</f>
        <v>1</v>
      </c>
      <c r="F711">
        <v>31</v>
      </c>
      <c r="G711">
        <v>1</v>
      </c>
      <c r="J711">
        <v>3</v>
      </c>
      <c r="K711">
        <v>4</v>
      </c>
      <c r="N711">
        <v>3</v>
      </c>
      <c r="O711">
        <v>1</v>
      </c>
      <c r="Q711">
        <v>1</v>
      </c>
      <c r="R711">
        <v>4</v>
      </c>
      <c r="S711">
        <v>1</v>
      </c>
      <c r="U711" t="s">
        <v>51</v>
      </c>
      <c r="V711">
        <v>1</v>
      </c>
    </row>
    <row r="712" spans="2:22" x14ac:dyDescent="0.25">
      <c r="B712">
        <v>17</v>
      </c>
      <c r="C712">
        <f>IF(Adecco_India[[#This Row],[Attrition]]="Yes",1,0)</f>
        <v>0</v>
      </c>
      <c r="F712">
        <v>33</v>
      </c>
      <c r="G712">
        <v>3</v>
      </c>
      <c r="J712">
        <v>3</v>
      </c>
      <c r="K712">
        <v>3</v>
      </c>
      <c r="N712">
        <v>10</v>
      </c>
      <c r="O712">
        <v>3</v>
      </c>
      <c r="Q712">
        <v>6</v>
      </c>
      <c r="R712">
        <v>3</v>
      </c>
      <c r="S712">
        <v>1</v>
      </c>
      <c r="U712" t="s">
        <v>38</v>
      </c>
      <c r="V712">
        <v>1</v>
      </c>
    </row>
    <row r="713" spans="2:22" x14ac:dyDescent="0.25">
      <c r="B713">
        <v>10</v>
      </c>
      <c r="C713">
        <f>IF(Adecco_India[[#This Row],[Attrition]]="Yes",1,0)</f>
        <v>1</v>
      </c>
      <c r="F713">
        <v>29</v>
      </c>
      <c r="G713">
        <v>1</v>
      </c>
      <c r="J713">
        <v>3</v>
      </c>
      <c r="K713">
        <v>4</v>
      </c>
      <c r="N713">
        <v>0</v>
      </c>
      <c r="O713">
        <v>1</v>
      </c>
      <c r="Q713">
        <v>0</v>
      </c>
      <c r="R713">
        <v>4</v>
      </c>
      <c r="S713">
        <v>1</v>
      </c>
      <c r="U713" t="s">
        <v>38</v>
      </c>
      <c r="V713">
        <v>1</v>
      </c>
    </row>
    <row r="714" spans="2:22" x14ac:dyDescent="0.25">
      <c r="B714">
        <v>13</v>
      </c>
      <c r="C714">
        <f>IF(Adecco_India[[#This Row],[Attrition]]="Yes",1,0)</f>
        <v>0</v>
      </c>
      <c r="F714">
        <v>33</v>
      </c>
      <c r="G714">
        <v>4</v>
      </c>
      <c r="J714">
        <v>3</v>
      </c>
      <c r="K714">
        <v>3</v>
      </c>
      <c r="N714">
        <v>3</v>
      </c>
      <c r="O714">
        <v>4</v>
      </c>
      <c r="Q714">
        <v>0</v>
      </c>
      <c r="R714">
        <v>3</v>
      </c>
      <c r="S714">
        <v>1</v>
      </c>
      <c r="U714" t="s">
        <v>38</v>
      </c>
      <c r="V714">
        <v>1</v>
      </c>
    </row>
    <row r="715" spans="2:22" x14ac:dyDescent="0.25">
      <c r="B715">
        <v>1</v>
      </c>
      <c r="C715">
        <f>IF(Adecco_India[[#This Row],[Attrition]]="Yes",1,0)</f>
        <v>0</v>
      </c>
      <c r="F715">
        <v>45</v>
      </c>
      <c r="G715">
        <v>4</v>
      </c>
      <c r="J715">
        <v>3</v>
      </c>
      <c r="K715">
        <v>3</v>
      </c>
      <c r="N715">
        <v>5</v>
      </c>
      <c r="O715">
        <v>4</v>
      </c>
      <c r="Q715">
        <v>0</v>
      </c>
      <c r="R715">
        <v>3</v>
      </c>
      <c r="S715">
        <v>1</v>
      </c>
      <c r="U715" t="s">
        <v>51</v>
      </c>
      <c r="V715">
        <v>1</v>
      </c>
    </row>
    <row r="716" spans="2:22" x14ac:dyDescent="0.25">
      <c r="B716">
        <v>1</v>
      </c>
      <c r="C716">
        <f>IF(Adecco_India[[#This Row],[Attrition]]="Yes",1,0)</f>
        <v>0</v>
      </c>
      <c r="F716">
        <v>50</v>
      </c>
      <c r="G716">
        <v>4</v>
      </c>
      <c r="J716">
        <v>2</v>
      </c>
      <c r="K716">
        <v>4</v>
      </c>
      <c r="N716">
        <v>5</v>
      </c>
      <c r="O716">
        <v>4</v>
      </c>
      <c r="Q716">
        <v>1</v>
      </c>
      <c r="R716">
        <v>4</v>
      </c>
      <c r="S716">
        <v>1</v>
      </c>
      <c r="U716" t="s">
        <v>51</v>
      </c>
      <c r="V716">
        <v>1</v>
      </c>
    </row>
    <row r="717" spans="2:22" x14ac:dyDescent="0.25">
      <c r="B717">
        <v>1</v>
      </c>
      <c r="C717">
        <f>IF(Adecco_India[[#This Row],[Attrition]]="Yes",1,0)</f>
        <v>0</v>
      </c>
      <c r="F717">
        <v>33</v>
      </c>
      <c r="G717">
        <v>2</v>
      </c>
      <c r="J717">
        <v>3</v>
      </c>
      <c r="K717">
        <v>3</v>
      </c>
      <c r="N717">
        <v>6</v>
      </c>
      <c r="O717">
        <v>2</v>
      </c>
      <c r="Q717">
        <v>1</v>
      </c>
      <c r="R717">
        <v>3</v>
      </c>
      <c r="S717">
        <v>1</v>
      </c>
      <c r="U717" t="s">
        <v>49</v>
      </c>
      <c r="V717">
        <v>1</v>
      </c>
    </row>
    <row r="718" spans="2:22" x14ac:dyDescent="0.25">
      <c r="B718">
        <v>9</v>
      </c>
      <c r="C718">
        <f>IF(Adecco_India[[#This Row],[Attrition]]="Yes",1,0)</f>
        <v>0</v>
      </c>
      <c r="F718">
        <v>41</v>
      </c>
      <c r="G718">
        <v>3</v>
      </c>
      <c r="J718">
        <v>4</v>
      </c>
      <c r="K718">
        <v>3</v>
      </c>
      <c r="N718">
        <v>18</v>
      </c>
      <c r="O718">
        <v>3</v>
      </c>
      <c r="Q718">
        <v>0</v>
      </c>
      <c r="R718">
        <v>3</v>
      </c>
      <c r="S718">
        <v>1</v>
      </c>
      <c r="U718" t="s">
        <v>51</v>
      </c>
      <c r="V718">
        <v>1</v>
      </c>
    </row>
    <row r="719" spans="2:22" x14ac:dyDescent="0.25">
      <c r="B719">
        <v>16</v>
      </c>
      <c r="C719">
        <f>IF(Adecco_India[[#This Row],[Attrition]]="Yes",1,0)</f>
        <v>0</v>
      </c>
      <c r="F719">
        <v>27</v>
      </c>
      <c r="G719">
        <v>2</v>
      </c>
      <c r="J719">
        <v>3</v>
      </c>
      <c r="K719">
        <v>3</v>
      </c>
      <c r="N719">
        <v>2</v>
      </c>
      <c r="O719">
        <v>2</v>
      </c>
      <c r="Q719">
        <v>2</v>
      </c>
      <c r="R719">
        <v>3</v>
      </c>
      <c r="S719">
        <v>1</v>
      </c>
      <c r="U719" t="s">
        <v>60</v>
      </c>
      <c r="V719">
        <v>1</v>
      </c>
    </row>
    <row r="720" spans="2:22" x14ac:dyDescent="0.25">
      <c r="B720">
        <v>23</v>
      </c>
      <c r="C720">
        <f>IF(Adecco_India[[#This Row],[Attrition]]="Yes",1,0)</f>
        <v>0</v>
      </c>
      <c r="F720">
        <v>45</v>
      </c>
      <c r="G720">
        <v>1</v>
      </c>
      <c r="J720">
        <v>3</v>
      </c>
      <c r="K720">
        <v>3</v>
      </c>
      <c r="N720">
        <v>9</v>
      </c>
      <c r="O720">
        <v>1</v>
      </c>
      <c r="Q720">
        <v>0</v>
      </c>
      <c r="R720">
        <v>3</v>
      </c>
      <c r="S720">
        <v>1</v>
      </c>
      <c r="U720" t="s">
        <v>38</v>
      </c>
      <c r="V720">
        <v>1</v>
      </c>
    </row>
    <row r="721" spans="2:22" x14ac:dyDescent="0.25">
      <c r="B721">
        <v>4</v>
      </c>
      <c r="C721">
        <f>IF(Adecco_India[[#This Row],[Attrition]]="Yes",1,0)</f>
        <v>0</v>
      </c>
      <c r="F721">
        <v>47</v>
      </c>
      <c r="G721">
        <v>4</v>
      </c>
      <c r="J721">
        <v>3</v>
      </c>
      <c r="K721">
        <v>3</v>
      </c>
      <c r="N721">
        <v>9</v>
      </c>
      <c r="O721">
        <v>4</v>
      </c>
      <c r="Q721">
        <v>0</v>
      </c>
      <c r="R721">
        <v>3</v>
      </c>
      <c r="S721">
        <v>1</v>
      </c>
      <c r="U721" t="s">
        <v>38</v>
      </c>
      <c r="V721">
        <v>1</v>
      </c>
    </row>
    <row r="722" spans="2:22" x14ac:dyDescent="0.25">
      <c r="B722">
        <v>22</v>
      </c>
      <c r="C722">
        <f>IF(Adecco_India[[#This Row],[Attrition]]="Yes",1,0)</f>
        <v>1</v>
      </c>
      <c r="F722">
        <v>30</v>
      </c>
      <c r="G722">
        <v>3</v>
      </c>
      <c r="J722">
        <v>3</v>
      </c>
      <c r="K722">
        <v>3</v>
      </c>
      <c r="N722">
        <v>5</v>
      </c>
      <c r="O722">
        <v>3</v>
      </c>
      <c r="Q722">
        <v>0</v>
      </c>
      <c r="R722">
        <v>3</v>
      </c>
      <c r="S722">
        <v>1</v>
      </c>
      <c r="U722" t="s">
        <v>38</v>
      </c>
      <c r="V722">
        <v>1</v>
      </c>
    </row>
    <row r="723" spans="2:22" x14ac:dyDescent="0.25">
      <c r="B723">
        <v>24</v>
      </c>
      <c r="C723">
        <f>IF(Adecco_India[[#This Row],[Attrition]]="Yes",1,0)</f>
        <v>0</v>
      </c>
      <c r="F723">
        <v>50</v>
      </c>
      <c r="G723">
        <v>3</v>
      </c>
      <c r="J723">
        <v>3</v>
      </c>
      <c r="K723">
        <v>3</v>
      </c>
      <c r="N723">
        <v>12</v>
      </c>
      <c r="O723">
        <v>3</v>
      </c>
      <c r="Q723">
        <v>1</v>
      </c>
      <c r="R723">
        <v>3</v>
      </c>
      <c r="S723">
        <v>1</v>
      </c>
      <c r="U723" t="s">
        <v>38</v>
      </c>
      <c r="V723">
        <v>1</v>
      </c>
    </row>
    <row r="724" spans="2:22" x14ac:dyDescent="0.25">
      <c r="B724">
        <v>10</v>
      </c>
      <c r="C724">
        <f>IF(Adecco_India[[#This Row],[Attrition]]="Yes",1,0)</f>
        <v>0</v>
      </c>
      <c r="F724">
        <v>38</v>
      </c>
      <c r="G724">
        <v>3</v>
      </c>
      <c r="J724">
        <v>2</v>
      </c>
      <c r="K724">
        <v>3</v>
      </c>
      <c r="N724">
        <v>2</v>
      </c>
      <c r="O724">
        <v>3</v>
      </c>
      <c r="Q724">
        <v>0</v>
      </c>
      <c r="R724">
        <v>3</v>
      </c>
      <c r="S724">
        <v>1</v>
      </c>
      <c r="U724" t="s">
        <v>51</v>
      </c>
      <c r="V724">
        <v>1</v>
      </c>
    </row>
    <row r="725" spans="2:22" x14ac:dyDescent="0.25">
      <c r="B725">
        <v>7</v>
      </c>
      <c r="C725">
        <f>IF(Adecco_India[[#This Row],[Attrition]]="Yes",1,0)</f>
        <v>0</v>
      </c>
      <c r="F725">
        <v>46</v>
      </c>
      <c r="G725">
        <v>3</v>
      </c>
      <c r="J725">
        <v>3</v>
      </c>
      <c r="K725">
        <v>3</v>
      </c>
      <c r="N725">
        <v>8</v>
      </c>
      <c r="O725">
        <v>3</v>
      </c>
      <c r="Q725">
        <v>0</v>
      </c>
      <c r="R725">
        <v>3</v>
      </c>
      <c r="S725">
        <v>1</v>
      </c>
      <c r="U725" t="s">
        <v>51</v>
      </c>
      <c r="V725">
        <v>1</v>
      </c>
    </row>
    <row r="726" spans="2:22" x14ac:dyDescent="0.25">
      <c r="B726">
        <v>17</v>
      </c>
      <c r="C726">
        <f>IF(Adecco_India[[#This Row],[Attrition]]="Yes",1,0)</f>
        <v>0</v>
      </c>
      <c r="F726">
        <v>24</v>
      </c>
      <c r="G726">
        <v>3</v>
      </c>
      <c r="J726">
        <v>3</v>
      </c>
      <c r="K726">
        <v>3</v>
      </c>
      <c r="N726">
        <v>4</v>
      </c>
      <c r="O726">
        <v>3</v>
      </c>
      <c r="Q726">
        <v>3</v>
      </c>
      <c r="R726">
        <v>3</v>
      </c>
      <c r="S726">
        <v>1</v>
      </c>
      <c r="U726" t="s">
        <v>51</v>
      </c>
      <c r="V726">
        <v>1</v>
      </c>
    </row>
    <row r="727" spans="2:22" x14ac:dyDescent="0.25">
      <c r="B727">
        <v>14</v>
      </c>
      <c r="C727">
        <f>IF(Adecco_India[[#This Row],[Attrition]]="Yes",1,0)</f>
        <v>1</v>
      </c>
      <c r="F727">
        <v>35</v>
      </c>
      <c r="G727">
        <v>2</v>
      </c>
      <c r="J727">
        <v>1</v>
      </c>
      <c r="K727">
        <v>4</v>
      </c>
      <c r="N727">
        <v>4</v>
      </c>
      <c r="O727">
        <v>2</v>
      </c>
      <c r="Q727">
        <v>0</v>
      </c>
      <c r="R727">
        <v>4</v>
      </c>
      <c r="S727">
        <v>1</v>
      </c>
      <c r="U727" t="s">
        <v>49</v>
      </c>
      <c r="V727">
        <v>1</v>
      </c>
    </row>
    <row r="728" spans="2:22" x14ac:dyDescent="0.25">
      <c r="B728">
        <v>1</v>
      </c>
      <c r="C728">
        <f>IF(Adecco_India[[#This Row],[Attrition]]="Yes",1,0)</f>
        <v>0</v>
      </c>
      <c r="F728">
        <v>31</v>
      </c>
      <c r="G728">
        <v>1</v>
      </c>
      <c r="J728">
        <v>3</v>
      </c>
      <c r="K728">
        <v>3</v>
      </c>
      <c r="N728">
        <v>4</v>
      </c>
      <c r="O728">
        <v>1</v>
      </c>
      <c r="Q728">
        <v>0</v>
      </c>
      <c r="R728">
        <v>3</v>
      </c>
      <c r="S728">
        <v>1</v>
      </c>
      <c r="U728" t="s">
        <v>38</v>
      </c>
      <c r="V728">
        <v>1</v>
      </c>
    </row>
    <row r="729" spans="2:22" x14ac:dyDescent="0.25">
      <c r="B729">
        <v>5</v>
      </c>
      <c r="C729">
        <f>IF(Adecco_India[[#This Row],[Attrition]]="Yes",1,0)</f>
        <v>0</v>
      </c>
      <c r="F729">
        <v>18</v>
      </c>
      <c r="G729">
        <v>4</v>
      </c>
      <c r="J729">
        <v>3</v>
      </c>
      <c r="K729">
        <v>3</v>
      </c>
      <c r="N729">
        <v>0</v>
      </c>
      <c r="O729">
        <v>4</v>
      </c>
      <c r="Q729">
        <v>0</v>
      </c>
      <c r="R729">
        <v>3</v>
      </c>
      <c r="S729">
        <v>1</v>
      </c>
      <c r="U729" t="s">
        <v>38</v>
      </c>
      <c r="V729">
        <v>1</v>
      </c>
    </row>
    <row r="730" spans="2:22" x14ac:dyDescent="0.25">
      <c r="B730">
        <v>17</v>
      </c>
      <c r="C730">
        <f>IF(Adecco_India[[#This Row],[Attrition]]="Yes",1,0)</f>
        <v>0</v>
      </c>
      <c r="F730">
        <v>54</v>
      </c>
      <c r="G730">
        <v>3</v>
      </c>
      <c r="J730">
        <v>3</v>
      </c>
      <c r="K730">
        <v>3</v>
      </c>
      <c r="N730">
        <v>10</v>
      </c>
      <c r="O730">
        <v>3</v>
      </c>
      <c r="Q730">
        <v>0</v>
      </c>
      <c r="R730">
        <v>3</v>
      </c>
      <c r="S730">
        <v>1</v>
      </c>
      <c r="U730" t="s">
        <v>60</v>
      </c>
      <c r="V730">
        <v>1</v>
      </c>
    </row>
    <row r="731" spans="2:22" x14ac:dyDescent="0.25">
      <c r="B731">
        <v>25</v>
      </c>
      <c r="C731">
        <f>IF(Adecco_India[[#This Row],[Attrition]]="Yes",1,0)</f>
        <v>0</v>
      </c>
      <c r="F731">
        <v>35</v>
      </c>
      <c r="G731">
        <v>3</v>
      </c>
      <c r="J731">
        <v>2</v>
      </c>
      <c r="K731">
        <v>3</v>
      </c>
      <c r="N731">
        <v>16</v>
      </c>
      <c r="O731">
        <v>3</v>
      </c>
      <c r="Q731">
        <v>10</v>
      </c>
      <c r="R731">
        <v>3</v>
      </c>
      <c r="S731">
        <v>1</v>
      </c>
      <c r="U731" t="s">
        <v>51</v>
      </c>
      <c r="V731">
        <v>1</v>
      </c>
    </row>
    <row r="732" spans="2:22" x14ac:dyDescent="0.25">
      <c r="B732">
        <v>8</v>
      </c>
      <c r="C732">
        <f>IF(Adecco_India[[#This Row],[Attrition]]="Yes",1,0)</f>
        <v>0</v>
      </c>
      <c r="F732">
        <v>30</v>
      </c>
      <c r="G732">
        <v>1</v>
      </c>
      <c r="J732">
        <v>2</v>
      </c>
      <c r="K732">
        <v>3</v>
      </c>
      <c r="N732">
        <v>8</v>
      </c>
      <c r="O732">
        <v>1</v>
      </c>
      <c r="Q732">
        <v>1</v>
      </c>
      <c r="R732">
        <v>3</v>
      </c>
      <c r="S732">
        <v>1</v>
      </c>
      <c r="U732" t="s">
        <v>38</v>
      </c>
      <c r="V732">
        <v>1</v>
      </c>
    </row>
    <row r="733" spans="2:22" x14ac:dyDescent="0.25">
      <c r="B733">
        <v>11</v>
      </c>
      <c r="C733">
        <f>IF(Adecco_India[[#This Row],[Attrition]]="Yes",1,0)</f>
        <v>1</v>
      </c>
      <c r="F733">
        <v>20</v>
      </c>
      <c r="G733">
        <v>1</v>
      </c>
      <c r="J733">
        <v>3</v>
      </c>
      <c r="K733">
        <v>3</v>
      </c>
      <c r="N733">
        <v>1</v>
      </c>
      <c r="O733">
        <v>1</v>
      </c>
      <c r="Q733">
        <v>0</v>
      </c>
      <c r="R733">
        <v>3</v>
      </c>
      <c r="S733">
        <v>1</v>
      </c>
      <c r="U733" t="s">
        <v>51</v>
      </c>
      <c r="V733">
        <v>1</v>
      </c>
    </row>
    <row r="734" spans="2:22" x14ac:dyDescent="0.25">
      <c r="B734">
        <v>5</v>
      </c>
      <c r="C734">
        <f>IF(Adecco_India[[#This Row],[Attrition]]="Yes",1,0)</f>
        <v>1</v>
      </c>
      <c r="F734">
        <v>30</v>
      </c>
      <c r="G734">
        <v>2</v>
      </c>
      <c r="J734">
        <v>3</v>
      </c>
      <c r="K734">
        <v>3</v>
      </c>
      <c r="N734">
        <v>3</v>
      </c>
      <c r="O734">
        <v>2</v>
      </c>
      <c r="Q734">
        <v>1</v>
      </c>
      <c r="R734">
        <v>3</v>
      </c>
      <c r="S734">
        <v>1</v>
      </c>
      <c r="U734" t="s">
        <v>51</v>
      </c>
      <c r="V734">
        <v>1</v>
      </c>
    </row>
    <row r="735" spans="2:22" x14ac:dyDescent="0.25">
      <c r="B735">
        <v>2</v>
      </c>
      <c r="C735">
        <f>IF(Adecco_India[[#This Row],[Attrition]]="Yes",1,0)</f>
        <v>0</v>
      </c>
      <c r="F735">
        <v>26</v>
      </c>
      <c r="G735">
        <v>4</v>
      </c>
      <c r="J735">
        <v>3</v>
      </c>
      <c r="K735">
        <v>3</v>
      </c>
      <c r="N735">
        <v>8</v>
      </c>
      <c r="O735">
        <v>4</v>
      </c>
      <c r="Q735">
        <v>1</v>
      </c>
      <c r="R735">
        <v>3</v>
      </c>
      <c r="S735">
        <v>1</v>
      </c>
      <c r="U735" t="s">
        <v>51</v>
      </c>
      <c r="V735">
        <v>1</v>
      </c>
    </row>
    <row r="736" spans="2:22" x14ac:dyDescent="0.25">
      <c r="B736">
        <v>8</v>
      </c>
      <c r="C736">
        <f>IF(Adecco_India[[#This Row],[Attrition]]="Yes",1,0)</f>
        <v>0</v>
      </c>
      <c r="F736">
        <v>22</v>
      </c>
      <c r="G736">
        <v>1</v>
      </c>
      <c r="J736">
        <v>2</v>
      </c>
      <c r="K736">
        <v>3</v>
      </c>
      <c r="N736">
        <v>4</v>
      </c>
      <c r="O736">
        <v>1</v>
      </c>
      <c r="Q736">
        <v>1</v>
      </c>
      <c r="R736">
        <v>3</v>
      </c>
      <c r="S736">
        <v>1</v>
      </c>
      <c r="U736" t="s">
        <v>38</v>
      </c>
      <c r="V736">
        <v>1</v>
      </c>
    </row>
    <row r="737" spans="2:22" x14ac:dyDescent="0.25">
      <c r="B737">
        <v>6</v>
      </c>
      <c r="C737">
        <f>IF(Adecco_India[[#This Row],[Attrition]]="Yes",1,0)</f>
        <v>0</v>
      </c>
      <c r="F737">
        <v>48</v>
      </c>
      <c r="G737">
        <v>3</v>
      </c>
      <c r="J737">
        <v>3</v>
      </c>
      <c r="K737">
        <v>3</v>
      </c>
      <c r="N737">
        <v>2</v>
      </c>
      <c r="O737">
        <v>3</v>
      </c>
      <c r="Q737">
        <v>2</v>
      </c>
      <c r="R737">
        <v>3</v>
      </c>
      <c r="S737">
        <v>1</v>
      </c>
      <c r="U737" t="s">
        <v>38</v>
      </c>
      <c r="V737">
        <v>1</v>
      </c>
    </row>
    <row r="738" spans="2:22" x14ac:dyDescent="0.25">
      <c r="B738">
        <v>4</v>
      </c>
      <c r="C738">
        <f>IF(Adecco_India[[#This Row],[Attrition]]="Yes",1,0)</f>
        <v>0</v>
      </c>
      <c r="F738">
        <v>48</v>
      </c>
      <c r="G738">
        <v>3</v>
      </c>
      <c r="J738">
        <v>3</v>
      </c>
      <c r="K738">
        <v>3</v>
      </c>
      <c r="N738">
        <v>15</v>
      </c>
      <c r="O738">
        <v>3</v>
      </c>
      <c r="Q738">
        <v>4</v>
      </c>
      <c r="R738">
        <v>3</v>
      </c>
      <c r="S738">
        <v>1</v>
      </c>
      <c r="U738" t="s">
        <v>38</v>
      </c>
      <c r="V738">
        <v>1</v>
      </c>
    </row>
    <row r="739" spans="2:22" x14ac:dyDescent="0.25">
      <c r="B739">
        <v>7</v>
      </c>
      <c r="C739">
        <f>IF(Adecco_India[[#This Row],[Attrition]]="Yes",1,0)</f>
        <v>0</v>
      </c>
      <c r="F739">
        <v>41</v>
      </c>
      <c r="G739">
        <v>3</v>
      </c>
      <c r="J739">
        <v>3</v>
      </c>
      <c r="K739">
        <v>3</v>
      </c>
      <c r="N739">
        <v>2</v>
      </c>
      <c r="O739">
        <v>3</v>
      </c>
      <c r="Q739">
        <v>2</v>
      </c>
      <c r="R739">
        <v>3</v>
      </c>
      <c r="S739">
        <v>1</v>
      </c>
      <c r="U739" t="s">
        <v>51</v>
      </c>
      <c r="V739">
        <v>1</v>
      </c>
    </row>
    <row r="740" spans="2:22" x14ac:dyDescent="0.25">
      <c r="B740">
        <v>1</v>
      </c>
      <c r="C740">
        <f>IF(Adecco_India[[#This Row],[Attrition]]="Yes",1,0)</f>
        <v>0</v>
      </c>
      <c r="F740">
        <v>39</v>
      </c>
      <c r="G740">
        <v>4</v>
      </c>
      <c r="J740">
        <v>3</v>
      </c>
      <c r="K740">
        <v>3</v>
      </c>
      <c r="N740">
        <v>21</v>
      </c>
      <c r="O740">
        <v>4</v>
      </c>
      <c r="Q740">
        <v>11</v>
      </c>
      <c r="R740">
        <v>3</v>
      </c>
      <c r="S740">
        <v>1</v>
      </c>
      <c r="U740" t="s">
        <v>38</v>
      </c>
      <c r="V740">
        <v>1</v>
      </c>
    </row>
    <row r="741" spans="2:22" x14ac:dyDescent="0.25">
      <c r="B741">
        <v>2</v>
      </c>
      <c r="C741">
        <f>IF(Adecco_India[[#This Row],[Attrition]]="Yes",1,0)</f>
        <v>0</v>
      </c>
      <c r="F741">
        <v>27</v>
      </c>
      <c r="G741">
        <v>4</v>
      </c>
      <c r="J741">
        <v>3</v>
      </c>
      <c r="K741">
        <v>3</v>
      </c>
      <c r="N741">
        <v>3</v>
      </c>
      <c r="O741">
        <v>4</v>
      </c>
      <c r="Q741">
        <v>2</v>
      </c>
      <c r="R741">
        <v>3</v>
      </c>
      <c r="S741">
        <v>1</v>
      </c>
      <c r="U741" t="s">
        <v>38</v>
      </c>
      <c r="V741">
        <v>1</v>
      </c>
    </row>
    <row r="742" spans="2:22" x14ac:dyDescent="0.25">
      <c r="B742">
        <v>10</v>
      </c>
      <c r="C742">
        <f>IF(Adecco_India[[#This Row],[Attrition]]="Yes",1,0)</f>
        <v>0</v>
      </c>
      <c r="F742">
        <v>35</v>
      </c>
      <c r="G742">
        <v>4</v>
      </c>
      <c r="J742">
        <v>2</v>
      </c>
      <c r="K742">
        <v>4</v>
      </c>
      <c r="N742">
        <v>3</v>
      </c>
      <c r="O742">
        <v>4</v>
      </c>
      <c r="Q742">
        <v>1</v>
      </c>
      <c r="R742">
        <v>4</v>
      </c>
      <c r="S742">
        <v>1</v>
      </c>
      <c r="U742" t="s">
        <v>49</v>
      </c>
      <c r="V742">
        <v>1</v>
      </c>
    </row>
    <row r="743" spans="2:22" x14ac:dyDescent="0.25">
      <c r="B743">
        <v>5</v>
      </c>
      <c r="C743">
        <f>IF(Adecco_India[[#This Row],[Attrition]]="Yes",1,0)</f>
        <v>0</v>
      </c>
      <c r="F743">
        <v>42</v>
      </c>
      <c r="G743">
        <v>3</v>
      </c>
      <c r="J743">
        <v>4</v>
      </c>
      <c r="K743">
        <v>3</v>
      </c>
      <c r="N743">
        <v>1</v>
      </c>
      <c r="O743">
        <v>3</v>
      </c>
      <c r="Q743">
        <v>0</v>
      </c>
      <c r="R743">
        <v>3</v>
      </c>
      <c r="S743">
        <v>1</v>
      </c>
      <c r="U743" t="s">
        <v>59</v>
      </c>
      <c r="V743">
        <v>1</v>
      </c>
    </row>
    <row r="744" spans="2:22" x14ac:dyDescent="0.25">
      <c r="B744">
        <v>9</v>
      </c>
      <c r="C744">
        <f>IF(Adecco_India[[#This Row],[Attrition]]="Yes",1,0)</f>
        <v>0</v>
      </c>
      <c r="F744">
        <v>50</v>
      </c>
      <c r="G744">
        <v>4</v>
      </c>
      <c r="J744">
        <v>3</v>
      </c>
      <c r="K744">
        <v>3</v>
      </c>
      <c r="N744">
        <v>1</v>
      </c>
      <c r="O744">
        <v>4</v>
      </c>
      <c r="Q744">
        <v>0</v>
      </c>
      <c r="R744">
        <v>3</v>
      </c>
      <c r="S744">
        <v>1</v>
      </c>
      <c r="U744" t="s">
        <v>38</v>
      </c>
      <c r="V744">
        <v>1</v>
      </c>
    </row>
    <row r="745" spans="2:22" x14ac:dyDescent="0.25">
      <c r="B745">
        <v>2</v>
      </c>
      <c r="C745">
        <f>IF(Adecco_India[[#This Row],[Attrition]]="Yes",1,0)</f>
        <v>0</v>
      </c>
      <c r="F745">
        <v>59</v>
      </c>
      <c r="G745">
        <v>4</v>
      </c>
      <c r="J745">
        <v>3</v>
      </c>
      <c r="K745">
        <v>3</v>
      </c>
      <c r="N745">
        <v>5</v>
      </c>
      <c r="O745">
        <v>4</v>
      </c>
      <c r="Q745">
        <v>4</v>
      </c>
      <c r="R745">
        <v>3</v>
      </c>
      <c r="S745">
        <v>1</v>
      </c>
      <c r="U745" t="s">
        <v>38</v>
      </c>
      <c r="V745">
        <v>1</v>
      </c>
    </row>
    <row r="746" spans="2:22" x14ac:dyDescent="0.25">
      <c r="B746">
        <v>11</v>
      </c>
      <c r="C746">
        <f>IF(Adecco_India[[#This Row],[Attrition]]="Yes",1,0)</f>
        <v>1</v>
      </c>
      <c r="F746">
        <v>37</v>
      </c>
      <c r="G746">
        <v>2</v>
      </c>
      <c r="J746">
        <v>1</v>
      </c>
      <c r="K746">
        <v>3</v>
      </c>
      <c r="N746">
        <v>1</v>
      </c>
      <c r="O746">
        <v>2</v>
      </c>
      <c r="Q746">
        <v>0</v>
      </c>
      <c r="R746">
        <v>3</v>
      </c>
      <c r="S746">
        <v>1</v>
      </c>
      <c r="U746" t="s">
        <v>51</v>
      </c>
      <c r="V746">
        <v>1</v>
      </c>
    </row>
    <row r="747" spans="2:22" x14ac:dyDescent="0.25">
      <c r="B747">
        <v>18</v>
      </c>
      <c r="C747">
        <f>IF(Adecco_India[[#This Row],[Attrition]]="Yes",1,0)</f>
        <v>0</v>
      </c>
      <c r="F747">
        <v>55</v>
      </c>
      <c r="G747">
        <v>2</v>
      </c>
      <c r="J747">
        <v>3</v>
      </c>
      <c r="K747">
        <v>3</v>
      </c>
      <c r="N747">
        <v>8</v>
      </c>
      <c r="O747">
        <v>2</v>
      </c>
      <c r="Q747">
        <v>6</v>
      </c>
      <c r="R747">
        <v>3</v>
      </c>
      <c r="S747">
        <v>1</v>
      </c>
      <c r="U747" t="s">
        <v>51</v>
      </c>
      <c r="V747">
        <v>1</v>
      </c>
    </row>
    <row r="748" spans="2:22" x14ac:dyDescent="0.25">
      <c r="B748">
        <v>7</v>
      </c>
      <c r="C748">
        <f>IF(Adecco_India[[#This Row],[Attrition]]="Yes",1,0)</f>
        <v>0</v>
      </c>
      <c r="F748">
        <v>41</v>
      </c>
      <c r="G748">
        <v>3</v>
      </c>
      <c r="J748">
        <v>3</v>
      </c>
      <c r="K748">
        <v>4</v>
      </c>
      <c r="N748">
        <v>21</v>
      </c>
      <c r="O748">
        <v>3</v>
      </c>
      <c r="Q748">
        <v>5</v>
      </c>
      <c r="R748">
        <v>4</v>
      </c>
      <c r="S748">
        <v>1</v>
      </c>
      <c r="U748" t="s">
        <v>38</v>
      </c>
      <c r="V748">
        <v>1</v>
      </c>
    </row>
    <row r="749" spans="2:22" x14ac:dyDescent="0.25">
      <c r="B749">
        <v>3</v>
      </c>
      <c r="C749">
        <f>IF(Adecco_India[[#This Row],[Attrition]]="Yes",1,0)</f>
        <v>0</v>
      </c>
      <c r="F749">
        <v>38</v>
      </c>
      <c r="G749">
        <v>4</v>
      </c>
      <c r="J749">
        <v>3</v>
      </c>
      <c r="K749">
        <v>3</v>
      </c>
      <c r="N749">
        <v>1</v>
      </c>
      <c r="O749">
        <v>4</v>
      </c>
      <c r="Q749">
        <v>0</v>
      </c>
      <c r="R749">
        <v>3</v>
      </c>
      <c r="S749">
        <v>1</v>
      </c>
      <c r="U749" t="s">
        <v>38</v>
      </c>
      <c r="V749">
        <v>1</v>
      </c>
    </row>
    <row r="750" spans="2:22" x14ac:dyDescent="0.25">
      <c r="B750">
        <v>29</v>
      </c>
      <c r="C750">
        <f>IF(Adecco_India[[#This Row],[Attrition]]="Yes",1,0)</f>
        <v>1</v>
      </c>
      <c r="F750">
        <v>26</v>
      </c>
      <c r="G750">
        <v>1</v>
      </c>
      <c r="J750">
        <v>3</v>
      </c>
      <c r="K750">
        <v>3</v>
      </c>
      <c r="N750">
        <v>2</v>
      </c>
      <c r="O750">
        <v>1</v>
      </c>
      <c r="Q750">
        <v>2</v>
      </c>
      <c r="R750">
        <v>3</v>
      </c>
      <c r="S750">
        <v>1</v>
      </c>
      <c r="U750" t="s">
        <v>51</v>
      </c>
      <c r="V750">
        <v>1</v>
      </c>
    </row>
    <row r="751" spans="2:22" x14ac:dyDescent="0.25">
      <c r="B751">
        <v>2</v>
      </c>
      <c r="C751">
        <f>IF(Adecco_India[[#This Row],[Attrition]]="Yes",1,0)</f>
        <v>1</v>
      </c>
      <c r="F751">
        <v>52</v>
      </c>
      <c r="G751">
        <v>4</v>
      </c>
      <c r="J751">
        <v>3</v>
      </c>
      <c r="K751">
        <v>3</v>
      </c>
      <c r="N751">
        <v>32</v>
      </c>
      <c r="O751">
        <v>4</v>
      </c>
      <c r="Q751">
        <v>6</v>
      </c>
      <c r="R751">
        <v>3</v>
      </c>
      <c r="S751">
        <v>1</v>
      </c>
      <c r="U751" t="s">
        <v>59</v>
      </c>
      <c r="V751">
        <v>1</v>
      </c>
    </row>
    <row r="752" spans="2:22" x14ac:dyDescent="0.25">
      <c r="B752">
        <v>28</v>
      </c>
      <c r="C752">
        <f>IF(Adecco_India[[#This Row],[Attrition]]="Yes",1,0)</f>
        <v>0</v>
      </c>
      <c r="F752">
        <v>44</v>
      </c>
      <c r="G752">
        <v>4</v>
      </c>
      <c r="J752">
        <v>3</v>
      </c>
      <c r="K752">
        <v>3</v>
      </c>
      <c r="N752">
        <v>12</v>
      </c>
      <c r="O752">
        <v>4</v>
      </c>
      <c r="Q752">
        <v>11</v>
      </c>
      <c r="R752">
        <v>3</v>
      </c>
      <c r="S752">
        <v>1</v>
      </c>
      <c r="U752" t="s">
        <v>51</v>
      </c>
      <c r="V752">
        <v>1</v>
      </c>
    </row>
    <row r="753" spans="2:22" x14ac:dyDescent="0.25">
      <c r="B753">
        <v>1</v>
      </c>
      <c r="C753">
        <f>IF(Adecco_India[[#This Row],[Attrition]]="Yes",1,0)</f>
        <v>0</v>
      </c>
      <c r="F753">
        <v>50</v>
      </c>
      <c r="G753">
        <v>3</v>
      </c>
      <c r="J753">
        <v>3</v>
      </c>
      <c r="K753">
        <v>3</v>
      </c>
      <c r="N753">
        <v>18</v>
      </c>
      <c r="O753">
        <v>3</v>
      </c>
      <c r="Q753">
        <v>0</v>
      </c>
      <c r="R753">
        <v>3</v>
      </c>
      <c r="S753">
        <v>1</v>
      </c>
      <c r="U753" t="s">
        <v>38</v>
      </c>
      <c r="V753">
        <v>1</v>
      </c>
    </row>
    <row r="754" spans="2:22" x14ac:dyDescent="0.25">
      <c r="B754">
        <v>16</v>
      </c>
      <c r="C754">
        <f>IF(Adecco_India[[#This Row],[Attrition]]="Yes",1,0)</f>
        <v>1</v>
      </c>
      <c r="F754">
        <v>36</v>
      </c>
      <c r="G754">
        <v>1</v>
      </c>
      <c r="J754">
        <v>3</v>
      </c>
      <c r="K754">
        <v>3</v>
      </c>
      <c r="N754">
        <v>17</v>
      </c>
      <c r="O754">
        <v>1</v>
      </c>
      <c r="Q754">
        <v>15</v>
      </c>
      <c r="R754">
        <v>3</v>
      </c>
      <c r="S754">
        <v>1</v>
      </c>
      <c r="U754" t="s">
        <v>38</v>
      </c>
      <c r="V754">
        <v>1</v>
      </c>
    </row>
    <row r="755" spans="2:22" x14ac:dyDescent="0.25">
      <c r="B755">
        <v>22</v>
      </c>
      <c r="C755">
        <f>IF(Adecco_India[[#This Row],[Attrition]]="Yes",1,0)</f>
        <v>0</v>
      </c>
      <c r="F755">
        <v>39</v>
      </c>
      <c r="G755">
        <v>1</v>
      </c>
      <c r="J755">
        <v>3</v>
      </c>
      <c r="K755">
        <v>3</v>
      </c>
      <c r="N755">
        <v>21</v>
      </c>
      <c r="O755">
        <v>1</v>
      </c>
      <c r="Q755">
        <v>2</v>
      </c>
      <c r="R755">
        <v>3</v>
      </c>
      <c r="S755">
        <v>1</v>
      </c>
      <c r="U755" t="s">
        <v>51</v>
      </c>
      <c r="V755">
        <v>1</v>
      </c>
    </row>
    <row r="756" spans="2:22" x14ac:dyDescent="0.25">
      <c r="B756">
        <v>8</v>
      </c>
      <c r="C756">
        <f>IF(Adecco_India[[#This Row],[Attrition]]="Yes",1,0)</f>
        <v>0</v>
      </c>
      <c r="F756">
        <v>33</v>
      </c>
      <c r="G756">
        <v>4</v>
      </c>
      <c r="J756">
        <v>2</v>
      </c>
      <c r="K756">
        <v>3</v>
      </c>
      <c r="N756">
        <v>2</v>
      </c>
      <c r="O756">
        <v>4</v>
      </c>
      <c r="Q756">
        <v>2</v>
      </c>
      <c r="R756">
        <v>3</v>
      </c>
      <c r="S756">
        <v>1</v>
      </c>
      <c r="U756" t="s">
        <v>38</v>
      </c>
      <c r="V756">
        <v>1</v>
      </c>
    </row>
    <row r="757" spans="2:22" x14ac:dyDescent="0.25">
      <c r="B757">
        <v>11</v>
      </c>
      <c r="C757">
        <f>IF(Adecco_India[[#This Row],[Attrition]]="Yes",1,0)</f>
        <v>0</v>
      </c>
      <c r="F757">
        <v>45</v>
      </c>
      <c r="G757">
        <v>4</v>
      </c>
      <c r="J757">
        <v>4</v>
      </c>
      <c r="K757">
        <v>3</v>
      </c>
      <c r="N757">
        <v>9</v>
      </c>
      <c r="O757">
        <v>4</v>
      </c>
      <c r="Q757">
        <v>1</v>
      </c>
      <c r="R757">
        <v>3</v>
      </c>
      <c r="S757">
        <v>1</v>
      </c>
      <c r="U757" t="s">
        <v>38</v>
      </c>
      <c r="V757">
        <v>1</v>
      </c>
    </row>
    <row r="758" spans="2:22" x14ac:dyDescent="0.25">
      <c r="B758">
        <v>29</v>
      </c>
      <c r="C758">
        <f>IF(Adecco_India[[#This Row],[Attrition]]="Yes",1,0)</f>
        <v>0</v>
      </c>
      <c r="F758">
        <v>32</v>
      </c>
      <c r="G758">
        <v>3</v>
      </c>
      <c r="J758">
        <v>3</v>
      </c>
      <c r="K758">
        <v>3</v>
      </c>
      <c r="N758">
        <v>8</v>
      </c>
      <c r="O758">
        <v>3</v>
      </c>
      <c r="Q758">
        <v>7</v>
      </c>
      <c r="R758">
        <v>3</v>
      </c>
      <c r="S758">
        <v>1</v>
      </c>
      <c r="U758" t="s">
        <v>51</v>
      </c>
      <c r="V758">
        <v>1</v>
      </c>
    </row>
    <row r="759" spans="2:22" x14ac:dyDescent="0.25">
      <c r="B759">
        <v>1</v>
      </c>
      <c r="C759">
        <f>IF(Adecco_India[[#This Row],[Attrition]]="Yes",1,0)</f>
        <v>0</v>
      </c>
      <c r="F759">
        <v>34</v>
      </c>
      <c r="G759">
        <v>4</v>
      </c>
      <c r="J759">
        <v>2</v>
      </c>
      <c r="K759">
        <v>3</v>
      </c>
      <c r="N759">
        <v>15</v>
      </c>
      <c r="O759">
        <v>4</v>
      </c>
      <c r="Q759">
        <v>0</v>
      </c>
      <c r="R759">
        <v>3</v>
      </c>
      <c r="S759">
        <v>1</v>
      </c>
      <c r="U759" t="s">
        <v>59</v>
      </c>
      <c r="V759">
        <v>1</v>
      </c>
    </row>
    <row r="760" spans="2:22" x14ac:dyDescent="0.25">
      <c r="B760">
        <v>1</v>
      </c>
      <c r="C760">
        <f>IF(Adecco_India[[#This Row],[Attrition]]="Yes",1,0)</f>
        <v>0</v>
      </c>
      <c r="F760">
        <v>59</v>
      </c>
      <c r="G760">
        <v>4</v>
      </c>
      <c r="J760">
        <v>1</v>
      </c>
      <c r="K760">
        <v>3</v>
      </c>
      <c r="N760">
        <v>6</v>
      </c>
      <c r="O760">
        <v>4</v>
      </c>
      <c r="Q760">
        <v>0</v>
      </c>
      <c r="R760">
        <v>3</v>
      </c>
      <c r="S760">
        <v>1</v>
      </c>
      <c r="U760" t="s">
        <v>60</v>
      </c>
      <c r="V760">
        <v>1</v>
      </c>
    </row>
    <row r="761" spans="2:22" x14ac:dyDescent="0.25">
      <c r="B761">
        <v>24</v>
      </c>
      <c r="C761">
        <f>IF(Adecco_India[[#This Row],[Attrition]]="Yes",1,0)</f>
        <v>0</v>
      </c>
      <c r="F761">
        <v>45</v>
      </c>
      <c r="G761">
        <v>2</v>
      </c>
      <c r="J761">
        <v>3</v>
      </c>
      <c r="K761">
        <v>3</v>
      </c>
      <c r="N761">
        <v>6</v>
      </c>
      <c r="O761">
        <v>2</v>
      </c>
      <c r="Q761">
        <v>0</v>
      </c>
      <c r="R761">
        <v>3</v>
      </c>
      <c r="S761">
        <v>1</v>
      </c>
      <c r="U761" t="s">
        <v>51</v>
      </c>
      <c r="V761">
        <v>1</v>
      </c>
    </row>
    <row r="762" spans="2:22" x14ac:dyDescent="0.25">
      <c r="B762">
        <v>2</v>
      </c>
      <c r="C762">
        <f>IF(Adecco_India[[#This Row],[Attrition]]="Yes",1,0)</f>
        <v>0</v>
      </c>
      <c r="F762">
        <v>53</v>
      </c>
      <c r="G762">
        <v>2</v>
      </c>
      <c r="J762">
        <v>3</v>
      </c>
      <c r="K762">
        <v>3</v>
      </c>
      <c r="N762">
        <v>15</v>
      </c>
      <c r="O762">
        <v>2</v>
      </c>
      <c r="Q762">
        <v>6</v>
      </c>
      <c r="R762">
        <v>3</v>
      </c>
      <c r="S762">
        <v>1</v>
      </c>
      <c r="U762" t="s">
        <v>59</v>
      </c>
      <c r="V762">
        <v>1</v>
      </c>
    </row>
    <row r="763" spans="2:22" x14ac:dyDescent="0.25">
      <c r="B763">
        <v>15</v>
      </c>
      <c r="C763">
        <f>IF(Adecco_India[[#This Row],[Attrition]]="Yes",1,0)</f>
        <v>1</v>
      </c>
      <c r="F763">
        <v>36</v>
      </c>
      <c r="G763">
        <v>3</v>
      </c>
      <c r="J763">
        <v>2</v>
      </c>
      <c r="K763">
        <v>3</v>
      </c>
      <c r="N763">
        <v>1</v>
      </c>
      <c r="O763">
        <v>3</v>
      </c>
      <c r="Q763">
        <v>0</v>
      </c>
      <c r="R763">
        <v>3</v>
      </c>
      <c r="S763">
        <v>1</v>
      </c>
      <c r="U763" t="s">
        <v>49</v>
      </c>
      <c r="V763">
        <v>1</v>
      </c>
    </row>
    <row r="764" spans="2:22" x14ac:dyDescent="0.25">
      <c r="B764">
        <v>2</v>
      </c>
      <c r="C764">
        <f>IF(Adecco_India[[#This Row],[Attrition]]="Yes",1,0)</f>
        <v>1</v>
      </c>
      <c r="F764">
        <v>26</v>
      </c>
      <c r="G764">
        <v>1</v>
      </c>
      <c r="J764">
        <v>3</v>
      </c>
      <c r="K764">
        <v>3</v>
      </c>
      <c r="N764">
        <v>3</v>
      </c>
      <c r="O764">
        <v>1</v>
      </c>
      <c r="Q764">
        <v>1</v>
      </c>
      <c r="R764">
        <v>3</v>
      </c>
      <c r="S764">
        <v>1</v>
      </c>
      <c r="U764" t="s">
        <v>38</v>
      </c>
      <c r="V764">
        <v>1</v>
      </c>
    </row>
    <row r="765" spans="2:22" x14ac:dyDescent="0.25">
      <c r="B765">
        <v>10</v>
      </c>
      <c r="C765">
        <f>IF(Adecco_India[[#This Row],[Attrition]]="Yes",1,0)</f>
        <v>0</v>
      </c>
      <c r="F765">
        <v>34</v>
      </c>
      <c r="G765">
        <v>3</v>
      </c>
      <c r="J765">
        <v>3</v>
      </c>
      <c r="K765">
        <v>3</v>
      </c>
      <c r="N765">
        <v>1</v>
      </c>
      <c r="O765">
        <v>3</v>
      </c>
      <c r="Q765">
        <v>0</v>
      </c>
      <c r="R765">
        <v>3</v>
      </c>
      <c r="S765">
        <v>1</v>
      </c>
      <c r="U765" t="s">
        <v>38</v>
      </c>
      <c r="V765">
        <v>1</v>
      </c>
    </row>
    <row r="766" spans="2:22" x14ac:dyDescent="0.25">
      <c r="B766">
        <v>10</v>
      </c>
      <c r="C766">
        <f>IF(Adecco_India[[#This Row],[Attrition]]="Yes",1,0)</f>
        <v>0</v>
      </c>
      <c r="F766">
        <v>28</v>
      </c>
      <c r="G766">
        <v>2</v>
      </c>
      <c r="J766">
        <v>3</v>
      </c>
      <c r="K766">
        <v>4</v>
      </c>
      <c r="N766">
        <v>1</v>
      </c>
      <c r="O766">
        <v>2</v>
      </c>
      <c r="Q766">
        <v>0</v>
      </c>
      <c r="R766">
        <v>4</v>
      </c>
      <c r="S766">
        <v>1</v>
      </c>
      <c r="U766" t="s">
        <v>51</v>
      </c>
      <c r="V766">
        <v>1</v>
      </c>
    </row>
    <row r="767" spans="2:22" x14ac:dyDescent="0.25">
      <c r="B767">
        <v>3</v>
      </c>
      <c r="C767">
        <f>IF(Adecco_India[[#This Row],[Attrition]]="Yes",1,0)</f>
        <v>0</v>
      </c>
      <c r="F767">
        <v>38</v>
      </c>
      <c r="G767">
        <v>3</v>
      </c>
      <c r="J767">
        <v>3</v>
      </c>
      <c r="K767">
        <v>3</v>
      </c>
      <c r="N767">
        <v>2</v>
      </c>
      <c r="O767">
        <v>3</v>
      </c>
      <c r="Q767">
        <v>2</v>
      </c>
      <c r="R767">
        <v>3</v>
      </c>
      <c r="S767">
        <v>1</v>
      </c>
      <c r="U767" t="s">
        <v>49</v>
      </c>
      <c r="V767">
        <v>1</v>
      </c>
    </row>
    <row r="768" spans="2:22" x14ac:dyDescent="0.25">
      <c r="B768">
        <v>2</v>
      </c>
      <c r="C768">
        <f>IF(Adecco_India[[#This Row],[Attrition]]="Yes",1,0)</f>
        <v>0</v>
      </c>
      <c r="F768">
        <v>50</v>
      </c>
      <c r="G768">
        <v>3</v>
      </c>
      <c r="J768">
        <v>2</v>
      </c>
      <c r="K768">
        <v>3</v>
      </c>
      <c r="N768">
        <v>8</v>
      </c>
      <c r="O768">
        <v>3</v>
      </c>
      <c r="Q768">
        <v>7</v>
      </c>
      <c r="R768">
        <v>3</v>
      </c>
      <c r="S768">
        <v>1</v>
      </c>
      <c r="U768" t="s">
        <v>51</v>
      </c>
      <c r="V768">
        <v>1</v>
      </c>
    </row>
    <row r="769" spans="2:22" x14ac:dyDescent="0.25">
      <c r="B769">
        <v>3</v>
      </c>
      <c r="C769">
        <f>IF(Adecco_India[[#This Row],[Attrition]]="Yes",1,0)</f>
        <v>0</v>
      </c>
      <c r="F769">
        <v>37</v>
      </c>
      <c r="G769">
        <v>2</v>
      </c>
      <c r="J769">
        <v>2</v>
      </c>
      <c r="K769">
        <v>3</v>
      </c>
      <c r="N769">
        <v>4</v>
      </c>
      <c r="O769">
        <v>2</v>
      </c>
      <c r="Q769">
        <v>0</v>
      </c>
      <c r="R769">
        <v>3</v>
      </c>
      <c r="S769">
        <v>1</v>
      </c>
      <c r="U769" t="s">
        <v>49</v>
      </c>
      <c r="V769">
        <v>1</v>
      </c>
    </row>
    <row r="770" spans="2:22" x14ac:dyDescent="0.25">
      <c r="B770">
        <v>26</v>
      </c>
      <c r="C770">
        <f>IF(Adecco_India[[#This Row],[Attrition]]="Yes",1,0)</f>
        <v>0</v>
      </c>
      <c r="F770">
        <v>40</v>
      </c>
      <c r="G770">
        <v>1</v>
      </c>
      <c r="J770">
        <v>2</v>
      </c>
      <c r="K770">
        <v>3</v>
      </c>
      <c r="N770">
        <v>7</v>
      </c>
      <c r="O770">
        <v>1</v>
      </c>
      <c r="Q770">
        <v>7</v>
      </c>
      <c r="R770">
        <v>3</v>
      </c>
      <c r="S770">
        <v>1</v>
      </c>
      <c r="U770" t="s">
        <v>59</v>
      </c>
      <c r="V770">
        <v>1</v>
      </c>
    </row>
    <row r="771" spans="2:22" x14ac:dyDescent="0.25">
      <c r="B771">
        <v>1</v>
      </c>
      <c r="C771">
        <f>IF(Adecco_India[[#This Row],[Attrition]]="Yes",1,0)</f>
        <v>0</v>
      </c>
      <c r="F771">
        <v>26</v>
      </c>
      <c r="G771">
        <v>3</v>
      </c>
      <c r="J771">
        <v>3</v>
      </c>
      <c r="K771">
        <v>3</v>
      </c>
      <c r="N771">
        <v>5</v>
      </c>
      <c r="O771">
        <v>3</v>
      </c>
      <c r="Q771">
        <v>1</v>
      </c>
      <c r="R771">
        <v>3</v>
      </c>
      <c r="S771">
        <v>1</v>
      </c>
      <c r="U771" t="s">
        <v>51</v>
      </c>
      <c r="V771">
        <v>1</v>
      </c>
    </row>
    <row r="772" spans="2:22" x14ac:dyDescent="0.25">
      <c r="B772">
        <v>1</v>
      </c>
      <c r="C772">
        <f>IF(Adecco_India[[#This Row],[Attrition]]="Yes",1,0)</f>
        <v>0</v>
      </c>
      <c r="F772">
        <v>46</v>
      </c>
      <c r="G772">
        <v>4</v>
      </c>
      <c r="J772">
        <v>3</v>
      </c>
      <c r="K772">
        <v>3</v>
      </c>
      <c r="N772">
        <v>2</v>
      </c>
      <c r="O772">
        <v>4</v>
      </c>
      <c r="Q772">
        <v>2</v>
      </c>
      <c r="R772">
        <v>3</v>
      </c>
      <c r="S772">
        <v>1</v>
      </c>
      <c r="U772" t="s">
        <v>51</v>
      </c>
      <c r="V772">
        <v>1</v>
      </c>
    </row>
    <row r="773" spans="2:22" x14ac:dyDescent="0.25">
      <c r="B773">
        <v>2</v>
      </c>
      <c r="C773">
        <f>IF(Adecco_India[[#This Row],[Attrition]]="Yes",1,0)</f>
        <v>0</v>
      </c>
      <c r="F773">
        <v>54</v>
      </c>
      <c r="G773">
        <v>3</v>
      </c>
      <c r="J773">
        <v>3</v>
      </c>
      <c r="K773">
        <v>3</v>
      </c>
      <c r="N773">
        <v>9</v>
      </c>
      <c r="O773">
        <v>3</v>
      </c>
      <c r="Q773">
        <v>7</v>
      </c>
      <c r="R773">
        <v>3</v>
      </c>
      <c r="S773">
        <v>1</v>
      </c>
      <c r="U773" t="s">
        <v>38</v>
      </c>
      <c r="V773">
        <v>1</v>
      </c>
    </row>
    <row r="774" spans="2:22" x14ac:dyDescent="0.25">
      <c r="B774">
        <v>9</v>
      </c>
      <c r="C774">
        <f>IF(Adecco_India[[#This Row],[Attrition]]="Yes",1,0)</f>
        <v>0</v>
      </c>
      <c r="F774">
        <v>56</v>
      </c>
      <c r="G774">
        <v>3</v>
      </c>
      <c r="J774">
        <v>3</v>
      </c>
      <c r="K774">
        <v>3</v>
      </c>
      <c r="N774">
        <v>5</v>
      </c>
      <c r="O774">
        <v>3</v>
      </c>
      <c r="Q774">
        <v>0</v>
      </c>
      <c r="R774">
        <v>3</v>
      </c>
      <c r="S774">
        <v>1</v>
      </c>
      <c r="U774" t="s">
        <v>51</v>
      </c>
      <c r="V774">
        <v>1</v>
      </c>
    </row>
    <row r="775" spans="2:22" x14ac:dyDescent="0.25">
      <c r="B775">
        <v>12</v>
      </c>
      <c r="C775">
        <f>IF(Adecco_India[[#This Row],[Attrition]]="Yes",1,0)</f>
        <v>0</v>
      </c>
      <c r="F775">
        <v>36</v>
      </c>
      <c r="G775">
        <v>4</v>
      </c>
      <c r="J775">
        <v>2</v>
      </c>
      <c r="K775">
        <v>3</v>
      </c>
      <c r="N775">
        <v>14</v>
      </c>
      <c r="O775">
        <v>4</v>
      </c>
      <c r="Q775">
        <v>7</v>
      </c>
      <c r="R775">
        <v>3</v>
      </c>
      <c r="S775">
        <v>1</v>
      </c>
      <c r="U775" t="s">
        <v>51</v>
      </c>
      <c r="V775">
        <v>1</v>
      </c>
    </row>
    <row r="776" spans="2:22" x14ac:dyDescent="0.25">
      <c r="B776">
        <v>2</v>
      </c>
      <c r="C776">
        <f>IF(Adecco_India[[#This Row],[Attrition]]="Yes",1,0)</f>
        <v>0</v>
      </c>
      <c r="F776">
        <v>55</v>
      </c>
      <c r="G776">
        <v>1</v>
      </c>
      <c r="J776">
        <v>4</v>
      </c>
      <c r="K776">
        <v>3</v>
      </c>
      <c r="N776">
        <v>9</v>
      </c>
      <c r="O776">
        <v>1</v>
      </c>
      <c r="Q776">
        <v>6</v>
      </c>
      <c r="R776">
        <v>3</v>
      </c>
      <c r="S776">
        <v>1</v>
      </c>
      <c r="U776" t="s">
        <v>51</v>
      </c>
      <c r="V776">
        <v>1</v>
      </c>
    </row>
    <row r="777" spans="2:22" x14ac:dyDescent="0.25">
      <c r="B777">
        <v>25</v>
      </c>
      <c r="C777">
        <f>IF(Adecco_India[[#This Row],[Attrition]]="Yes",1,0)</f>
        <v>0</v>
      </c>
      <c r="F777">
        <v>43</v>
      </c>
      <c r="G777">
        <v>4</v>
      </c>
      <c r="J777">
        <v>3</v>
      </c>
      <c r="K777">
        <v>3</v>
      </c>
      <c r="N777">
        <v>1</v>
      </c>
      <c r="O777">
        <v>4</v>
      </c>
      <c r="Q777">
        <v>0</v>
      </c>
      <c r="R777">
        <v>3</v>
      </c>
      <c r="S777">
        <v>1</v>
      </c>
      <c r="U777" t="s">
        <v>51</v>
      </c>
      <c r="V777">
        <v>1</v>
      </c>
    </row>
    <row r="778" spans="2:22" x14ac:dyDescent="0.25">
      <c r="B778">
        <v>9</v>
      </c>
      <c r="C778">
        <f>IF(Adecco_India[[#This Row],[Attrition]]="Yes",1,0)</f>
        <v>1</v>
      </c>
      <c r="F778">
        <v>20</v>
      </c>
      <c r="G778">
        <v>4</v>
      </c>
      <c r="J778">
        <v>3</v>
      </c>
      <c r="K778">
        <v>3</v>
      </c>
      <c r="N778">
        <v>2</v>
      </c>
      <c r="O778">
        <v>4</v>
      </c>
      <c r="Q778">
        <v>0</v>
      </c>
      <c r="R778">
        <v>3</v>
      </c>
      <c r="S778">
        <v>1</v>
      </c>
      <c r="U778" t="s">
        <v>59</v>
      </c>
      <c r="V778">
        <v>1</v>
      </c>
    </row>
    <row r="779" spans="2:22" x14ac:dyDescent="0.25">
      <c r="B779">
        <v>10</v>
      </c>
      <c r="C779">
        <f>IF(Adecco_India[[#This Row],[Attrition]]="Yes",1,0)</f>
        <v>1</v>
      </c>
      <c r="F779">
        <v>21</v>
      </c>
      <c r="G779">
        <v>1</v>
      </c>
      <c r="J779">
        <v>2</v>
      </c>
      <c r="K779">
        <v>3</v>
      </c>
      <c r="N779">
        <v>1</v>
      </c>
      <c r="O779">
        <v>1</v>
      </c>
      <c r="Q779">
        <v>1</v>
      </c>
      <c r="R779">
        <v>3</v>
      </c>
      <c r="S779">
        <v>1</v>
      </c>
      <c r="U779" t="s">
        <v>38</v>
      </c>
      <c r="V779">
        <v>1</v>
      </c>
    </row>
    <row r="780" spans="2:22" x14ac:dyDescent="0.25">
      <c r="B780">
        <v>8</v>
      </c>
      <c r="C780">
        <f>IF(Adecco_India[[#This Row],[Attrition]]="Yes",1,0)</f>
        <v>0</v>
      </c>
      <c r="F780">
        <v>46</v>
      </c>
      <c r="G780">
        <v>1</v>
      </c>
      <c r="J780">
        <v>3</v>
      </c>
      <c r="K780">
        <v>4</v>
      </c>
      <c r="N780">
        <v>16</v>
      </c>
      <c r="O780">
        <v>1</v>
      </c>
      <c r="Q780">
        <v>1</v>
      </c>
      <c r="R780">
        <v>4</v>
      </c>
      <c r="S780">
        <v>1</v>
      </c>
      <c r="U780" t="s">
        <v>38</v>
      </c>
      <c r="V780">
        <v>1</v>
      </c>
    </row>
    <row r="781" spans="2:22" x14ac:dyDescent="0.25">
      <c r="B781">
        <v>4</v>
      </c>
      <c r="C781">
        <f>IF(Adecco_India[[#This Row],[Attrition]]="Yes",1,0)</f>
        <v>1</v>
      </c>
      <c r="F781">
        <v>51</v>
      </c>
      <c r="G781">
        <v>3</v>
      </c>
      <c r="J781">
        <v>4</v>
      </c>
      <c r="K781">
        <v>3</v>
      </c>
      <c r="N781">
        <v>10</v>
      </c>
      <c r="O781">
        <v>3</v>
      </c>
      <c r="Q781">
        <v>2</v>
      </c>
      <c r="R781">
        <v>3</v>
      </c>
      <c r="S781">
        <v>1</v>
      </c>
      <c r="U781" t="s">
        <v>38</v>
      </c>
      <c r="V781">
        <v>1</v>
      </c>
    </row>
    <row r="782" spans="2:22" x14ac:dyDescent="0.25">
      <c r="B782">
        <v>24</v>
      </c>
      <c r="C782">
        <f>IF(Adecco_India[[#This Row],[Attrition]]="Yes",1,0)</f>
        <v>1</v>
      </c>
      <c r="F782">
        <v>28</v>
      </c>
      <c r="G782">
        <v>1</v>
      </c>
      <c r="J782">
        <v>2</v>
      </c>
      <c r="K782">
        <v>3</v>
      </c>
      <c r="N782">
        <v>10</v>
      </c>
      <c r="O782">
        <v>1</v>
      </c>
      <c r="Q782">
        <v>1</v>
      </c>
      <c r="R782">
        <v>3</v>
      </c>
      <c r="S782">
        <v>1</v>
      </c>
      <c r="U782" t="s">
        <v>60</v>
      </c>
      <c r="V782">
        <v>1</v>
      </c>
    </row>
    <row r="783" spans="2:22" x14ac:dyDescent="0.25">
      <c r="B783">
        <v>1</v>
      </c>
      <c r="C783">
        <f>IF(Adecco_India[[#This Row],[Attrition]]="Yes",1,0)</f>
        <v>0</v>
      </c>
      <c r="F783">
        <v>26</v>
      </c>
      <c r="G783">
        <v>1</v>
      </c>
      <c r="J783">
        <v>3</v>
      </c>
      <c r="K783">
        <v>3</v>
      </c>
      <c r="N783">
        <v>5</v>
      </c>
      <c r="O783">
        <v>1</v>
      </c>
      <c r="Q783">
        <v>1</v>
      </c>
      <c r="R783">
        <v>3</v>
      </c>
      <c r="S783">
        <v>1</v>
      </c>
      <c r="U783" t="s">
        <v>51</v>
      </c>
      <c r="V783">
        <v>1</v>
      </c>
    </row>
    <row r="784" spans="2:22" x14ac:dyDescent="0.25">
      <c r="B784">
        <v>20</v>
      </c>
      <c r="C784">
        <f>IF(Adecco_India[[#This Row],[Attrition]]="Yes",1,0)</f>
        <v>0</v>
      </c>
      <c r="F784">
        <v>30</v>
      </c>
      <c r="G784">
        <v>1</v>
      </c>
      <c r="J784">
        <v>2</v>
      </c>
      <c r="K784">
        <v>3</v>
      </c>
      <c r="N784">
        <v>6</v>
      </c>
      <c r="O784">
        <v>1</v>
      </c>
      <c r="Q784">
        <v>0</v>
      </c>
      <c r="R784">
        <v>3</v>
      </c>
      <c r="S784">
        <v>1</v>
      </c>
      <c r="U784" t="s">
        <v>49</v>
      </c>
      <c r="V784">
        <v>1</v>
      </c>
    </row>
    <row r="785" spans="2:22" x14ac:dyDescent="0.25">
      <c r="B785">
        <v>7</v>
      </c>
      <c r="C785">
        <f>IF(Adecco_India[[#This Row],[Attrition]]="Yes",1,0)</f>
        <v>0</v>
      </c>
      <c r="F785">
        <v>41</v>
      </c>
      <c r="G785">
        <v>3</v>
      </c>
      <c r="J785">
        <v>3</v>
      </c>
      <c r="K785">
        <v>3</v>
      </c>
      <c r="N785">
        <v>10</v>
      </c>
      <c r="O785">
        <v>3</v>
      </c>
      <c r="Q785">
        <v>0</v>
      </c>
      <c r="R785">
        <v>3</v>
      </c>
      <c r="S785">
        <v>1</v>
      </c>
      <c r="U785" t="s">
        <v>60</v>
      </c>
      <c r="V785">
        <v>1</v>
      </c>
    </row>
    <row r="786" spans="2:22" x14ac:dyDescent="0.25">
      <c r="B786">
        <v>17</v>
      </c>
      <c r="C786">
        <f>IF(Adecco_India[[#This Row],[Attrition]]="Yes",1,0)</f>
        <v>0</v>
      </c>
      <c r="F786">
        <v>38</v>
      </c>
      <c r="G786">
        <v>3</v>
      </c>
      <c r="J786">
        <v>2</v>
      </c>
      <c r="K786">
        <v>3</v>
      </c>
      <c r="N786">
        <v>19</v>
      </c>
      <c r="O786">
        <v>3</v>
      </c>
      <c r="Q786">
        <v>1</v>
      </c>
      <c r="R786">
        <v>3</v>
      </c>
      <c r="S786">
        <v>1</v>
      </c>
      <c r="U786" t="s">
        <v>38</v>
      </c>
      <c r="V786">
        <v>1</v>
      </c>
    </row>
    <row r="787" spans="2:22" x14ac:dyDescent="0.25">
      <c r="B787">
        <v>20</v>
      </c>
      <c r="C787">
        <f>IF(Adecco_India[[#This Row],[Attrition]]="Yes",1,0)</f>
        <v>0</v>
      </c>
      <c r="F787">
        <v>40</v>
      </c>
      <c r="G787">
        <v>4</v>
      </c>
      <c r="J787">
        <v>3</v>
      </c>
      <c r="K787">
        <v>4</v>
      </c>
      <c r="N787">
        <v>11</v>
      </c>
      <c r="O787">
        <v>4</v>
      </c>
      <c r="Q787">
        <v>11</v>
      </c>
      <c r="R787">
        <v>4</v>
      </c>
      <c r="S787">
        <v>1</v>
      </c>
      <c r="U787" t="s">
        <v>60</v>
      </c>
      <c r="V787">
        <v>1</v>
      </c>
    </row>
    <row r="788" spans="2:22" x14ac:dyDescent="0.25">
      <c r="B788">
        <v>8</v>
      </c>
      <c r="C788">
        <f>IF(Adecco_India[[#This Row],[Attrition]]="Yes",1,0)</f>
        <v>0</v>
      </c>
      <c r="F788">
        <v>27</v>
      </c>
      <c r="G788">
        <v>3</v>
      </c>
      <c r="J788">
        <v>3</v>
      </c>
      <c r="K788">
        <v>3</v>
      </c>
      <c r="N788">
        <v>3</v>
      </c>
      <c r="O788">
        <v>3</v>
      </c>
      <c r="Q788">
        <v>1</v>
      </c>
      <c r="R788">
        <v>3</v>
      </c>
      <c r="S788">
        <v>1</v>
      </c>
      <c r="U788" t="s">
        <v>38</v>
      </c>
      <c r="V788">
        <v>1</v>
      </c>
    </row>
    <row r="789" spans="2:22" x14ac:dyDescent="0.25">
      <c r="B789">
        <v>2</v>
      </c>
      <c r="C789">
        <f>IF(Adecco_India[[#This Row],[Attrition]]="Yes",1,0)</f>
        <v>0</v>
      </c>
      <c r="F789">
        <v>55</v>
      </c>
      <c r="G789">
        <v>2</v>
      </c>
      <c r="J789">
        <v>3</v>
      </c>
      <c r="K789">
        <v>3</v>
      </c>
      <c r="N789">
        <v>3</v>
      </c>
      <c r="O789">
        <v>2</v>
      </c>
      <c r="Q789">
        <v>1</v>
      </c>
      <c r="R789">
        <v>3</v>
      </c>
      <c r="S789">
        <v>1</v>
      </c>
      <c r="U789" t="s">
        <v>38</v>
      </c>
      <c r="V789">
        <v>1</v>
      </c>
    </row>
    <row r="790" spans="2:22" x14ac:dyDescent="0.25">
      <c r="B790">
        <v>10</v>
      </c>
      <c r="C790">
        <f>IF(Adecco_India[[#This Row],[Attrition]]="Yes",1,0)</f>
        <v>0</v>
      </c>
      <c r="F790">
        <v>28</v>
      </c>
      <c r="G790">
        <v>3</v>
      </c>
      <c r="J790">
        <v>4</v>
      </c>
      <c r="K790">
        <v>3</v>
      </c>
      <c r="N790">
        <v>8</v>
      </c>
      <c r="O790">
        <v>3</v>
      </c>
      <c r="Q790">
        <v>1</v>
      </c>
      <c r="R790">
        <v>3</v>
      </c>
      <c r="S790">
        <v>1</v>
      </c>
      <c r="U790" t="s">
        <v>49</v>
      </c>
      <c r="V790">
        <v>1</v>
      </c>
    </row>
    <row r="791" spans="2:22" x14ac:dyDescent="0.25">
      <c r="B791">
        <v>1</v>
      </c>
      <c r="C791">
        <f>IF(Adecco_India[[#This Row],[Attrition]]="Yes",1,0)</f>
        <v>1</v>
      </c>
      <c r="F791">
        <v>44</v>
      </c>
      <c r="G791">
        <v>1</v>
      </c>
      <c r="J791">
        <v>3</v>
      </c>
      <c r="K791">
        <v>3</v>
      </c>
      <c r="N791">
        <v>20</v>
      </c>
      <c r="O791">
        <v>1</v>
      </c>
      <c r="Q791">
        <v>3</v>
      </c>
      <c r="R791">
        <v>3</v>
      </c>
      <c r="S791">
        <v>1</v>
      </c>
      <c r="U791" t="s">
        <v>51</v>
      </c>
      <c r="V791">
        <v>1</v>
      </c>
    </row>
    <row r="792" spans="2:22" x14ac:dyDescent="0.25">
      <c r="B792">
        <v>5</v>
      </c>
      <c r="C792">
        <f>IF(Adecco_India[[#This Row],[Attrition]]="Yes",1,0)</f>
        <v>0</v>
      </c>
      <c r="F792">
        <v>33</v>
      </c>
      <c r="G792">
        <v>4</v>
      </c>
      <c r="J792">
        <v>3</v>
      </c>
      <c r="K792">
        <v>3</v>
      </c>
      <c r="N792">
        <v>3</v>
      </c>
      <c r="O792">
        <v>4</v>
      </c>
      <c r="Q792">
        <v>1</v>
      </c>
      <c r="R792">
        <v>3</v>
      </c>
      <c r="S792">
        <v>1</v>
      </c>
      <c r="U792" t="s">
        <v>38</v>
      </c>
      <c r="V792">
        <v>1</v>
      </c>
    </row>
    <row r="793" spans="2:22" x14ac:dyDescent="0.25">
      <c r="B793">
        <v>4</v>
      </c>
      <c r="C793">
        <f>IF(Adecco_India[[#This Row],[Attrition]]="Yes",1,0)</f>
        <v>1</v>
      </c>
      <c r="F793">
        <v>35</v>
      </c>
      <c r="G793">
        <v>1</v>
      </c>
      <c r="J793">
        <v>3</v>
      </c>
      <c r="K793">
        <v>4</v>
      </c>
      <c r="N793">
        <v>8</v>
      </c>
      <c r="O793">
        <v>1</v>
      </c>
      <c r="Q793">
        <v>4</v>
      </c>
      <c r="R793">
        <v>4</v>
      </c>
      <c r="S793">
        <v>1</v>
      </c>
      <c r="U793" t="s">
        <v>60</v>
      </c>
      <c r="V793">
        <v>1</v>
      </c>
    </row>
    <row r="794" spans="2:22" x14ac:dyDescent="0.25">
      <c r="B794">
        <v>29</v>
      </c>
      <c r="C794">
        <f>IF(Adecco_India[[#This Row],[Attrition]]="Yes",1,0)</f>
        <v>1</v>
      </c>
      <c r="F794">
        <v>33</v>
      </c>
      <c r="G794">
        <v>3</v>
      </c>
      <c r="J794">
        <v>3</v>
      </c>
      <c r="K794">
        <v>4</v>
      </c>
      <c r="N794">
        <v>13</v>
      </c>
      <c r="O794">
        <v>3</v>
      </c>
      <c r="Q794">
        <v>3</v>
      </c>
      <c r="R794">
        <v>4</v>
      </c>
      <c r="S794">
        <v>1</v>
      </c>
      <c r="U794" t="s">
        <v>51</v>
      </c>
      <c r="V794">
        <v>1</v>
      </c>
    </row>
    <row r="795" spans="2:22" x14ac:dyDescent="0.25">
      <c r="B795">
        <v>15</v>
      </c>
      <c r="C795">
        <f>IF(Adecco_India[[#This Row],[Attrition]]="Yes",1,0)</f>
        <v>0</v>
      </c>
      <c r="F795">
        <v>28</v>
      </c>
      <c r="G795">
        <v>3</v>
      </c>
      <c r="J795">
        <v>2</v>
      </c>
      <c r="K795">
        <v>3</v>
      </c>
      <c r="N795">
        <v>4</v>
      </c>
      <c r="O795">
        <v>3</v>
      </c>
      <c r="Q795">
        <v>2</v>
      </c>
      <c r="R795">
        <v>3</v>
      </c>
      <c r="S795">
        <v>1</v>
      </c>
      <c r="U795" t="s">
        <v>38</v>
      </c>
      <c r="V795">
        <v>1</v>
      </c>
    </row>
    <row r="796" spans="2:22" x14ac:dyDescent="0.25">
      <c r="B796">
        <v>3</v>
      </c>
      <c r="C796">
        <f>IF(Adecco_India[[#This Row],[Attrition]]="Yes",1,0)</f>
        <v>0</v>
      </c>
      <c r="F796">
        <v>34</v>
      </c>
      <c r="G796">
        <v>4</v>
      </c>
      <c r="J796">
        <v>2</v>
      </c>
      <c r="K796">
        <v>3</v>
      </c>
      <c r="N796">
        <v>6</v>
      </c>
      <c r="O796">
        <v>4</v>
      </c>
      <c r="Q796">
        <v>0</v>
      </c>
      <c r="R796">
        <v>3</v>
      </c>
      <c r="S796">
        <v>1</v>
      </c>
      <c r="U796" t="s">
        <v>38</v>
      </c>
      <c r="V796">
        <v>1</v>
      </c>
    </row>
    <row r="797" spans="2:22" x14ac:dyDescent="0.25">
      <c r="B797">
        <v>10</v>
      </c>
      <c r="C797">
        <f>IF(Adecco_India[[#This Row],[Attrition]]="Yes",1,0)</f>
        <v>0</v>
      </c>
      <c r="F797">
        <v>37</v>
      </c>
      <c r="G797">
        <v>4</v>
      </c>
      <c r="J797">
        <v>3</v>
      </c>
      <c r="K797">
        <v>3</v>
      </c>
      <c r="N797">
        <v>1</v>
      </c>
      <c r="O797">
        <v>4</v>
      </c>
      <c r="Q797">
        <v>0</v>
      </c>
      <c r="R797">
        <v>3</v>
      </c>
      <c r="S797">
        <v>1</v>
      </c>
      <c r="U797" t="s">
        <v>38</v>
      </c>
      <c r="V797">
        <v>1</v>
      </c>
    </row>
    <row r="798" spans="2:22" x14ac:dyDescent="0.25">
      <c r="B798">
        <v>4</v>
      </c>
      <c r="C798">
        <f>IF(Adecco_India[[#This Row],[Attrition]]="Yes",1,0)</f>
        <v>1</v>
      </c>
      <c r="F798">
        <v>25</v>
      </c>
      <c r="G798">
        <v>4</v>
      </c>
      <c r="J798">
        <v>4</v>
      </c>
      <c r="K798">
        <v>3</v>
      </c>
      <c r="N798">
        <v>7</v>
      </c>
      <c r="O798">
        <v>4</v>
      </c>
      <c r="Q798">
        <v>5</v>
      </c>
      <c r="R798">
        <v>3</v>
      </c>
      <c r="S798">
        <v>1</v>
      </c>
      <c r="U798" t="s">
        <v>60</v>
      </c>
      <c r="V798">
        <v>1</v>
      </c>
    </row>
    <row r="799" spans="2:22" x14ac:dyDescent="0.25">
      <c r="B799">
        <v>21</v>
      </c>
      <c r="C799">
        <f>IF(Adecco_India[[#This Row],[Attrition]]="Yes",1,0)</f>
        <v>1</v>
      </c>
      <c r="F799">
        <v>26</v>
      </c>
      <c r="G799">
        <v>3</v>
      </c>
      <c r="J799">
        <v>2</v>
      </c>
      <c r="K799">
        <v>4</v>
      </c>
      <c r="N799">
        <v>1</v>
      </c>
      <c r="O799">
        <v>3</v>
      </c>
      <c r="Q799">
        <v>0</v>
      </c>
      <c r="R799">
        <v>4</v>
      </c>
      <c r="S799">
        <v>1</v>
      </c>
      <c r="U799" t="s">
        <v>51</v>
      </c>
      <c r="V799">
        <v>1</v>
      </c>
    </row>
    <row r="800" spans="2:22" x14ac:dyDescent="0.25">
      <c r="B800">
        <v>25</v>
      </c>
      <c r="C800">
        <f>IF(Adecco_India[[#This Row],[Attrition]]="Yes",1,0)</f>
        <v>1</v>
      </c>
      <c r="F800">
        <v>33</v>
      </c>
      <c r="G800">
        <v>2</v>
      </c>
      <c r="J800">
        <v>3</v>
      </c>
      <c r="K800">
        <v>4</v>
      </c>
      <c r="N800">
        <v>2</v>
      </c>
      <c r="O800">
        <v>2</v>
      </c>
      <c r="Q800">
        <v>2</v>
      </c>
      <c r="R800">
        <v>4</v>
      </c>
      <c r="S800">
        <v>1</v>
      </c>
      <c r="U800" t="s">
        <v>51</v>
      </c>
      <c r="V800">
        <v>1</v>
      </c>
    </row>
    <row r="801" spans="2:22" x14ac:dyDescent="0.25">
      <c r="B801">
        <v>2</v>
      </c>
      <c r="C801">
        <f>IF(Adecco_India[[#This Row],[Attrition]]="Yes",1,0)</f>
        <v>0</v>
      </c>
      <c r="F801">
        <v>42</v>
      </c>
      <c r="G801">
        <v>1</v>
      </c>
      <c r="J801">
        <v>3</v>
      </c>
      <c r="K801">
        <v>3</v>
      </c>
      <c r="N801">
        <v>22</v>
      </c>
      <c r="O801">
        <v>1</v>
      </c>
      <c r="Q801">
        <v>13</v>
      </c>
      <c r="R801">
        <v>3</v>
      </c>
      <c r="S801">
        <v>1</v>
      </c>
      <c r="U801" t="s">
        <v>51</v>
      </c>
      <c r="V801">
        <v>1</v>
      </c>
    </row>
    <row r="802" spans="2:22" x14ac:dyDescent="0.25">
      <c r="B802">
        <v>1</v>
      </c>
      <c r="C802">
        <f>IF(Adecco_India[[#This Row],[Attrition]]="Yes",1,0)</f>
        <v>1</v>
      </c>
      <c r="F802">
        <v>28</v>
      </c>
      <c r="G802">
        <v>2</v>
      </c>
      <c r="J802">
        <v>3</v>
      </c>
      <c r="K802">
        <v>3</v>
      </c>
      <c r="N802">
        <v>1</v>
      </c>
      <c r="O802">
        <v>2</v>
      </c>
      <c r="Q802">
        <v>0</v>
      </c>
      <c r="R802">
        <v>3</v>
      </c>
      <c r="S802">
        <v>1</v>
      </c>
      <c r="U802" t="s">
        <v>51</v>
      </c>
      <c r="V802">
        <v>1</v>
      </c>
    </row>
    <row r="803" spans="2:22" x14ac:dyDescent="0.25">
      <c r="B803">
        <v>1</v>
      </c>
      <c r="C803">
        <f>IF(Adecco_India[[#This Row],[Attrition]]="Yes",1,0)</f>
        <v>1</v>
      </c>
      <c r="F803">
        <v>50</v>
      </c>
      <c r="G803">
        <v>3</v>
      </c>
      <c r="J803">
        <v>3</v>
      </c>
      <c r="K803">
        <v>3</v>
      </c>
      <c r="N803">
        <v>0</v>
      </c>
      <c r="O803">
        <v>3</v>
      </c>
      <c r="Q803">
        <v>0</v>
      </c>
      <c r="R803">
        <v>3</v>
      </c>
      <c r="S803">
        <v>1</v>
      </c>
      <c r="U803" t="s">
        <v>49</v>
      </c>
      <c r="V803">
        <v>1</v>
      </c>
    </row>
    <row r="804" spans="2:22" x14ac:dyDescent="0.25">
      <c r="B804">
        <v>7</v>
      </c>
      <c r="C804">
        <f>IF(Adecco_India[[#This Row],[Attrition]]="Yes",1,0)</f>
        <v>0</v>
      </c>
      <c r="F804">
        <v>33</v>
      </c>
      <c r="G804">
        <v>2</v>
      </c>
      <c r="J804">
        <v>3</v>
      </c>
      <c r="K804">
        <v>3</v>
      </c>
      <c r="N804">
        <v>3</v>
      </c>
      <c r="O804">
        <v>2</v>
      </c>
      <c r="Q804">
        <v>0</v>
      </c>
      <c r="R804">
        <v>3</v>
      </c>
      <c r="S804">
        <v>1</v>
      </c>
      <c r="U804" t="s">
        <v>38</v>
      </c>
      <c r="V804">
        <v>1</v>
      </c>
    </row>
    <row r="805" spans="2:22" x14ac:dyDescent="0.25">
      <c r="B805">
        <v>3</v>
      </c>
      <c r="C805">
        <f>IF(Adecco_India[[#This Row],[Attrition]]="Yes",1,0)</f>
        <v>0</v>
      </c>
      <c r="F805">
        <v>34</v>
      </c>
      <c r="G805">
        <v>4</v>
      </c>
      <c r="J805">
        <v>3</v>
      </c>
      <c r="K805">
        <v>3</v>
      </c>
      <c r="N805">
        <v>0</v>
      </c>
      <c r="O805">
        <v>4</v>
      </c>
      <c r="Q805">
        <v>0</v>
      </c>
      <c r="R805">
        <v>3</v>
      </c>
      <c r="S805">
        <v>1</v>
      </c>
      <c r="U805" t="s">
        <v>38</v>
      </c>
      <c r="V805">
        <v>1</v>
      </c>
    </row>
    <row r="806" spans="2:22" x14ac:dyDescent="0.25">
      <c r="B806">
        <v>1</v>
      </c>
      <c r="C806">
        <f>IF(Adecco_India[[#This Row],[Attrition]]="Yes",1,0)</f>
        <v>0</v>
      </c>
      <c r="F806">
        <v>48</v>
      </c>
      <c r="G806">
        <v>4</v>
      </c>
      <c r="J806">
        <v>2</v>
      </c>
      <c r="K806">
        <v>4</v>
      </c>
      <c r="N806">
        <v>5</v>
      </c>
      <c r="O806">
        <v>4</v>
      </c>
      <c r="Q806">
        <v>2</v>
      </c>
      <c r="R806">
        <v>4</v>
      </c>
      <c r="S806">
        <v>1</v>
      </c>
      <c r="U806" t="s">
        <v>51</v>
      </c>
      <c r="V806">
        <v>1</v>
      </c>
    </row>
    <row r="807" spans="2:22" x14ac:dyDescent="0.25">
      <c r="B807">
        <v>9</v>
      </c>
      <c r="C807">
        <f>IF(Adecco_India[[#This Row],[Attrition]]="Yes",1,0)</f>
        <v>0</v>
      </c>
      <c r="F807">
        <v>45</v>
      </c>
      <c r="G807">
        <v>3</v>
      </c>
      <c r="J807">
        <v>3</v>
      </c>
      <c r="K807">
        <v>3</v>
      </c>
      <c r="N807">
        <v>15</v>
      </c>
      <c r="O807">
        <v>3</v>
      </c>
      <c r="Q807">
        <v>4</v>
      </c>
      <c r="R807">
        <v>3</v>
      </c>
      <c r="S807">
        <v>1</v>
      </c>
      <c r="U807" t="s">
        <v>38</v>
      </c>
      <c r="V807">
        <v>1</v>
      </c>
    </row>
    <row r="808" spans="2:22" x14ac:dyDescent="0.25">
      <c r="B808">
        <v>7</v>
      </c>
      <c r="C808">
        <f>IF(Adecco_India[[#This Row],[Attrition]]="Yes",1,0)</f>
        <v>0</v>
      </c>
      <c r="F808">
        <v>52</v>
      </c>
      <c r="G808">
        <v>2</v>
      </c>
      <c r="J808">
        <v>3</v>
      </c>
      <c r="K808">
        <v>3</v>
      </c>
      <c r="N808">
        <v>8</v>
      </c>
      <c r="O808">
        <v>2</v>
      </c>
      <c r="Q808">
        <v>4</v>
      </c>
      <c r="R808">
        <v>3</v>
      </c>
      <c r="S808">
        <v>1</v>
      </c>
      <c r="U808" t="s">
        <v>38</v>
      </c>
      <c r="V808">
        <v>1</v>
      </c>
    </row>
    <row r="809" spans="2:22" x14ac:dyDescent="0.25">
      <c r="B809">
        <v>10</v>
      </c>
      <c r="C809">
        <f>IF(Adecco_India[[#This Row],[Attrition]]="Yes",1,0)</f>
        <v>0</v>
      </c>
      <c r="F809">
        <v>38</v>
      </c>
      <c r="G809">
        <v>3</v>
      </c>
      <c r="J809">
        <v>3</v>
      </c>
      <c r="K809">
        <v>3</v>
      </c>
      <c r="N809">
        <v>8</v>
      </c>
      <c r="O809">
        <v>3</v>
      </c>
      <c r="Q809">
        <v>2</v>
      </c>
      <c r="R809">
        <v>3</v>
      </c>
      <c r="S809">
        <v>1</v>
      </c>
      <c r="U809" t="s">
        <v>59</v>
      </c>
      <c r="V809">
        <v>1</v>
      </c>
    </row>
    <row r="810" spans="2:22" x14ac:dyDescent="0.25">
      <c r="B810">
        <v>28</v>
      </c>
      <c r="C810">
        <f>IF(Adecco_India[[#This Row],[Attrition]]="Yes",1,0)</f>
        <v>0</v>
      </c>
      <c r="F810">
        <v>29</v>
      </c>
      <c r="G810">
        <v>4</v>
      </c>
      <c r="J810">
        <v>3</v>
      </c>
      <c r="K810">
        <v>4</v>
      </c>
      <c r="N810">
        <v>7</v>
      </c>
      <c r="O810">
        <v>4</v>
      </c>
      <c r="Q810">
        <v>1</v>
      </c>
      <c r="R810">
        <v>4</v>
      </c>
      <c r="S810">
        <v>1</v>
      </c>
      <c r="U810" t="s">
        <v>38</v>
      </c>
      <c r="V810">
        <v>1</v>
      </c>
    </row>
    <row r="811" spans="2:22" x14ac:dyDescent="0.25">
      <c r="B811">
        <v>3</v>
      </c>
      <c r="C811">
        <f>IF(Adecco_India[[#This Row],[Attrition]]="Yes",1,0)</f>
        <v>0</v>
      </c>
      <c r="F811">
        <v>28</v>
      </c>
      <c r="G811">
        <v>2</v>
      </c>
      <c r="J811">
        <v>2</v>
      </c>
      <c r="K811">
        <v>3</v>
      </c>
      <c r="N811">
        <v>9</v>
      </c>
      <c r="O811">
        <v>2</v>
      </c>
      <c r="Q811">
        <v>1</v>
      </c>
      <c r="R811">
        <v>3</v>
      </c>
      <c r="S811">
        <v>1</v>
      </c>
      <c r="U811" t="s">
        <v>51</v>
      </c>
      <c r="V811">
        <v>1</v>
      </c>
    </row>
    <row r="812" spans="2:22" x14ac:dyDescent="0.25">
      <c r="B812">
        <v>3</v>
      </c>
      <c r="C812">
        <f>IF(Adecco_India[[#This Row],[Attrition]]="Yes",1,0)</f>
        <v>0</v>
      </c>
      <c r="F812">
        <v>46</v>
      </c>
      <c r="G812">
        <v>3</v>
      </c>
      <c r="J812">
        <v>3</v>
      </c>
      <c r="K812">
        <v>3</v>
      </c>
      <c r="N812">
        <v>12</v>
      </c>
      <c r="O812">
        <v>3</v>
      </c>
      <c r="Q812">
        <v>4</v>
      </c>
      <c r="R812">
        <v>3</v>
      </c>
      <c r="S812">
        <v>1</v>
      </c>
      <c r="U812" t="s">
        <v>59</v>
      </c>
      <c r="V812">
        <v>1</v>
      </c>
    </row>
    <row r="813" spans="2:22" x14ac:dyDescent="0.25">
      <c r="B813">
        <v>2</v>
      </c>
      <c r="C813">
        <f>IF(Adecco_India[[#This Row],[Attrition]]="Yes",1,0)</f>
        <v>0</v>
      </c>
      <c r="F813">
        <v>38</v>
      </c>
      <c r="G813">
        <v>2</v>
      </c>
      <c r="J813">
        <v>3</v>
      </c>
      <c r="K813">
        <v>3</v>
      </c>
      <c r="N813">
        <v>1</v>
      </c>
      <c r="O813">
        <v>2</v>
      </c>
      <c r="Q813">
        <v>0</v>
      </c>
      <c r="R813">
        <v>3</v>
      </c>
      <c r="S813">
        <v>1</v>
      </c>
      <c r="U813" t="s">
        <v>59</v>
      </c>
      <c r="V813">
        <v>1</v>
      </c>
    </row>
    <row r="814" spans="2:22" x14ac:dyDescent="0.25">
      <c r="B814">
        <v>27</v>
      </c>
      <c r="C814">
        <f>IF(Adecco_India[[#This Row],[Attrition]]="Yes",1,0)</f>
        <v>0</v>
      </c>
      <c r="F814">
        <v>43</v>
      </c>
      <c r="G814">
        <v>1</v>
      </c>
      <c r="J814">
        <v>3</v>
      </c>
      <c r="K814">
        <v>3</v>
      </c>
      <c r="N814">
        <v>8</v>
      </c>
      <c r="O814">
        <v>1</v>
      </c>
      <c r="Q814">
        <v>0</v>
      </c>
      <c r="R814">
        <v>3</v>
      </c>
      <c r="S814">
        <v>1</v>
      </c>
      <c r="U814" t="s">
        <v>38</v>
      </c>
      <c r="V814">
        <v>1</v>
      </c>
    </row>
    <row r="815" spans="2:22" x14ac:dyDescent="0.25">
      <c r="B815">
        <v>2</v>
      </c>
      <c r="C815">
        <f>IF(Adecco_India[[#This Row],[Attrition]]="Yes",1,0)</f>
        <v>1</v>
      </c>
      <c r="F815">
        <v>39</v>
      </c>
      <c r="G815">
        <v>4</v>
      </c>
      <c r="J815">
        <v>3</v>
      </c>
      <c r="K815">
        <v>3</v>
      </c>
      <c r="N815">
        <v>18</v>
      </c>
      <c r="O815">
        <v>4</v>
      </c>
      <c r="Q815">
        <v>11</v>
      </c>
      <c r="R815">
        <v>3</v>
      </c>
      <c r="S815">
        <v>1</v>
      </c>
      <c r="U815" t="s">
        <v>38</v>
      </c>
      <c r="V815">
        <v>1</v>
      </c>
    </row>
    <row r="816" spans="2:22" x14ac:dyDescent="0.25">
      <c r="B816">
        <v>14</v>
      </c>
      <c r="C816">
        <f>IF(Adecco_India[[#This Row],[Attrition]]="Yes",1,0)</f>
        <v>0</v>
      </c>
      <c r="F816">
        <v>40</v>
      </c>
      <c r="G816">
        <v>3</v>
      </c>
      <c r="J816">
        <v>4</v>
      </c>
      <c r="K816">
        <v>3</v>
      </c>
      <c r="N816">
        <v>20</v>
      </c>
      <c r="O816">
        <v>3</v>
      </c>
      <c r="Q816">
        <v>4</v>
      </c>
      <c r="R816">
        <v>3</v>
      </c>
      <c r="S816">
        <v>1</v>
      </c>
      <c r="U816" t="s">
        <v>51</v>
      </c>
      <c r="V816">
        <v>1</v>
      </c>
    </row>
    <row r="817" spans="2:22" x14ac:dyDescent="0.25">
      <c r="B817">
        <v>1</v>
      </c>
      <c r="C817">
        <f>IF(Adecco_India[[#This Row],[Attrition]]="Yes",1,0)</f>
        <v>0</v>
      </c>
      <c r="F817">
        <v>21</v>
      </c>
      <c r="G817">
        <v>2</v>
      </c>
      <c r="J817">
        <v>4</v>
      </c>
      <c r="K817">
        <v>3</v>
      </c>
      <c r="N817">
        <v>2</v>
      </c>
      <c r="O817">
        <v>2</v>
      </c>
      <c r="Q817">
        <v>2</v>
      </c>
      <c r="R817">
        <v>3</v>
      </c>
      <c r="S817">
        <v>1</v>
      </c>
      <c r="U817" t="s">
        <v>60</v>
      </c>
      <c r="V817">
        <v>1</v>
      </c>
    </row>
    <row r="818" spans="2:22" x14ac:dyDescent="0.25">
      <c r="B818">
        <v>9</v>
      </c>
      <c r="C818">
        <f>IF(Adecco_India[[#This Row],[Attrition]]="Yes",1,0)</f>
        <v>0</v>
      </c>
      <c r="F818">
        <v>39</v>
      </c>
      <c r="G818">
        <v>2</v>
      </c>
      <c r="J818">
        <v>2</v>
      </c>
      <c r="K818">
        <v>3</v>
      </c>
      <c r="N818">
        <v>5</v>
      </c>
      <c r="O818">
        <v>2</v>
      </c>
      <c r="Q818">
        <v>0</v>
      </c>
      <c r="R818">
        <v>3</v>
      </c>
      <c r="S818">
        <v>1</v>
      </c>
      <c r="U818" t="s">
        <v>38</v>
      </c>
      <c r="V818">
        <v>1</v>
      </c>
    </row>
    <row r="819" spans="2:22" x14ac:dyDescent="0.25">
      <c r="B819">
        <v>18</v>
      </c>
      <c r="C819">
        <f>IF(Adecco_India[[#This Row],[Attrition]]="Yes",1,0)</f>
        <v>0</v>
      </c>
      <c r="F819">
        <v>36</v>
      </c>
      <c r="G819">
        <v>4</v>
      </c>
      <c r="J819">
        <v>3</v>
      </c>
      <c r="K819">
        <v>4</v>
      </c>
      <c r="N819">
        <v>11</v>
      </c>
      <c r="O819">
        <v>4</v>
      </c>
      <c r="Q819">
        <v>0</v>
      </c>
      <c r="R819">
        <v>4</v>
      </c>
      <c r="S819">
        <v>1</v>
      </c>
      <c r="U819" t="s">
        <v>38</v>
      </c>
      <c r="V819">
        <v>1</v>
      </c>
    </row>
    <row r="820" spans="2:22" x14ac:dyDescent="0.25">
      <c r="B820">
        <v>20</v>
      </c>
      <c r="C820">
        <f>IF(Adecco_India[[#This Row],[Attrition]]="Yes",1,0)</f>
        <v>0</v>
      </c>
      <c r="F820">
        <v>31</v>
      </c>
      <c r="G820">
        <v>4</v>
      </c>
      <c r="J820">
        <v>3</v>
      </c>
      <c r="K820">
        <v>3</v>
      </c>
      <c r="N820">
        <v>2</v>
      </c>
      <c r="O820">
        <v>4</v>
      </c>
      <c r="Q820">
        <v>2</v>
      </c>
      <c r="R820">
        <v>3</v>
      </c>
      <c r="S820">
        <v>1</v>
      </c>
      <c r="U820" t="s">
        <v>38</v>
      </c>
      <c r="V820">
        <v>1</v>
      </c>
    </row>
    <row r="821" spans="2:22" x14ac:dyDescent="0.25">
      <c r="B821">
        <v>2</v>
      </c>
      <c r="C821">
        <f>IF(Adecco_India[[#This Row],[Attrition]]="Yes",1,0)</f>
        <v>0</v>
      </c>
      <c r="F821">
        <v>28</v>
      </c>
      <c r="G821">
        <v>2</v>
      </c>
      <c r="J821">
        <v>1</v>
      </c>
      <c r="K821">
        <v>3</v>
      </c>
      <c r="N821">
        <v>5</v>
      </c>
      <c r="O821">
        <v>2</v>
      </c>
      <c r="Q821">
        <v>0</v>
      </c>
      <c r="R821">
        <v>3</v>
      </c>
      <c r="S821">
        <v>1</v>
      </c>
      <c r="U821" t="s">
        <v>38</v>
      </c>
      <c r="V821">
        <v>1</v>
      </c>
    </row>
    <row r="822" spans="2:22" x14ac:dyDescent="0.25">
      <c r="B822">
        <v>11</v>
      </c>
      <c r="C822">
        <f>IF(Adecco_India[[#This Row],[Attrition]]="Yes",1,0)</f>
        <v>0</v>
      </c>
      <c r="F822">
        <v>35</v>
      </c>
      <c r="G822">
        <v>4</v>
      </c>
      <c r="J822">
        <v>3</v>
      </c>
      <c r="K822">
        <v>3</v>
      </c>
      <c r="N822">
        <v>5</v>
      </c>
      <c r="O822">
        <v>4</v>
      </c>
      <c r="Q822">
        <v>0</v>
      </c>
      <c r="R822">
        <v>3</v>
      </c>
      <c r="S822">
        <v>1</v>
      </c>
      <c r="U822" t="s">
        <v>59</v>
      </c>
      <c r="V822">
        <v>1</v>
      </c>
    </row>
    <row r="823" spans="2:22" x14ac:dyDescent="0.25">
      <c r="B823">
        <v>8</v>
      </c>
      <c r="C823">
        <f>IF(Adecco_India[[#This Row],[Attrition]]="Yes",1,0)</f>
        <v>0</v>
      </c>
      <c r="F823">
        <v>49</v>
      </c>
      <c r="G823">
        <v>2</v>
      </c>
      <c r="J823">
        <v>3</v>
      </c>
      <c r="K823">
        <v>3</v>
      </c>
      <c r="N823">
        <v>9</v>
      </c>
      <c r="O823">
        <v>2</v>
      </c>
      <c r="Q823">
        <v>2</v>
      </c>
      <c r="R823">
        <v>3</v>
      </c>
      <c r="S823">
        <v>1</v>
      </c>
      <c r="U823" t="s">
        <v>60</v>
      </c>
      <c r="V823">
        <v>1</v>
      </c>
    </row>
    <row r="824" spans="2:22" x14ac:dyDescent="0.25">
      <c r="B824">
        <v>2</v>
      </c>
      <c r="C824">
        <f>IF(Adecco_India[[#This Row],[Attrition]]="Yes",1,0)</f>
        <v>0</v>
      </c>
      <c r="F824">
        <v>34</v>
      </c>
      <c r="G824">
        <v>3</v>
      </c>
      <c r="J824">
        <v>2</v>
      </c>
      <c r="K824">
        <v>3</v>
      </c>
      <c r="N824">
        <v>3</v>
      </c>
      <c r="O824">
        <v>3</v>
      </c>
      <c r="Q824">
        <v>0</v>
      </c>
      <c r="R824">
        <v>3</v>
      </c>
      <c r="S824">
        <v>1</v>
      </c>
      <c r="U824" t="s">
        <v>38</v>
      </c>
      <c r="V824">
        <v>1</v>
      </c>
    </row>
    <row r="825" spans="2:22" x14ac:dyDescent="0.25">
      <c r="B825">
        <v>10</v>
      </c>
      <c r="C825">
        <f>IF(Adecco_India[[#This Row],[Attrition]]="Yes",1,0)</f>
        <v>0</v>
      </c>
      <c r="F825">
        <v>29</v>
      </c>
      <c r="G825">
        <v>2</v>
      </c>
      <c r="J825">
        <v>2</v>
      </c>
      <c r="K825">
        <v>3</v>
      </c>
      <c r="N825">
        <v>7</v>
      </c>
      <c r="O825">
        <v>2</v>
      </c>
      <c r="Q825">
        <v>1</v>
      </c>
      <c r="R825">
        <v>3</v>
      </c>
      <c r="S825">
        <v>1</v>
      </c>
      <c r="U825" t="s">
        <v>38</v>
      </c>
      <c r="V825">
        <v>1</v>
      </c>
    </row>
    <row r="826" spans="2:22" x14ac:dyDescent="0.25">
      <c r="B826">
        <v>29</v>
      </c>
      <c r="C826">
        <f>IF(Adecco_India[[#This Row],[Attrition]]="Yes",1,0)</f>
        <v>0</v>
      </c>
      <c r="F826">
        <v>42</v>
      </c>
      <c r="G826">
        <v>4</v>
      </c>
      <c r="J826">
        <v>3</v>
      </c>
      <c r="K826">
        <v>3</v>
      </c>
      <c r="N826">
        <v>1</v>
      </c>
      <c r="O826">
        <v>4</v>
      </c>
      <c r="Q826">
        <v>0</v>
      </c>
      <c r="R826">
        <v>3</v>
      </c>
      <c r="S826">
        <v>1</v>
      </c>
      <c r="U826" t="s">
        <v>51</v>
      </c>
      <c r="V826">
        <v>1</v>
      </c>
    </row>
    <row r="827" spans="2:22" x14ac:dyDescent="0.25">
      <c r="B827">
        <v>8</v>
      </c>
      <c r="C827">
        <f>IF(Adecco_India[[#This Row],[Attrition]]="Yes",1,0)</f>
        <v>0</v>
      </c>
      <c r="F827">
        <v>29</v>
      </c>
      <c r="G827">
        <v>4</v>
      </c>
      <c r="J827">
        <v>2</v>
      </c>
      <c r="K827">
        <v>3</v>
      </c>
      <c r="N827">
        <v>10</v>
      </c>
      <c r="O827">
        <v>4</v>
      </c>
      <c r="Q827">
        <v>1</v>
      </c>
      <c r="R827">
        <v>3</v>
      </c>
      <c r="S827">
        <v>1</v>
      </c>
      <c r="U827" t="s">
        <v>51</v>
      </c>
      <c r="V827">
        <v>1</v>
      </c>
    </row>
    <row r="828" spans="2:22" x14ac:dyDescent="0.25">
      <c r="B828">
        <v>1</v>
      </c>
      <c r="C828">
        <f>IF(Adecco_India[[#This Row],[Attrition]]="Yes",1,0)</f>
        <v>0</v>
      </c>
      <c r="F828">
        <v>38</v>
      </c>
      <c r="G828">
        <v>3</v>
      </c>
      <c r="J828">
        <v>4</v>
      </c>
      <c r="K828">
        <v>3</v>
      </c>
      <c r="N828">
        <v>7</v>
      </c>
      <c r="O828">
        <v>3</v>
      </c>
      <c r="Q828">
        <v>5</v>
      </c>
      <c r="R828">
        <v>3</v>
      </c>
      <c r="S828">
        <v>1</v>
      </c>
      <c r="U828" t="s">
        <v>61</v>
      </c>
      <c r="V828">
        <v>1</v>
      </c>
    </row>
    <row r="829" spans="2:22" x14ac:dyDescent="0.25">
      <c r="B829">
        <v>6</v>
      </c>
      <c r="C829">
        <f>IF(Adecco_India[[#This Row],[Attrition]]="Yes",1,0)</f>
        <v>0</v>
      </c>
      <c r="F829">
        <v>28</v>
      </c>
      <c r="G829">
        <v>3</v>
      </c>
      <c r="J829">
        <v>3</v>
      </c>
      <c r="K829">
        <v>3</v>
      </c>
      <c r="N829">
        <v>3</v>
      </c>
      <c r="O829">
        <v>3</v>
      </c>
      <c r="Q829">
        <v>0</v>
      </c>
      <c r="R829">
        <v>3</v>
      </c>
      <c r="S829">
        <v>1</v>
      </c>
      <c r="U829" t="s">
        <v>38</v>
      </c>
      <c r="V829">
        <v>1</v>
      </c>
    </row>
    <row r="830" spans="2:22" x14ac:dyDescent="0.25">
      <c r="B830">
        <v>8</v>
      </c>
      <c r="C830">
        <f>IF(Adecco_India[[#This Row],[Attrition]]="Yes",1,0)</f>
        <v>1</v>
      </c>
      <c r="F830">
        <v>18</v>
      </c>
      <c r="G830">
        <v>3</v>
      </c>
      <c r="J830">
        <v>3</v>
      </c>
      <c r="K830">
        <v>3</v>
      </c>
      <c r="N830">
        <v>0</v>
      </c>
      <c r="O830">
        <v>3</v>
      </c>
      <c r="Q830">
        <v>0</v>
      </c>
      <c r="R830">
        <v>3</v>
      </c>
      <c r="S830">
        <v>1</v>
      </c>
      <c r="U830" t="s">
        <v>51</v>
      </c>
      <c r="V830">
        <v>1</v>
      </c>
    </row>
    <row r="831" spans="2:22" x14ac:dyDescent="0.25">
      <c r="B831">
        <v>9</v>
      </c>
      <c r="C831">
        <f>IF(Adecco_India[[#This Row],[Attrition]]="Yes",1,0)</f>
        <v>1</v>
      </c>
      <c r="F831">
        <v>33</v>
      </c>
      <c r="G831">
        <v>1</v>
      </c>
      <c r="J831">
        <v>3</v>
      </c>
      <c r="K831">
        <v>3</v>
      </c>
      <c r="N831">
        <v>5</v>
      </c>
      <c r="O831">
        <v>1</v>
      </c>
      <c r="Q831">
        <v>0</v>
      </c>
      <c r="R831">
        <v>3</v>
      </c>
      <c r="S831">
        <v>1</v>
      </c>
      <c r="U831" t="s">
        <v>59</v>
      </c>
      <c r="V831">
        <v>1</v>
      </c>
    </row>
    <row r="832" spans="2:22" x14ac:dyDescent="0.25">
      <c r="B832">
        <v>12</v>
      </c>
      <c r="C832">
        <f>IF(Adecco_India[[#This Row],[Attrition]]="Yes",1,0)</f>
        <v>0</v>
      </c>
      <c r="F832">
        <v>41</v>
      </c>
      <c r="G832">
        <v>4</v>
      </c>
      <c r="J832">
        <v>3</v>
      </c>
      <c r="K832">
        <v>3</v>
      </c>
      <c r="N832">
        <v>1</v>
      </c>
      <c r="O832">
        <v>4</v>
      </c>
      <c r="Q832">
        <v>0</v>
      </c>
      <c r="R832">
        <v>3</v>
      </c>
      <c r="S832">
        <v>1</v>
      </c>
      <c r="U832" t="s">
        <v>38</v>
      </c>
      <c r="V832">
        <v>1</v>
      </c>
    </row>
    <row r="833" spans="2:22" x14ac:dyDescent="0.25">
      <c r="B833">
        <v>15</v>
      </c>
      <c r="C833">
        <f>IF(Adecco_India[[#This Row],[Attrition]]="Yes",1,0)</f>
        <v>1</v>
      </c>
      <c r="F833">
        <v>31</v>
      </c>
      <c r="G833">
        <v>3</v>
      </c>
      <c r="J833">
        <v>2</v>
      </c>
      <c r="K833">
        <v>3</v>
      </c>
      <c r="N833">
        <v>2</v>
      </c>
      <c r="O833">
        <v>3</v>
      </c>
      <c r="Q833">
        <v>2</v>
      </c>
      <c r="R833">
        <v>3</v>
      </c>
      <c r="S833">
        <v>1</v>
      </c>
      <c r="U833" t="s">
        <v>51</v>
      </c>
      <c r="V833">
        <v>1</v>
      </c>
    </row>
    <row r="834" spans="2:22" x14ac:dyDescent="0.25">
      <c r="B834">
        <v>25</v>
      </c>
      <c r="C834">
        <f>IF(Adecco_India[[#This Row],[Attrition]]="Yes",1,0)</f>
        <v>0</v>
      </c>
      <c r="F834">
        <v>37</v>
      </c>
      <c r="G834">
        <v>4</v>
      </c>
      <c r="J834">
        <v>3</v>
      </c>
      <c r="K834">
        <v>3</v>
      </c>
      <c r="N834">
        <v>6</v>
      </c>
      <c r="O834">
        <v>4</v>
      </c>
      <c r="Q834">
        <v>1</v>
      </c>
      <c r="R834">
        <v>3</v>
      </c>
      <c r="S834">
        <v>1</v>
      </c>
      <c r="U834" t="s">
        <v>51</v>
      </c>
      <c r="V834">
        <v>1</v>
      </c>
    </row>
    <row r="835" spans="2:22" x14ac:dyDescent="0.25">
      <c r="B835">
        <v>6</v>
      </c>
      <c r="C835">
        <f>IF(Adecco_India[[#This Row],[Attrition]]="Yes",1,0)</f>
        <v>0</v>
      </c>
      <c r="F835">
        <v>27</v>
      </c>
      <c r="G835">
        <v>3</v>
      </c>
      <c r="J835">
        <v>3</v>
      </c>
      <c r="K835">
        <v>3</v>
      </c>
      <c r="N835">
        <v>4</v>
      </c>
      <c r="O835">
        <v>3</v>
      </c>
      <c r="Q835">
        <v>2</v>
      </c>
      <c r="R835">
        <v>3</v>
      </c>
      <c r="S835">
        <v>1</v>
      </c>
      <c r="U835" t="s">
        <v>38</v>
      </c>
      <c r="V835">
        <v>1</v>
      </c>
    </row>
    <row r="836" spans="2:22" x14ac:dyDescent="0.25">
      <c r="B836">
        <v>9</v>
      </c>
      <c r="C836">
        <f>IF(Adecco_India[[#This Row],[Attrition]]="Yes",1,0)</f>
        <v>0</v>
      </c>
      <c r="F836">
        <v>34</v>
      </c>
      <c r="G836">
        <v>3</v>
      </c>
      <c r="J836">
        <v>2</v>
      </c>
      <c r="K836">
        <v>4</v>
      </c>
      <c r="N836">
        <v>6</v>
      </c>
      <c r="O836">
        <v>3</v>
      </c>
      <c r="Q836">
        <v>1</v>
      </c>
      <c r="R836">
        <v>4</v>
      </c>
      <c r="S836">
        <v>1</v>
      </c>
      <c r="U836" t="s">
        <v>38</v>
      </c>
      <c r="V836">
        <v>1</v>
      </c>
    </row>
    <row r="837" spans="2:22" x14ac:dyDescent="0.25">
      <c r="B837">
        <v>8</v>
      </c>
      <c r="C837">
        <f>IF(Adecco_India[[#This Row],[Attrition]]="Yes",1,0)</f>
        <v>0</v>
      </c>
      <c r="F837">
        <v>35</v>
      </c>
      <c r="G837">
        <v>3</v>
      </c>
      <c r="J837">
        <v>1</v>
      </c>
      <c r="K837">
        <v>3</v>
      </c>
      <c r="N837">
        <v>5</v>
      </c>
      <c r="O837">
        <v>3</v>
      </c>
      <c r="Q837">
        <v>1</v>
      </c>
      <c r="R837">
        <v>3</v>
      </c>
      <c r="S837">
        <v>1</v>
      </c>
      <c r="U837" t="s">
        <v>60</v>
      </c>
      <c r="V837">
        <v>1</v>
      </c>
    </row>
    <row r="838" spans="2:22" x14ac:dyDescent="0.25">
      <c r="B838">
        <v>23</v>
      </c>
      <c r="C838">
        <f>IF(Adecco_India[[#This Row],[Attrition]]="Yes",1,0)</f>
        <v>1</v>
      </c>
      <c r="F838">
        <v>29</v>
      </c>
      <c r="G838">
        <v>1</v>
      </c>
      <c r="J838">
        <v>1</v>
      </c>
      <c r="K838">
        <v>3</v>
      </c>
      <c r="N838">
        <v>11</v>
      </c>
      <c r="O838">
        <v>1</v>
      </c>
      <c r="Q838">
        <v>3</v>
      </c>
      <c r="R838">
        <v>3</v>
      </c>
      <c r="S838">
        <v>1</v>
      </c>
      <c r="U838" t="s">
        <v>38</v>
      </c>
      <c r="V838">
        <v>1</v>
      </c>
    </row>
    <row r="839" spans="2:22" x14ac:dyDescent="0.25">
      <c r="B839">
        <v>9</v>
      </c>
      <c r="C839">
        <f>IF(Adecco_India[[#This Row],[Attrition]]="Yes",1,0)</f>
        <v>0</v>
      </c>
      <c r="F839">
        <v>40</v>
      </c>
      <c r="G839">
        <v>3</v>
      </c>
      <c r="J839">
        <v>2</v>
      </c>
      <c r="K839">
        <v>3</v>
      </c>
      <c r="N839">
        <v>18</v>
      </c>
      <c r="O839">
        <v>3</v>
      </c>
      <c r="Q839">
        <v>2</v>
      </c>
      <c r="R839">
        <v>3</v>
      </c>
      <c r="S839">
        <v>1</v>
      </c>
      <c r="U839" t="s">
        <v>51</v>
      </c>
      <c r="V839">
        <v>1</v>
      </c>
    </row>
    <row r="840" spans="2:22" x14ac:dyDescent="0.25">
      <c r="B840">
        <v>12</v>
      </c>
      <c r="C840">
        <f>IF(Adecco_India[[#This Row],[Attrition]]="Yes",1,0)</f>
        <v>1</v>
      </c>
      <c r="F840">
        <v>42</v>
      </c>
      <c r="G840">
        <v>1</v>
      </c>
      <c r="J840">
        <v>2</v>
      </c>
      <c r="K840">
        <v>3</v>
      </c>
      <c r="N840">
        <v>21</v>
      </c>
      <c r="O840">
        <v>1</v>
      </c>
      <c r="Q840">
        <v>13</v>
      </c>
      <c r="R840">
        <v>3</v>
      </c>
      <c r="S840">
        <v>1</v>
      </c>
      <c r="U840" t="s">
        <v>38</v>
      </c>
      <c r="V840">
        <v>1</v>
      </c>
    </row>
    <row r="841" spans="2:22" x14ac:dyDescent="0.25">
      <c r="B841">
        <v>4</v>
      </c>
      <c r="C841">
        <f>IF(Adecco_India[[#This Row],[Attrition]]="Yes",1,0)</f>
        <v>0</v>
      </c>
      <c r="F841">
        <v>42</v>
      </c>
      <c r="G841">
        <v>1</v>
      </c>
      <c r="J841">
        <v>4</v>
      </c>
      <c r="K841">
        <v>3</v>
      </c>
      <c r="N841">
        <v>6</v>
      </c>
      <c r="O841">
        <v>1</v>
      </c>
      <c r="Q841">
        <v>1</v>
      </c>
      <c r="R841">
        <v>3</v>
      </c>
      <c r="S841">
        <v>1</v>
      </c>
      <c r="U841" t="s">
        <v>59</v>
      </c>
      <c r="V841">
        <v>1</v>
      </c>
    </row>
    <row r="842" spans="2:22" x14ac:dyDescent="0.25">
      <c r="B842">
        <v>1</v>
      </c>
      <c r="C842">
        <f>IF(Adecco_India[[#This Row],[Attrition]]="Yes",1,0)</f>
        <v>0</v>
      </c>
      <c r="F842">
        <v>35</v>
      </c>
      <c r="G842">
        <v>3</v>
      </c>
      <c r="J842">
        <v>3</v>
      </c>
      <c r="K842">
        <v>3</v>
      </c>
      <c r="N842">
        <v>8</v>
      </c>
      <c r="O842">
        <v>3</v>
      </c>
      <c r="Q842">
        <v>1</v>
      </c>
      <c r="R842">
        <v>3</v>
      </c>
      <c r="S842">
        <v>1</v>
      </c>
      <c r="U842" t="s">
        <v>51</v>
      </c>
      <c r="V842">
        <v>1</v>
      </c>
    </row>
    <row r="843" spans="2:22" x14ac:dyDescent="0.25">
      <c r="B843">
        <v>24</v>
      </c>
      <c r="C843">
        <f>IF(Adecco_India[[#This Row],[Attrition]]="Yes",1,0)</f>
        <v>0</v>
      </c>
      <c r="F843">
        <v>24</v>
      </c>
      <c r="G843">
        <v>2</v>
      </c>
      <c r="J843">
        <v>3</v>
      </c>
      <c r="K843">
        <v>4</v>
      </c>
      <c r="N843">
        <v>4</v>
      </c>
      <c r="O843">
        <v>2</v>
      </c>
      <c r="Q843">
        <v>1</v>
      </c>
      <c r="R843">
        <v>4</v>
      </c>
      <c r="S843">
        <v>1</v>
      </c>
      <c r="U843" t="s">
        <v>51</v>
      </c>
      <c r="V843">
        <v>1</v>
      </c>
    </row>
    <row r="844" spans="2:22" x14ac:dyDescent="0.25">
      <c r="B844">
        <v>12</v>
      </c>
      <c r="C844">
        <f>IF(Adecco_India[[#This Row],[Attrition]]="Yes",1,0)</f>
        <v>1</v>
      </c>
      <c r="F844">
        <v>28</v>
      </c>
      <c r="G844">
        <v>4</v>
      </c>
      <c r="J844">
        <v>2</v>
      </c>
      <c r="K844">
        <v>3</v>
      </c>
      <c r="N844">
        <v>1</v>
      </c>
      <c r="O844">
        <v>4</v>
      </c>
      <c r="Q844">
        <v>0</v>
      </c>
      <c r="R844">
        <v>3</v>
      </c>
      <c r="S844">
        <v>1</v>
      </c>
      <c r="U844" t="s">
        <v>38</v>
      </c>
      <c r="V844">
        <v>1</v>
      </c>
    </row>
    <row r="845" spans="2:22" x14ac:dyDescent="0.25">
      <c r="B845">
        <v>3</v>
      </c>
      <c r="C845">
        <f>IF(Adecco_India[[#This Row],[Attrition]]="Yes",1,0)</f>
        <v>0</v>
      </c>
      <c r="F845">
        <v>26</v>
      </c>
      <c r="G845">
        <v>4</v>
      </c>
      <c r="J845">
        <v>3</v>
      </c>
      <c r="K845">
        <v>4</v>
      </c>
      <c r="N845">
        <v>8</v>
      </c>
      <c r="O845">
        <v>4</v>
      </c>
      <c r="Q845">
        <v>0</v>
      </c>
      <c r="R845">
        <v>4</v>
      </c>
      <c r="S845">
        <v>1</v>
      </c>
      <c r="U845" t="s">
        <v>51</v>
      </c>
      <c r="V845">
        <v>1</v>
      </c>
    </row>
    <row r="846" spans="2:22" x14ac:dyDescent="0.25">
      <c r="B846">
        <v>10</v>
      </c>
      <c r="C846">
        <f>IF(Adecco_India[[#This Row],[Attrition]]="Yes",1,0)</f>
        <v>0</v>
      </c>
      <c r="F846">
        <v>30</v>
      </c>
      <c r="G846">
        <v>3</v>
      </c>
      <c r="J846">
        <v>3</v>
      </c>
      <c r="K846">
        <v>3</v>
      </c>
      <c r="N846">
        <v>10</v>
      </c>
      <c r="O846">
        <v>3</v>
      </c>
      <c r="Q846">
        <v>1</v>
      </c>
      <c r="R846">
        <v>3</v>
      </c>
      <c r="S846">
        <v>1</v>
      </c>
      <c r="U846" t="s">
        <v>59</v>
      </c>
      <c r="V846">
        <v>1</v>
      </c>
    </row>
    <row r="847" spans="2:22" x14ac:dyDescent="0.25">
      <c r="B847">
        <v>26</v>
      </c>
      <c r="C847">
        <f>IF(Adecco_India[[#This Row],[Attrition]]="Yes",1,0)</f>
        <v>0</v>
      </c>
      <c r="F847">
        <v>40</v>
      </c>
      <c r="G847">
        <v>4</v>
      </c>
      <c r="J847">
        <v>1</v>
      </c>
      <c r="K847">
        <v>3</v>
      </c>
      <c r="N847">
        <v>1</v>
      </c>
      <c r="O847">
        <v>4</v>
      </c>
      <c r="Q847">
        <v>0</v>
      </c>
      <c r="R847">
        <v>3</v>
      </c>
      <c r="S847">
        <v>1</v>
      </c>
      <c r="U847" t="s">
        <v>51</v>
      </c>
      <c r="V847">
        <v>1</v>
      </c>
    </row>
    <row r="848" spans="2:22" x14ac:dyDescent="0.25">
      <c r="B848">
        <v>2</v>
      </c>
      <c r="C848">
        <f>IF(Adecco_India[[#This Row],[Attrition]]="Yes",1,0)</f>
        <v>0</v>
      </c>
      <c r="F848">
        <v>35</v>
      </c>
      <c r="G848">
        <v>2</v>
      </c>
      <c r="J848">
        <v>4</v>
      </c>
      <c r="K848">
        <v>3</v>
      </c>
      <c r="N848">
        <v>7</v>
      </c>
      <c r="O848">
        <v>2</v>
      </c>
      <c r="Q848">
        <v>6</v>
      </c>
      <c r="R848">
        <v>3</v>
      </c>
      <c r="S848">
        <v>1</v>
      </c>
      <c r="U848" t="s">
        <v>38</v>
      </c>
      <c r="V848">
        <v>1</v>
      </c>
    </row>
    <row r="849" spans="2:22" x14ac:dyDescent="0.25">
      <c r="B849">
        <v>1</v>
      </c>
      <c r="C849">
        <f>IF(Adecco_India[[#This Row],[Attrition]]="Yes",1,0)</f>
        <v>0</v>
      </c>
      <c r="F849">
        <v>34</v>
      </c>
      <c r="G849">
        <v>1</v>
      </c>
      <c r="J849">
        <v>3</v>
      </c>
      <c r="K849">
        <v>4</v>
      </c>
      <c r="N849">
        <v>13</v>
      </c>
      <c r="O849">
        <v>1</v>
      </c>
      <c r="Q849">
        <v>4</v>
      </c>
      <c r="R849">
        <v>4</v>
      </c>
      <c r="S849">
        <v>1</v>
      </c>
      <c r="U849" t="s">
        <v>51</v>
      </c>
      <c r="V849">
        <v>1</v>
      </c>
    </row>
    <row r="850" spans="2:22" x14ac:dyDescent="0.25">
      <c r="B850">
        <v>4</v>
      </c>
      <c r="C850">
        <f>IF(Adecco_India[[#This Row],[Attrition]]="Yes",1,0)</f>
        <v>0</v>
      </c>
      <c r="F850">
        <v>35</v>
      </c>
      <c r="G850">
        <v>4</v>
      </c>
      <c r="J850">
        <v>4</v>
      </c>
      <c r="K850">
        <v>3</v>
      </c>
      <c r="N850">
        <v>2</v>
      </c>
      <c r="O850">
        <v>4</v>
      </c>
      <c r="Q850">
        <v>2</v>
      </c>
      <c r="R850">
        <v>3</v>
      </c>
      <c r="S850">
        <v>1</v>
      </c>
      <c r="U850" t="s">
        <v>49</v>
      </c>
      <c r="V850">
        <v>1</v>
      </c>
    </row>
    <row r="851" spans="2:22" x14ac:dyDescent="0.25">
      <c r="B851">
        <v>9</v>
      </c>
      <c r="C851">
        <f>IF(Adecco_India[[#This Row],[Attrition]]="Yes",1,0)</f>
        <v>1</v>
      </c>
      <c r="F851">
        <v>43</v>
      </c>
      <c r="G851">
        <v>3</v>
      </c>
      <c r="J851">
        <v>2</v>
      </c>
      <c r="K851">
        <v>3</v>
      </c>
      <c r="N851">
        <v>4</v>
      </c>
      <c r="O851">
        <v>3</v>
      </c>
      <c r="Q851">
        <v>1</v>
      </c>
      <c r="R851">
        <v>3</v>
      </c>
      <c r="S851">
        <v>1</v>
      </c>
      <c r="U851" t="s">
        <v>59</v>
      </c>
      <c r="V851">
        <v>1</v>
      </c>
    </row>
    <row r="852" spans="2:22" x14ac:dyDescent="0.25">
      <c r="B852">
        <v>2</v>
      </c>
      <c r="C852">
        <f>IF(Adecco_India[[#This Row],[Attrition]]="Yes",1,0)</f>
        <v>0</v>
      </c>
      <c r="F852">
        <v>32</v>
      </c>
      <c r="G852">
        <v>1</v>
      </c>
      <c r="J852">
        <v>3</v>
      </c>
      <c r="K852">
        <v>3</v>
      </c>
      <c r="N852">
        <v>1</v>
      </c>
      <c r="O852">
        <v>1</v>
      </c>
      <c r="Q852">
        <v>0</v>
      </c>
      <c r="R852">
        <v>3</v>
      </c>
      <c r="S852">
        <v>1</v>
      </c>
      <c r="U852" t="s">
        <v>38</v>
      </c>
      <c r="V852">
        <v>1</v>
      </c>
    </row>
    <row r="853" spans="2:22" x14ac:dyDescent="0.25">
      <c r="B853">
        <v>4</v>
      </c>
      <c r="C853">
        <f>IF(Adecco_India[[#This Row],[Attrition]]="Yes",1,0)</f>
        <v>0</v>
      </c>
      <c r="F853">
        <v>56</v>
      </c>
      <c r="G853">
        <v>1</v>
      </c>
      <c r="J853">
        <v>3</v>
      </c>
      <c r="K853">
        <v>3</v>
      </c>
      <c r="N853">
        <v>5</v>
      </c>
      <c r="O853">
        <v>1</v>
      </c>
      <c r="Q853">
        <v>4</v>
      </c>
      <c r="R853">
        <v>3</v>
      </c>
      <c r="S853">
        <v>1</v>
      </c>
      <c r="U853" t="s">
        <v>60</v>
      </c>
      <c r="V853">
        <v>1</v>
      </c>
    </row>
    <row r="854" spans="2:22" x14ac:dyDescent="0.25">
      <c r="B854">
        <v>6</v>
      </c>
      <c r="C854">
        <f>IF(Adecco_India[[#This Row],[Attrition]]="Yes",1,0)</f>
        <v>0</v>
      </c>
      <c r="F854">
        <v>29</v>
      </c>
      <c r="G854">
        <v>4</v>
      </c>
      <c r="J854">
        <v>3</v>
      </c>
      <c r="K854">
        <v>3</v>
      </c>
      <c r="N854">
        <v>10</v>
      </c>
      <c r="O854">
        <v>4</v>
      </c>
      <c r="Q854">
        <v>0</v>
      </c>
      <c r="R854">
        <v>3</v>
      </c>
      <c r="S854">
        <v>1</v>
      </c>
      <c r="U854" t="s">
        <v>51</v>
      </c>
      <c r="V854">
        <v>1</v>
      </c>
    </row>
    <row r="855" spans="2:22" x14ac:dyDescent="0.25">
      <c r="B855">
        <v>9</v>
      </c>
      <c r="C855">
        <f>IF(Adecco_India[[#This Row],[Attrition]]="Yes",1,0)</f>
        <v>0</v>
      </c>
      <c r="F855">
        <v>19</v>
      </c>
      <c r="G855">
        <v>1</v>
      </c>
      <c r="J855">
        <v>3</v>
      </c>
      <c r="K855">
        <v>4</v>
      </c>
      <c r="N855">
        <v>1</v>
      </c>
      <c r="O855">
        <v>1</v>
      </c>
      <c r="Q855">
        <v>0</v>
      </c>
      <c r="R855">
        <v>4</v>
      </c>
      <c r="S855">
        <v>1</v>
      </c>
      <c r="U855" t="s">
        <v>38</v>
      </c>
      <c r="V855">
        <v>1</v>
      </c>
    </row>
    <row r="856" spans="2:22" x14ac:dyDescent="0.25">
      <c r="B856">
        <v>7</v>
      </c>
      <c r="C856">
        <f>IF(Adecco_India[[#This Row],[Attrition]]="Yes",1,0)</f>
        <v>0</v>
      </c>
      <c r="F856">
        <v>45</v>
      </c>
      <c r="G856">
        <v>3</v>
      </c>
      <c r="J856">
        <v>2</v>
      </c>
      <c r="K856">
        <v>3</v>
      </c>
      <c r="N856">
        <v>3</v>
      </c>
      <c r="O856">
        <v>3</v>
      </c>
      <c r="Q856">
        <v>0</v>
      </c>
      <c r="R856">
        <v>3</v>
      </c>
      <c r="S856">
        <v>1</v>
      </c>
      <c r="U856" t="s">
        <v>51</v>
      </c>
      <c r="V856">
        <v>1</v>
      </c>
    </row>
    <row r="857" spans="2:22" x14ac:dyDescent="0.25">
      <c r="B857">
        <v>1</v>
      </c>
      <c r="C857">
        <f>IF(Adecco_India[[#This Row],[Attrition]]="Yes",1,0)</f>
        <v>0</v>
      </c>
      <c r="F857">
        <v>37</v>
      </c>
      <c r="G857">
        <v>4</v>
      </c>
      <c r="J857">
        <v>2</v>
      </c>
      <c r="K857">
        <v>3</v>
      </c>
      <c r="N857">
        <v>14</v>
      </c>
      <c r="O857">
        <v>4</v>
      </c>
      <c r="Q857">
        <v>3</v>
      </c>
      <c r="R857">
        <v>3</v>
      </c>
      <c r="S857">
        <v>1</v>
      </c>
      <c r="U857" t="s">
        <v>38</v>
      </c>
      <c r="V857">
        <v>1</v>
      </c>
    </row>
    <row r="858" spans="2:22" x14ac:dyDescent="0.25">
      <c r="B858">
        <v>3</v>
      </c>
      <c r="C858">
        <f>IF(Adecco_India[[#This Row],[Attrition]]="Yes",1,0)</f>
        <v>0</v>
      </c>
      <c r="F858">
        <v>20</v>
      </c>
      <c r="G858">
        <v>3</v>
      </c>
      <c r="J858">
        <v>2</v>
      </c>
      <c r="K858">
        <v>3</v>
      </c>
      <c r="N858">
        <v>2</v>
      </c>
      <c r="O858">
        <v>3</v>
      </c>
      <c r="Q858">
        <v>1</v>
      </c>
      <c r="R858">
        <v>3</v>
      </c>
      <c r="S858">
        <v>1</v>
      </c>
      <c r="U858" t="s">
        <v>38</v>
      </c>
      <c r="V858">
        <v>1</v>
      </c>
    </row>
    <row r="859" spans="2:22" x14ac:dyDescent="0.25">
      <c r="B859">
        <v>10</v>
      </c>
      <c r="C859">
        <f>IF(Adecco_India[[#This Row],[Attrition]]="Yes",1,0)</f>
        <v>1</v>
      </c>
      <c r="F859">
        <v>44</v>
      </c>
      <c r="G859">
        <v>3</v>
      </c>
      <c r="J859">
        <v>3</v>
      </c>
      <c r="K859">
        <v>3</v>
      </c>
      <c r="N859">
        <v>6</v>
      </c>
      <c r="O859">
        <v>3</v>
      </c>
      <c r="Q859">
        <v>0</v>
      </c>
      <c r="R859">
        <v>3</v>
      </c>
      <c r="S859">
        <v>1</v>
      </c>
      <c r="U859" t="s">
        <v>38</v>
      </c>
      <c r="V859">
        <v>1</v>
      </c>
    </row>
    <row r="860" spans="2:22" x14ac:dyDescent="0.25">
      <c r="B860">
        <v>7</v>
      </c>
      <c r="C860">
        <f>IF(Adecco_India[[#This Row],[Attrition]]="Yes",1,0)</f>
        <v>0</v>
      </c>
      <c r="F860">
        <v>53</v>
      </c>
      <c r="G860">
        <v>3</v>
      </c>
      <c r="J860">
        <v>3</v>
      </c>
      <c r="K860">
        <v>3</v>
      </c>
      <c r="N860">
        <v>7</v>
      </c>
      <c r="O860">
        <v>3</v>
      </c>
      <c r="Q860">
        <v>4</v>
      </c>
      <c r="R860">
        <v>3</v>
      </c>
      <c r="S860">
        <v>1</v>
      </c>
      <c r="U860" t="s">
        <v>51</v>
      </c>
      <c r="V860">
        <v>1</v>
      </c>
    </row>
    <row r="861" spans="2:22" x14ac:dyDescent="0.25">
      <c r="B861">
        <v>15</v>
      </c>
      <c r="C861">
        <f>IF(Adecco_India[[#This Row],[Attrition]]="Yes",1,0)</f>
        <v>0</v>
      </c>
      <c r="F861">
        <v>29</v>
      </c>
      <c r="G861">
        <v>4</v>
      </c>
      <c r="J861">
        <v>2</v>
      </c>
      <c r="K861">
        <v>3</v>
      </c>
      <c r="N861">
        <v>5</v>
      </c>
      <c r="O861">
        <v>4</v>
      </c>
      <c r="Q861">
        <v>1</v>
      </c>
      <c r="R861">
        <v>3</v>
      </c>
      <c r="S861">
        <v>1</v>
      </c>
      <c r="U861" t="s">
        <v>38</v>
      </c>
      <c r="V861">
        <v>1</v>
      </c>
    </row>
    <row r="862" spans="2:22" x14ac:dyDescent="0.25">
      <c r="B862">
        <v>3</v>
      </c>
      <c r="C862">
        <f>IF(Adecco_India[[#This Row],[Attrition]]="Yes",1,0)</f>
        <v>1</v>
      </c>
      <c r="F862">
        <v>22</v>
      </c>
      <c r="G862">
        <v>4</v>
      </c>
      <c r="J862">
        <v>3</v>
      </c>
      <c r="K862">
        <v>3</v>
      </c>
      <c r="N862">
        <v>0</v>
      </c>
      <c r="O862">
        <v>4</v>
      </c>
      <c r="Q862">
        <v>0</v>
      </c>
      <c r="R862">
        <v>3</v>
      </c>
      <c r="S862">
        <v>1</v>
      </c>
      <c r="U862" t="s">
        <v>38</v>
      </c>
      <c r="V862">
        <v>1</v>
      </c>
    </row>
    <row r="863" spans="2:22" x14ac:dyDescent="0.25">
      <c r="B863">
        <v>2</v>
      </c>
      <c r="C863">
        <f>IF(Adecco_India[[#This Row],[Attrition]]="Yes",1,0)</f>
        <v>0</v>
      </c>
      <c r="F863">
        <v>46</v>
      </c>
      <c r="G863">
        <v>1</v>
      </c>
      <c r="J863">
        <v>3</v>
      </c>
      <c r="K863">
        <v>4</v>
      </c>
      <c r="N863">
        <v>26</v>
      </c>
      <c r="O863">
        <v>1</v>
      </c>
      <c r="Q863">
        <v>15</v>
      </c>
      <c r="R863">
        <v>4</v>
      </c>
      <c r="S863">
        <v>1</v>
      </c>
      <c r="U863" t="s">
        <v>59</v>
      </c>
      <c r="V863">
        <v>1</v>
      </c>
    </row>
    <row r="864" spans="2:22" x14ac:dyDescent="0.25">
      <c r="B864">
        <v>17</v>
      </c>
      <c r="C864">
        <f>IF(Adecco_India[[#This Row],[Attrition]]="Yes",1,0)</f>
        <v>0</v>
      </c>
      <c r="F864">
        <v>44</v>
      </c>
      <c r="G864">
        <v>3</v>
      </c>
      <c r="J864">
        <v>3</v>
      </c>
      <c r="K864">
        <v>3</v>
      </c>
      <c r="N864">
        <v>0</v>
      </c>
      <c r="O864">
        <v>3</v>
      </c>
      <c r="Q864">
        <v>0</v>
      </c>
      <c r="R864">
        <v>3</v>
      </c>
      <c r="S864">
        <v>1</v>
      </c>
      <c r="U864" t="s">
        <v>38</v>
      </c>
      <c r="V864">
        <v>1</v>
      </c>
    </row>
    <row r="865" spans="2:22" x14ac:dyDescent="0.25">
      <c r="B865">
        <v>2</v>
      </c>
      <c r="C865">
        <f>IF(Adecco_India[[#This Row],[Attrition]]="Yes",1,0)</f>
        <v>0</v>
      </c>
      <c r="F865">
        <v>33</v>
      </c>
      <c r="G865">
        <v>3</v>
      </c>
      <c r="J865">
        <v>3</v>
      </c>
      <c r="K865">
        <v>3</v>
      </c>
      <c r="N865">
        <v>5</v>
      </c>
      <c r="O865">
        <v>3</v>
      </c>
      <c r="Q865">
        <v>1</v>
      </c>
      <c r="R865">
        <v>3</v>
      </c>
      <c r="S865">
        <v>1</v>
      </c>
      <c r="U865" t="s">
        <v>61</v>
      </c>
      <c r="V865">
        <v>1</v>
      </c>
    </row>
    <row r="866" spans="2:22" x14ac:dyDescent="0.25">
      <c r="B866">
        <v>5</v>
      </c>
      <c r="C866">
        <f>IF(Adecco_India[[#This Row],[Attrition]]="Yes",1,0)</f>
        <v>1</v>
      </c>
      <c r="F866">
        <v>41</v>
      </c>
      <c r="G866">
        <v>1</v>
      </c>
      <c r="J866">
        <v>1</v>
      </c>
      <c r="K866">
        <v>3</v>
      </c>
      <c r="N866">
        <v>1</v>
      </c>
      <c r="O866">
        <v>1</v>
      </c>
      <c r="Q866">
        <v>0</v>
      </c>
      <c r="R866">
        <v>3</v>
      </c>
      <c r="S866">
        <v>1</v>
      </c>
      <c r="U866" t="s">
        <v>38</v>
      </c>
      <c r="V866">
        <v>1</v>
      </c>
    </row>
    <row r="867" spans="2:22" x14ac:dyDescent="0.25">
      <c r="B867">
        <v>29</v>
      </c>
      <c r="C867">
        <f>IF(Adecco_India[[#This Row],[Attrition]]="Yes",1,0)</f>
        <v>0</v>
      </c>
      <c r="F867">
        <v>30</v>
      </c>
      <c r="G867">
        <v>1</v>
      </c>
      <c r="J867">
        <v>3</v>
      </c>
      <c r="K867">
        <v>3</v>
      </c>
      <c r="N867">
        <v>4</v>
      </c>
      <c r="O867">
        <v>1</v>
      </c>
      <c r="Q867">
        <v>0</v>
      </c>
      <c r="R867">
        <v>3</v>
      </c>
      <c r="S867">
        <v>1</v>
      </c>
      <c r="U867" t="s">
        <v>38</v>
      </c>
      <c r="V867">
        <v>1</v>
      </c>
    </row>
    <row r="868" spans="2:22" x14ac:dyDescent="0.25">
      <c r="B868">
        <v>2</v>
      </c>
      <c r="C868">
        <f>IF(Adecco_India[[#This Row],[Attrition]]="Yes",1,0)</f>
        <v>0</v>
      </c>
      <c r="F868">
        <v>40</v>
      </c>
      <c r="G868">
        <v>2</v>
      </c>
      <c r="J868">
        <v>3</v>
      </c>
      <c r="K868">
        <v>3</v>
      </c>
      <c r="N868">
        <v>0</v>
      </c>
      <c r="O868">
        <v>2</v>
      </c>
      <c r="Q868">
        <v>0</v>
      </c>
      <c r="R868">
        <v>3</v>
      </c>
      <c r="S868">
        <v>1</v>
      </c>
      <c r="U868" t="s">
        <v>51</v>
      </c>
      <c r="V868">
        <v>1</v>
      </c>
    </row>
    <row r="869" spans="2:22" x14ac:dyDescent="0.25">
      <c r="B869">
        <v>2</v>
      </c>
      <c r="C869">
        <f>IF(Adecco_India[[#This Row],[Attrition]]="Yes",1,0)</f>
        <v>0</v>
      </c>
      <c r="F869">
        <v>50</v>
      </c>
      <c r="G869">
        <v>1</v>
      </c>
      <c r="J869">
        <v>3</v>
      </c>
      <c r="K869">
        <v>4</v>
      </c>
      <c r="N869">
        <v>2</v>
      </c>
      <c r="O869">
        <v>1</v>
      </c>
      <c r="Q869">
        <v>2</v>
      </c>
      <c r="R869">
        <v>4</v>
      </c>
      <c r="S869">
        <v>1</v>
      </c>
      <c r="U869" t="s">
        <v>51</v>
      </c>
      <c r="V869">
        <v>1</v>
      </c>
    </row>
    <row r="870" spans="2:22" x14ac:dyDescent="0.25">
      <c r="B870">
        <v>19</v>
      </c>
      <c r="C870">
        <f>IF(Adecco_India[[#This Row],[Attrition]]="Yes",1,0)</f>
        <v>0</v>
      </c>
      <c r="F870">
        <v>28</v>
      </c>
      <c r="G870">
        <v>1</v>
      </c>
      <c r="J870">
        <v>3</v>
      </c>
      <c r="K870">
        <v>3</v>
      </c>
      <c r="N870">
        <v>6</v>
      </c>
      <c r="O870">
        <v>1</v>
      </c>
      <c r="Q870">
        <v>3</v>
      </c>
      <c r="R870">
        <v>3</v>
      </c>
      <c r="S870">
        <v>1</v>
      </c>
      <c r="U870" t="s">
        <v>51</v>
      </c>
      <c r="V870">
        <v>1</v>
      </c>
    </row>
    <row r="871" spans="2:22" x14ac:dyDescent="0.25">
      <c r="B871">
        <v>15</v>
      </c>
      <c r="C871">
        <f>IF(Adecco_India[[#This Row],[Attrition]]="Yes",1,0)</f>
        <v>0</v>
      </c>
      <c r="F871">
        <v>46</v>
      </c>
      <c r="G871">
        <v>2</v>
      </c>
      <c r="J871">
        <v>3</v>
      </c>
      <c r="K871">
        <v>3</v>
      </c>
      <c r="N871">
        <v>4</v>
      </c>
      <c r="O871">
        <v>2</v>
      </c>
      <c r="Q871">
        <v>0</v>
      </c>
      <c r="R871">
        <v>3</v>
      </c>
      <c r="S871">
        <v>1</v>
      </c>
      <c r="U871" t="s">
        <v>38</v>
      </c>
      <c r="V871">
        <v>1</v>
      </c>
    </row>
    <row r="872" spans="2:22" x14ac:dyDescent="0.25">
      <c r="B872">
        <v>17</v>
      </c>
      <c r="C872">
        <f>IF(Adecco_India[[#This Row],[Attrition]]="Yes",1,0)</f>
        <v>0</v>
      </c>
      <c r="F872">
        <v>35</v>
      </c>
      <c r="G872">
        <v>1</v>
      </c>
      <c r="J872">
        <v>3</v>
      </c>
      <c r="K872">
        <v>3</v>
      </c>
      <c r="N872">
        <v>7</v>
      </c>
      <c r="O872">
        <v>1</v>
      </c>
      <c r="Q872">
        <v>1</v>
      </c>
      <c r="R872">
        <v>3</v>
      </c>
      <c r="S872">
        <v>1</v>
      </c>
      <c r="U872" t="s">
        <v>38</v>
      </c>
      <c r="V872">
        <v>1</v>
      </c>
    </row>
    <row r="873" spans="2:22" x14ac:dyDescent="0.25">
      <c r="B873">
        <v>17</v>
      </c>
      <c r="C873">
        <f>IF(Adecco_India[[#This Row],[Attrition]]="Yes",1,0)</f>
        <v>1</v>
      </c>
      <c r="F873">
        <v>24</v>
      </c>
      <c r="G873">
        <v>2</v>
      </c>
      <c r="J873">
        <v>1</v>
      </c>
      <c r="K873">
        <v>3</v>
      </c>
      <c r="N873">
        <v>1</v>
      </c>
      <c r="O873">
        <v>2</v>
      </c>
      <c r="Q873">
        <v>0</v>
      </c>
      <c r="R873">
        <v>3</v>
      </c>
      <c r="S873">
        <v>1</v>
      </c>
      <c r="U873" t="s">
        <v>38</v>
      </c>
      <c r="V873">
        <v>1</v>
      </c>
    </row>
    <row r="874" spans="2:22" x14ac:dyDescent="0.25">
      <c r="B874">
        <v>25</v>
      </c>
      <c r="C874">
        <f>IF(Adecco_India[[#This Row],[Attrition]]="Yes",1,0)</f>
        <v>0</v>
      </c>
      <c r="F874">
        <v>33</v>
      </c>
      <c r="G874">
        <v>3</v>
      </c>
      <c r="J874">
        <v>2</v>
      </c>
      <c r="K874">
        <v>3</v>
      </c>
      <c r="N874">
        <v>10</v>
      </c>
      <c r="O874">
        <v>3</v>
      </c>
      <c r="Q874">
        <v>0</v>
      </c>
      <c r="R874">
        <v>3</v>
      </c>
      <c r="S874">
        <v>1</v>
      </c>
      <c r="U874" t="s">
        <v>51</v>
      </c>
      <c r="V874">
        <v>1</v>
      </c>
    </row>
    <row r="875" spans="2:22" x14ac:dyDescent="0.25">
      <c r="B875">
        <v>6</v>
      </c>
      <c r="C875">
        <f>IF(Adecco_India[[#This Row],[Attrition]]="Yes",1,0)</f>
        <v>0</v>
      </c>
      <c r="F875">
        <v>36</v>
      </c>
      <c r="G875">
        <v>3</v>
      </c>
      <c r="J875">
        <v>3</v>
      </c>
      <c r="K875">
        <v>3</v>
      </c>
      <c r="N875">
        <v>7</v>
      </c>
      <c r="O875">
        <v>3</v>
      </c>
      <c r="Q875">
        <v>1</v>
      </c>
      <c r="R875">
        <v>3</v>
      </c>
      <c r="S875">
        <v>1</v>
      </c>
      <c r="U875" t="s">
        <v>38</v>
      </c>
      <c r="V875">
        <v>1</v>
      </c>
    </row>
    <row r="876" spans="2:22" x14ac:dyDescent="0.25">
      <c r="B876">
        <v>7</v>
      </c>
      <c r="C876">
        <f>IF(Adecco_India[[#This Row],[Attrition]]="Yes",1,0)</f>
        <v>0</v>
      </c>
      <c r="F876">
        <v>30</v>
      </c>
      <c r="G876">
        <v>3</v>
      </c>
      <c r="J876">
        <v>2</v>
      </c>
      <c r="K876">
        <v>3</v>
      </c>
      <c r="N876">
        <v>10</v>
      </c>
      <c r="O876">
        <v>3</v>
      </c>
      <c r="Q876">
        <v>8</v>
      </c>
      <c r="R876">
        <v>3</v>
      </c>
      <c r="S876">
        <v>1</v>
      </c>
      <c r="U876" t="s">
        <v>38</v>
      </c>
      <c r="V876">
        <v>1</v>
      </c>
    </row>
    <row r="877" spans="2:22" x14ac:dyDescent="0.25">
      <c r="B877">
        <v>29</v>
      </c>
      <c r="C877">
        <f>IF(Adecco_India[[#This Row],[Attrition]]="Yes",1,0)</f>
        <v>0</v>
      </c>
      <c r="F877">
        <v>44</v>
      </c>
      <c r="G877">
        <v>4</v>
      </c>
      <c r="J877">
        <v>3</v>
      </c>
      <c r="K877">
        <v>4</v>
      </c>
      <c r="N877">
        <v>20</v>
      </c>
      <c r="O877">
        <v>4</v>
      </c>
      <c r="Q877">
        <v>13</v>
      </c>
      <c r="R877">
        <v>4</v>
      </c>
      <c r="S877">
        <v>1</v>
      </c>
      <c r="U877" t="s">
        <v>49</v>
      </c>
      <c r="V877">
        <v>1</v>
      </c>
    </row>
    <row r="878" spans="2:22" x14ac:dyDescent="0.25">
      <c r="B878">
        <v>21</v>
      </c>
      <c r="C878">
        <f>IF(Adecco_India[[#This Row],[Attrition]]="Yes",1,0)</f>
        <v>0</v>
      </c>
      <c r="F878">
        <v>20</v>
      </c>
      <c r="G878">
        <v>4</v>
      </c>
      <c r="J878">
        <v>3</v>
      </c>
      <c r="K878">
        <v>3</v>
      </c>
      <c r="N878">
        <v>2</v>
      </c>
      <c r="O878">
        <v>4</v>
      </c>
      <c r="Q878">
        <v>2</v>
      </c>
      <c r="R878">
        <v>3</v>
      </c>
      <c r="S878">
        <v>1</v>
      </c>
      <c r="U878" t="s">
        <v>59</v>
      </c>
      <c r="V878">
        <v>1</v>
      </c>
    </row>
    <row r="879" spans="2:22" x14ac:dyDescent="0.25">
      <c r="B879">
        <v>2</v>
      </c>
      <c r="C879">
        <f>IF(Adecco_India[[#This Row],[Attrition]]="Yes",1,0)</f>
        <v>0</v>
      </c>
      <c r="F879">
        <v>46</v>
      </c>
      <c r="G879">
        <v>4</v>
      </c>
      <c r="J879">
        <v>2</v>
      </c>
      <c r="K879">
        <v>3</v>
      </c>
      <c r="N879">
        <v>6</v>
      </c>
      <c r="O879">
        <v>4</v>
      </c>
      <c r="Q879">
        <v>1</v>
      </c>
      <c r="R879">
        <v>3</v>
      </c>
      <c r="S879">
        <v>1</v>
      </c>
      <c r="U879" t="s">
        <v>60</v>
      </c>
      <c r="V879">
        <v>1</v>
      </c>
    </row>
    <row r="880" spans="2:22" x14ac:dyDescent="0.25">
      <c r="B880">
        <v>2</v>
      </c>
      <c r="C880">
        <f>IF(Adecco_India[[#This Row],[Attrition]]="Yes",1,0)</f>
        <v>0</v>
      </c>
      <c r="F880">
        <v>42</v>
      </c>
      <c r="G880">
        <v>1</v>
      </c>
      <c r="J880">
        <v>4</v>
      </c>
      <c r="K880">
        <v>3</v>
      </c>
      <c r="N880">
        <v>4</v>
      </c>
      <c r="O880">
        <v>1</v>
      </c>
      <c r="Q880">
        <v>0</v>
      </c>
      <c r="R880">
        <v>3</v>
      </c>
      <c r="S880">
        <v>1</v>
      </c>
      <c r="U880" t="s">
        <v>51</v>
      </c>
      <c r="V880">
        <v>1</v>
      </c>
    </row>
    <row r="881" spans="2:22" x14ac:dyDescent="0.25">
      <c r="B881">
        <v>7</v>
      </c>
      <c r="C881">
        <f>IF(Adecco_India[[#This Row],[Attrition]]="Yes",1,0)</f>
        <v>0</v>
      </c>
      <c r="F881">
        <v>60</v>
      </c>
      <c r="G881">
        <v>4</v>
      </c>
      <c r="J881">
        <v>3</v>
      </c>
      <c r="K881">
        <v>3</v>
      </c>
      <c r="N881">
        <v>11</v>
      </c>
      <c r="O881">
        <v>4</v>
      </c>
      <c r="Q881">
        <v>1</v>
      </c>
      <c r="R881">
        <v>3</v>
      </c>
      <c r="S881">
        <v>1</v>
      </c>
      <c r="U881" t="s">
        <v>59</v>
      </c>
      <c r="V881">
        <v>1</v>
      </c>
    </row>
    <row r="882" spans="2:22" x14ac:dyDescent="0.25">
      <c r="B882">
        <v>13</v>
      </c>
      <c r="C882">
        <f>IF(Adecco_India[[#This Row],[Attrition]]="Yes",1,0)</f>
        <v>0</v>
      </c>
      <c r="F882">
        <v>32</v>
      </c>
      <c r="G882">
        <v>2</v>
      </c>
      <c r="J882">
        <v>3</v>
      </c>
      <c r="K882">
        <v>4</v>
      </c>
      <c r="N882">
        <v>2</v>
      </c>
      <c r="O882">
        <v>2</v>
      </c>
      <c r="Q882">
        <v>2</v>
      </c>
      <c r="R882">
        <v>4</v>
      </c>
      <c r="S882">
        <v>1</v>
      </c>
      <c r="U882" t="s">
        <v>49</v>
      </c>
      <c r="V882">
        <v>1</v>
      </c>
    </row>
    <row r="883" spans="2:22" x14ac:dyDescent="0.25">
      <c r="B883">
        <v>2</v>
      </c>
      <c r="C883">
        <f>IF(Adecco_India[[#This Row],[Attrition]]="Yes",1,0)</f>
        <v>0</v>
      </c>
      <c r="F883">
        <v>32</v>
      </c>
      <c r="G883">
        <v>3</v>
      </c>
      <c r="J883">
        <v>3</v>
      </c>
      <c r="K883">
        <v>3</v>
      </c>
      <c r="N883">
        <v>8</v>
      </c>
      <c r="O883">
        <v>3</v>
      </c>
      <c r="Q883">
        <v>0</v>
      </c>
      <c r="R883">
        <v>3</v>
      </c>
      <c r="S883">
        <v>1</v>
      </c>
      <c r="U883" t="s">
        <v>38</v>
      </c>
      <c r="V883">
        <v>1</v>
      </c>
    </row>
    <row r="884" spans="2:22" x14ac:dyDescent="0.25">
      <c r="B884">
        <v>1</v>
      </c>
      <c r="C884">
        <f>IF(Adecco_India[[#This Row],[Attrition]]="Yes",1,0)</f>
        <v>0</v>
      </c>
      <c r="F884">
        <v>36</v>
      </c>
      <c r="G884">
        <v>1</v>
      </c>
      <c r="J884">
        <v>3</v>
      </c>
      <c r="K884">
        <v>4</v>
      </c>
      <c r="N884">
        <v>7</v>
      </c>
      <c r="O884">
        <v>1</v>
      </c>
      <c r="Q884">
        <v>7</v>
      </c>
      <c r="R884">
        <v>4</v>
      </c>
      <c r="S884">
        <v>1</v>
      </c>
      <c r="U884" t="s">
        <v>60</v>
      </c>
      <c r="V884">
        <v>1</v>
      </c>
    </row>
    <row r="885" spans="2:22" x14ac:dyDescent="0.25">
      <c r="B885">
        <v>9</v>
      </c>
      <c r="C885">
        <f>IF(Adecco_India[[#This Row],[Attrition]]="Yes",1,0)</f>
        <v>0</v>
      </c>
      <c r="F885">
        <v>33</v>
      </c>
      <c r="G885">
        <v>4</v>
      </c>
      <c r="J885">
        <v>3</v>
      </c>
      <c r="K885">
        <v>3</v>
      </c>
      <c r="N885">
        <v>14</v>
      </c>
      <c r="O885">
        <v>4</v>
      </c>
      <c r="Q885">
        <v>4</v>
      </c>
      <c r="R885">
        <v>3</v>
      </c>
      <c r="S885">
        <v>1</v>
      </c>
      <c r="U885" t="s">
        <v>51</v>
      </c>
      <c r="V885">
        <v>1</v>
      </c>
    </row>
    <row r="886" spans="2:22" x14ac:dyDescent="0.25">
      <c r="B886">
        <v>10</v>
      </c>
      <c r="C886">
        <f>IF(Adecco_India[[#This Row],[Attrition]]="Yes",1,0)</f>
        <v>0</v>
      </c>
      <c r="F886">
        <v>40</v>
      </c>
      <c r="G886">
        <v>2</v>
      </c>
      <c r="J886">
        <v>4</v>
      </c>
      <c r="K886">
        <v>3</v>
      </c>
      <c r="N886">
        <v>5</v>
      </c>
      <c r="O886">
        <v>2</v>
      </c>
      <c r="Q886">
        <v>1</v>
      </c>
      <c r="R886">
        <v>3</v>
      </c>
      <c r="S886">
        <v>1</v>
      </c>
      <c r="U886" t="s">
        <v>60</v>
      </c>
      <c r="V886">
        <v>1</v>
      </c>
    </row>
    <row r="887" spans="2:22" x14ac:dyDescent="0.25">
      <c r="B887">
        <v>10</v>
      </c>
      <c r="C887">
        <f>IF(Adecco_India[[#This Row],[Attrition]]="Yes",1,0)</f>
        <v>0</v>
      </c>
      <c r="F887">
        <v>25</v>
      </c>
      <c r="G887">
        <v>4</v>
      </c>
      <c r="J887">
        <v>3</v>
      </c>
      <c r="K887">
        <v>3</v>
      </c>
      <c r="N887">
        <v>4</v>
      </c>
      <c r="O887">
        <v>4</v>
      </c>
      <c r="Q887">
        <v>1</v>
      </c>
      <c r="R887">
        <v>3</v>
      </c>
      <c r="S887">
        <v>1</v>
      </c>
      <c r="U887" t="s">
        <v>38</v>
      </c>
      <c r="V887">
        <v>1</v>
      </c>
    </row>
    <row r="888" spans="2:22" x14ac:dyDescent="0.25">
      <c r="B888">
        <v>1</v>
      </c>
      <c r="C888">
        <f>IF(Adecco_India[[#This Row],[Attrition]]="Yes",1,0)</f>
        <v>0</v>
      </c>
      <c r="F888">
        <v>30</v>
      </c>
      <c r="G888">
        <v>2</v>
      </c>
      <c r="J888">
        <v>3</v>
      </c>
      <c r="K888">
        <v>4</v>
      </c>
      <c r="N888">
        <v>11</v>
      </c>
      <c r="O888">
        <v>2</v>
      </c>
      <c r="Q888">
        <v>5</v>
      </c>
      <c r="R888">
        <v>4</v>
      </c>
      <c r="S888">
        <v>1</v>
      </c>
      <c r="U888" t="s">
        <v>51</v>
      </c>
      <c r="V888">
        <v>1</v>
      </c>
    </row>
    <row r="889" spans="2:22" x14ac:dyDescent="0.25">
      <c r="B889">
        <v>26</v>
      </c>
      <c r="C889">
        <f>IF(Adecco_India[[#This Row],[Attrition]]="Yes",1,0)</f>
        <v>0</v>
      </c>
      <c r="F889">
        <v>42</v>
      </c>
      <c r="G889">
        <v>1</v>
      </c>
      <c r="J889">
        <v>3</v>
      </c>
      <c r="K889">
        <v>3</v>
      </c>
      <c r="N889">
        <v>1</v>
      </c>
      <c r="O889">
        <v>1</v>
      </c>
      <c r="Q889">
        <v>0</v>
      </c>
      <c r="R889">
        <v>3</v>
      </c>
      <c r="S889">
        <v>1</v>
      </c>
      <c r="U889" t="s">
        <v>51</v>
      </c>
      <c r="V889">
        <v>1</v>
      </c>
    </row>
    <row r="890" spans="2:22" x14ac:dyDescent="0.25">
      <c r="B890">
        <v>8</v>
      </c>
      <c r="C890">
        <f>IF(Adecco_India[[#This Row],[Attrition]]="Yes",1,0)</f>
        <v>0</v>
      </c>
      <c r="F890">
        <v>35</v>
      </c>
      <c r="G890">
        <v>4</v>
      </c>
      <c r="J890">
        <v>2</v>
      </c>
      <c r="K890">
        <v>3</v>
      </c>
      <c r="N890">
        <v>13</v>
      </c>
      <c r="O890">
        <v>4</v>
      </c>
      <c r="Q890">
        <v>4</v>
      </c>
      <c r="R890">
        <v>3</v>
      </c>
      <c r="S890">
        <v>1</v>
      </c>
      <c r="U890" t="s">
        <v>59</v>
      </c>
      <c r="V890">
        <v>1</v>
      </c>
    </row>
    <row r="891" spans="2:22" x14ac:dyDescent="0.25">
      <c r="B891">
        <v>14</v>
      </c>
      <c r="C891">
        <f>IF(Adecco_India[[#This Row],[Attrition]]="Yes",1,0)</f>
        <v>0</v>
      </c>
      <c r="F891">
        <v>27</v>
      </c>
      <c r="G891">
        <v>1</v>
      </c>
      <c r="J891">
        <v>2</v>
      </c>
      <c r="K891">
        <v>3</v>
      </c>
      <c r="N891">
        <v>9</v>
      </c>
      <c r="O891">
        <v>1</v>
      </c>
      <c r="Q891">
        <v>6</v>
      </c>
      <c r="R891">
        <v>3</v>
      </c>
      <c r="S891">
        <v>1</v>
      </c>
      <c r="U891" t="s">
        <v>38</v>
      </c>
      <c r="V891">
        <v>1</v>
      </c>
    </row>
    <row r="892" spans="2:22" x14ac:dyDescent="0.25">
      <c r="B892">
        <v>1</v>
      </c>
      <c r="C892">
        <f>IF(Adecco_India[[#This Row],[Attrition]]="Yes",1,0)</f>
        <v>0</v>
      </c>
      <c r="F892">
        <v>54</v>
      </c>
      <c r="G892">
        <v>3</v>
      </c>
      <c r="J892">
        <v>1</v>
      </c>
      <c r="K892">
        <v>3</v>
      </c>
      <c r="N892">
        <v>5</v>
      </c>
      <c r="O892">
        <v>3</v>
      </c>
      <c r="Q892">
        <v>1</v>
      </c>
      <c r="R892">
        <v>3</v>
      </c>
      <c r="S892">
        <v>1</v>
      </c>
      <c r="U892" t="s">
        <v>38</v>
      </c>
      <c r="V892">
        <v>1</v>
      </c>
    </row>
    <row r="893" spans="2:22" x14ac:dyDescent="0.25">
      <c r="B893">
        <v>2</v>
      </c>
      <c r="C893">
        <f>IF(Adecco_India[[#This Row],[Attrition]]="Yes",1,0)</f>
        <v>0</v>
      </c>
      <c r="F893">
        <v>44</v>
      </c>
      <c r="G893">
        <v>4</v>
      </c>
      <c r="J893">
        <v>3</v>
      </c>
      <c r="K893">
        <v>3</v>
      </c>
      <c r="N893">
        <v>10</v>
      </c>
      <c r="O893">
        <v>4</v>
      </c>
      <c r="Q893">
        <v>7</v>
      </c>
      <c r="R893">
        <v>3</v>
      </c>
      <c r="S893">
        <v>1</v>
      </c>
      <c r="U893" t="s">
        <v>38</v>
      </c>
      <c r="V893">
        <v>1</v>
      </c>
    </row>
    <row r="894" spans="2:22" x14ac:dyDescent="0.25">
      <c r="B894">
        <v>10</v>
      </c>
      <c r="C894">
        <f>IF(Adecco_India[[#This Row],[Attrition]]="Yes",1,0)</f>
        <v>1</v>
      </c>
      <c r="F894">
        <v>19</v>
      </c>
      <c r="G894">
        <v>2</v>
      </c>
      <c r="J894">
        <v>4</v>
      </c>
      <c r="K894">
        <v>4</v>
      </c>
      <c r="N894">
        <v>1</v>
      </c>
      <c r="O894">
        <v>2</v>
      </c>
      <c r="Q894">
        <v>0</v>
      </c>
      <c r="R894">
        <v>4</v>
      </c>
      <c r="S894">
        <v>1</v>
      </c>
      <c r="U894" t="s">
        <v>51</v>
      </c>
      <c r="V894">
        <v>1</v>
      </c>
    </row>
    <row r="895" spans="2:22" x14ac:dyDescent="0.25">
      <c r="B895">
        <v>1</v>
      </c>
      <c r="C895">
        <f>IF(Adecco_India[[#This Row],[Attrition]]="Yes",1,0)</f>
        <v>0</v>
      </c>
      <c r="F895">
        <v>29</v>
      </c>
      <c r="G895">
        <v>4</v>
      </c>
      <c r="J895">
        <v>3</v>
      </c>
      <c r="K895">
        <v>3</v>
      </c>
      <c r="N895">
        <v>3</v>
      </c>
      <c r="O895">
        <v>4</v>
      </c>
      <c r="Q895">
        <v>1</v>
      </c>
      <c r="R895">
        <v>3</v>
      </c>
      <c r="S895">
        <v>1</v>
      </c>
      <c r="U895" t="s">
        <v>38</v>
      </c>
      <c r="V895">
        <v>1</v>
      </c>
    </row>
    <row r="896" spans="2:22" x14ac:dyDescent="0.25">
      <c r="B896">
        <v>3</v>
      </c>
      <c r="C896">
        <f>IF(Adecco_India[[#This Row],[Attrition]]="Yes",1,0)</f>
        <v>0</v>
      </c>
      <c r="F896">
        <v>54</v>
      </c>
      <c r="G896">
        <v>4</v>
      </c>
      <c r="J896">
        <v>3</v>
      </c>
      <c r="K896">
        <v>3</v>
      </c>
      <c r="N896">
        <v>10</v>
      </c>
      <c r="O896">
        <v>4</v>
      </c>
      <c r="Q896">
        <v>0</v>
      </c>
      <c r="R896">
        <v>3</v>
      </c>
      <c r="S896">
        <v>1</v>
      </c>
      <c r="U896" t="s">
        <v>38</v>
      </c>
      <c r="V896">
        <v>1</v>
      </c>
    </row>
    <row r="897" spans="2:22" x14ac:dyDescent="0.25">
      <c r="B897">
        <v>11</v>
      </c>
      <c r="C897">
        <f>IF(Adecco_India[[#This Row],[Attrition]]="Yes",1,0)</f>
        <v>0</v>
      </c>
      <c r="F897">
        <v>31</v>
      </c>
      <c r="G897">
        <v>1</v>
      </c>
      <c r="J897">
        <v>2</v>
      </c>
      <c r="K897">
        <v>3</v>
      </c>
      <c r="N897">
        <v>6</v>
      </c>
      <c r="O897">
        <v>1</v>
      </c>
      <c r="Q897">
        <v>0</v>
      </c>
      <c r="R897">
        <v>3</v>
      </c>
      <c r="S897">
        <v>1</v>
      </c>
      <c r="U897" t="s">
        <v>51</v>
      </c>
      <c r="V897">
        <v>1</v>
      </c>
    </row>
    <row r="898" spans="2:22" x14ac:dyDescent="0.25">
      <c r="B898">
        <v>24</v>
      </c>
      <c r="C898">
        <f>IF(Adecco_India[[#This Row],[Attrition]]="Yes",1,0)</f>
        <v>0</v>
      </c>
      <c r="F898">
        <v>31</v>
      </c>
      <c r="G898">
        <v>1</v>
      </c>
      <c r="J898">
        <v>3</v>
      </c>
      <c r="K898">
        <v>3</v>
      </c>
      <c r="N898">
        <v>10</v>
      </c>
      <c r="O898">
        <v>1</v>
      </c>
      <c r="Q898">
        <v>1</v>
      </c>
      <c r="R898">
        <v>3</v>
      </c>
      <c r="S898">
        <v>1</v>
      </c>
      <c r="U898" t="s">
        <v>51</v>
      </c>
      <c r="V898">
        <v>1</v>
      </c>
    </row>
    <row r="899" spans="2:22" x14ac:dyDescent="0.25">
      <c r="B899">
        <v>3</v>
      </c>
      <c r="C899">
        <f>IF(Adecco_India[[#This Row],[Attrition]]="Yes",1,0)</f>
        <v>0</v>
      </c>
      <c r="F899">
        <v>59</v>
      </c>
      <c r="G899">
        <v>4</v>
      </c>
      <c r="J899">
        <v>3</v>
      </c>
      <c r="K899">
        <v>3</v>
      </c>
      <c r="N899">
        <v>6</v>
      </c>
      <c r="O899">
        <v>4</v>
      </c>
      <c r="Q899">
        <v>0</v>
      </c>
      <c r="R899">
        <v>3</v>
      </c>
      <c r="S899">
        <v>1</v>
      </c>
      <c r="U899" t="s">
        <v>38</v>
      </c>
      <c r="V899">
        <v>1</v>
      </c>
    </row>
    <row r="900" spans="2:22" x14ac:dyDescent="0.25">
      <c r="B900">
        <v>3</v>
      </c>
      <c r="C900">
        <f>IF(Adecco_India[[#This Row],[Attrition]]="Yes",1,0)</f>
        <v>0</v>
      </c>
      <c r="F900">
        <v>43</v>
      </c>
      <c r="G900">
        <v>4</v>
      </c>
      <c r="J900">
        <v>3</v>
      </c>
      <c r="K900">
        <v>3</v>
      </c>
      <c r="N900">
        <v>8</v>
      </c>
      <c r="O900">
        <v>4</v>
      </c>
      <c r="Q900">
        <v>0</v>
      </c>
      <c r="R900">
        <v>3</v>
      </c>
      <c r="S900">
        <v>1</v>
      </c>
      <c r="U900" t="s">
        <v>38</v>
      </c>
      <c r="V900">
        <v>1</v>
      </c>
    </row>
    <row r="901" spans="2:22" x14ac:dyDescent="0.25">
      <c r="B901">
        <v>4</v>
      </c>
      <c r="C901">
        <f>IF(Adecco_India[[#This Row],[Attrition]]="Yes",1,0)</f>
        <v>0</v>
      </c>
      <c r="F901">
        <v>49</v>
      </c>
      <c r="G901">
        <v>3</v>
      </c>
      <c r="J901">
        <v>4</v>
      </c>
      <c r="K901">
        <v>3</v>
      </c>
      <c r="N901">
        <v>1</v>
      </c>
      <c r="O901">
        <v>3</v>
      </c>
      <c r="Q901">
        <v>0</v>
      </c>
      <c r="R901">
        <v>3</v>
      </c>
      <c r="S901">
        <v>1</v>
      </c>
      <c r="U901" t="s">
        <v>51</v>
      </c>
      <c r="V901">
        <v>1</v>
      </c>
    </row>
    <row r="902" spans="2:22" x14ac:dyDescent="0.25">
      <c r="B902">
        <v>3</v>
      </c>
      <c r="C902">
        <f>IF(Adecco_India[[#This Row],[Attrition]]="Yes",1,0)</f>
        <v>0</v>
      </c>
      <c r="F902">
        <v>36</v>
      </c>
      <c r="G902">
        <v>2</v>
      </c>
      <c r="J902">
        <v>2</v>
      </c>
      <c r="K902">
        <v>3</v>
      </c>
      <c r="N902">
        <v>11</v>
      </c>
      <c r="O902">
        <v>2</v>
      </c>
      <c r="Q902">
        <v>0</v>
      </c>
      <c r="R902">
        <v>3</v>
      </c>
      <c r="S902">
        <v>1</v>
      </c>
      <c r="U902" t="s">
        <v>60</v>
      </c>
      <c r="V902">
        <v>1</v>
      </c>
    </row>
    <row r="903" spans="2:22" x14ac:dyDescent="0.25">
      <c r="B903">
        <v>2</v>
      </c>
      <c r="C903">
        <f>IF(Adecco_India[[#This Row],[Attrition]]="Yes",1,0)</f>
        <v>0</v>
      </c>
      <c r="F903">
        <v>48</v>
      </c>
      <c r="G903">
        <v>2</v>
      </c>
      <c r="J903">
        <v>2</v>
      </c>
      <c r="K903">
        <v>3</v>
      </c>
      <c r="N903">
        <v>1</v>
      </c>
      <c r="O903">
        <v>2</v>
      </c>
      <c r="Q903">
        <v>0</v>
      </c>
      <c r="R903">
        <v>3</v>
      </c>
      <c r="S903">
        <v>1</v>
      </c>
      <c r="U903" t="s">
        <v>60</v>
      </c>
      <c r="V903">
        <v>1</v>
      </c>
    </row>
    <row r="904" spans="2:22" x14ac:dyDescent="0.25">
      <c r="B904">
        <v>4</v>
      </c>
      <c r="C904">
        <f>IF(Adecco_India[[#This Row],[Attrition]]="Yes",1,0)</f>
        <v>0</v>
      </c>
      <c r="F904">
        <v>27</v>
      </c>
      <c r="G904">
        <v>3</v>
      </c>
      <c r="J904">
        <v>3</v>
      </c>
      <c r="K904">
        <v>3</v>
      </c>
      <c r="N904">
        <v>5</v>
      </c>
      <c r="O904">
        <v>3</v>
      </c>
      <c r="Q904">
        <v>0</v>
      </c>
      <c r="R904">
        <v>3</v>
      </c>
      <c r="S904">
        <v>1</v>
      </c>
      <c r="U904" t="s">
        <v>38</v>
      </c>
      <c r="V904">
        <v>1</v>
      </c>
    </row>
    <row r="905" spans="2:22" x14ac:dyDescent="0.25">
      <c r="B905">
        <v>7</v>
      </c>
      <c r="C905">
        <f>IF(Adecco_India[[#This Row],[Attrition]]="Yes",1,0)</f>
        <v>0</v>
      </c>
      <c r="F905">
        <v>29</v>
      </c>
      <c r="G905">
        <v>4</v>
      </c>
      <c r="J905">
        <v>3</v>
      </c>
      <c r="K905">
        <v>3</v>
      </c>
      <c r="N905">
        <v>6</v>
      </c>
      <c r="O905">
        <v>4</v>
      </c>
      <c r="Q905">
        <v>1</v>
      </c>
      <c r="R905">
        <v>3</v>
      </c>
      <c r="S905">
        <v>1</v>
      </c>
      <c r="U905" t="s">
        <v>38</v>
      </c>
      <c r="V905">
        <v>1</v>
      </c>
    </row>
    <row r="906" spans="2:22" x14ac:dyDescent="0.25">
      <c r="B906">
        <v>1</v>
      </c>
      <c r="C906">
        <f>IF(Adecco_India[[#This Row],[Attrition]]="Yes",1,0)</f>
        <v>0</v>
      </c>
      <c r="F906">
        <v>48</v>
      </c>
      <c r="G906">
        <v>4</v>
      </c>
      <c r="J906">
        <v>4</v>
      </c>
      <c r="K906">
        <v>3</v>
      </c>
      <c r="N906">
        <v>1</v>
      </c>
      <c r="O906">
        <v>4</v>
      </c>
      <c r="Q906">
        <v>0</v>
      </c>
      <c r="R906">
        <v>3</v>
      </c>
      <c r="S906">
        <v>1</v>
      </c>
      <c r="U906" t="s">
        <v>38</v>
      </c>
      <c r="V906">
        <v>1</v>
      </c>
    </row>
    <row r="907" spans="2:22" x14ac:dyDescent="0.25">
      <c r="B907">
        <v>1</v>
      </c>
      <c r="C907">
        <f>IF(Adecco_India[[#This Row],[Attrition]]="Yes",1,0)</f>
        <v>0</v>
      </c>
      <c r="F907">
        <v>29</v>
      </c>
      <c r="G907">
        <v>4</v>
      </c>
      <c r="J907">
        <v>2</v>
      </c>
      <c r="K907">
        <v>3</v>
      </c>
      <c r="N907">
        <v>7</v>
      </c>
      <c r="O907">
        <v>4</v>
      </c>
      <c r="Q907">
        <v>1</v>
      </c>
      <c r="R907">
        <v>3</v>
      </c>
      <c r="S907">
        <v>1</v>
      </c>
      <c r="U907" t="s">
        <v>38</v>
      </c>
      <c r="V907">
        <v>1</v>
      </c>
    </row>
    <row r="908" spans="2:22" x14ac:dyDescent="0.25">
      <c r="B908">
        <v>20</v>
      </c>
      <c r="C908">
        <f>IF(Adecco_India[[#This Row],[Attrition]]="Yes",1,0)</f>
        <v>0</v>
      </c>
      <c r="F908">
        <v>34</v>
      </c>
      <c r="G908">
        <v>3</v>
      </c>
      <c r="J908">
        <v>2</v>
      </c>
      <c r="K908">
        <v>3</v>
      </c>
      <c r="N908">
        <v>1</v>
      </c>
      <c r="O908">
        <v>3</v>
      </c>
      <c r="Q908">
        <v>0</v>
      </c>
      <c r="R908">
        <v>3</v>
      </c>
      <c r="S908">
        <v>1</v>
      </c>
      <c r="U908" t="s">
        <v>60</v>
      </c>
      <c r="V908">
        <v>1</v>
      </c>
    </row>
    <row r="909" spans="2:22" x14ac:dyDescent="0.25">
      <c r="B909">
        <v>5</v>
      </c>
      <c r="C909">
        <f>IF(Adecco_India[[#This Row],[Attrition]]="Yes",1,0)</f>
        <v>0</v>
      </c>
      <c r="F909">
        <v>44</v>
      </c>
      <c r="G909">
        <v>2</v>
      </c>
      <c r="J909">
        <v>3</v>
      </c>
      <c r="K909">
        <v>3</v>
      </c>
      <c r="N909">
        <v>22</v>
      </c>
      <c r="O909">
        <v>2</v>
      </c>
      <c r="Q909">
        <v>3</v>
      </c>
      <c r="R909">
        <v>3</v>
      </c>
      <c r="S909">
        <v>1</v>
      </c>
      <c r="U909" t="s">
        <v>59</v>
      </c>
      <c r="V909">
        <v>1</v>
      </c>
    </row>
    <row r="910" spans="2:22" x14ac:dyDescent="0.25">
      <c r="B910">
        <v>10</v>
      </c>
      <c r="C910">
        <f>IF(Adecco_India[[#This Row],[Attrition]]="Yes",1,0)</f>
        <v>0</v>
      </c>
      <c r="F910">
        <v>33</v>
      </c>
      <c r="G910">
        <v>3</v>
      </c>
      <c r="J910">
        <v>3</v>
      </c>
      <c r="K910">
        <v>3</v>
      </c>
      <c r="N910">
        <v>9</v>
      </c>
      <c r="O910">
        <v>3</v>
      </c>
      <c r="Q910">
        <v>0</v>
      </c>
      <c r="R910">
        <v>3</v>
      </c>
      <c r="S910">
        <v>1</v>
      </c>
      <c r="U910" t="s">
        <v>59</v>
      </c>
      <c r="V910">
        <v>1</v>
      </c>
    </row>
    <row r="911" spans="2:22" x14ac:dyDescent="0.25">
      <c r="B911">
        <v>25</v>
      </c>
      <c r="C911">
        <f>IF(Adecco_India[[#This Row],[Attrition]]="Yes",1,0)</f>
        <v>0</v>
      </c>
      <c r="F911">
        <v>19</v>
      </c>
      <c r="G911">
        <v>4</v>
      </c>
      <c r="J911">
        <v>3</v>
      </c>
      <c r="K911">
        <v>3</v>
      </c>
      <c r="N911">
        <v>1</v>
      </c>
      <c r="O911">
        <v>4</v>
      </c>
      <c r="Q911">
        <v>0</v>
      </c>
      <c r="R911">
        <v>3</v>
      </c>
      <c r="S911">
        <v>1</v>
      </c>
      <c r="U911" t="s">
        <v>38</v>
      </c>
      <c r="V911">
        <v>1</v>
      </c>
    </row>
    <row r="912" spans="2:22" x14ac:dyDescent="0.25">
      <c r="B912">
        <v>1</v>
      </c>
      <c r="C912">
        <f>IF(Adecco_India[[#This Row],[Attrition]]="Yes",1,0)</f>
        <v>0</v>
      </c>
      <c r="F912">
        <v>23</v>
      </c>
      <c r="G912">
        <v>3</v>
      </c>
      <c r="J912">
        <v>3</v>
      </c>
      <c r="K912">
        <v>4</v>
      </c>
      <c r="N912">
        <v>1</v>
      </c>
      <c r="O912">
        <v>3</v>
      </c>
      <c r="Q912">
        <v>0</v>
      </c>
      <c r="R912">
        <v>4</v>
      </c>
      <c r="S912">
        <v>1</v>
      </c>
      <c r="U912" t="s">
        <v>38</v>
      </c>
      <c r="V912">
        <v>1</v>
      </c>
    </row>
    <row r="913" spans="2:22" x14ac:dyDescent="0.25">
      <c r="B913">
        <v>24</v>
      </c>
      <c r="C913">
        <f>IF(Adecco_India[[#This Row],[Attrition]]="Yes",1,0)</f>
        <v>1</v>
      </c>
      <c r="F913">
        <v>25</v>
      </c>
      <c r="G913">
        <v>4</v>
      </c>
      <c r="J913">
        <v>3</v>
      </c>
      <c r="K913">
        <v>3</v>
      </c>
      <c r="N913">
        <v>1</v>
      </c>
      <c r="O913">
        <v>4</v>
      </c>
      <c r="Q913">
        <v>1</v>
      </c>
      <c r="R913">
        <v>3</v>
      </c>
      <c r="S913">
        <v>1</v>
      </c>
      <c r="U913" t="s">
        <v>38</v>
      </c>
      <c r="V913">
        <v>1</v>
      </c>
    </row>
    <row r="914" spans="2:22" x14ac:dyDescent="0.25">
      <c r="B914">
        <v>4</v>
      </c>
      <c r="C914">
        <f>IF(Adecco_India[[#This Row],[Attrition]]="Yes",1,0)</f>
        <v>0</v>
      </c>
      <c r="F914">
        <v>26</v>
      </c>
      <c r="G914">
        <v>4</v>
      </c>
      <c r="J914">
        <v>2</v>
      </c>
      <c r="K914">
        <v>4</v>
      </c>
      <c r="N914">
        <v>8</v>
      </c>
      <c r="O914">
        <v>4</v>
      </c>
      <c r="Q914">
        <v>2</v>
      </c>
      <c r="R914">
        <v>4</v>
      </c>
      <c r="S914">
        <v>1</v>
      </c>
      <c r="U914" t="s">
        <v>38</v>
      </c>
      <c r="V914">
        <v>1</v>
      </c>
    </row>
    <row r="915" spans="2:22" x14ac:dyDescent="0.25">
      <c r="B915">
        <v>2</v>
      </c>
      <c r="C915">
        <f>IF(Adecco_India[[#This Row],[Attrition]]="Yes",1,0)</f>
        <v>1</v>
      </c>
      <c r="F915">
        <v>45</v>
      </c>
      <c r="G915">
        <v>2</v>
      </c>
      <c r="J915">
        <v>3</v>
      </c>
      <c r="K915">
        <v>3</v>
      </c>
      <c r="N915">
        <v>24</v>
      </c>
      <c r="O915">
        <v>2</v>
      </c>
      <c r="Q915">
        <v>1</v>
      </c>
      <c r="R915">
        <v>3</v>
      </c>
      <c r="S915">
        <v>1</v>
      </c>
      <c r="U915" t="s">
        <v>59</v>
      </c>
      <c r="V915">
        <v>1</v>
      </c>
    </row>
    <row r="916" spans="2:22" x14ac:dyDescent="0.25">
      <c r="B916">
        <v>8</v>
      </c>
      <c r="C916">
        <f>IF(Adecco_India[[#This Row],[Attrition]]="Yes",1,0)</f>
        <v>0</v>
      </c>
      <c r="F916">
        <v>55</v>
      </c>
      <c r="G916">
        <v>2</v>
      </c>
      <c r="J916">
        <v>3</v>
      </c>
      <c r="K916">
        <v>3</v>
      </c>
      <c r="N916">
        <v>33</v>
      </c>
      <c r="O916">
        <v>2</v>
      </c>
      <c r="Q916">
        <v>15</v>
      </c>
      <c r="R916">
        <v>3</v>
      </c>
      <c r="S916">
        <v>1</v>
      </c>
      <c r="U916" t="s">
        <v>51</v>
      </c>
      <c r="V916">
        <v>1</v>
      </c>
    </row>
    <row r="917" spans="2:22" x14ac:dyDescent="0.25">
      <c r="B917">
        <v>10</v>
      </c>
      <c r="C917">
        <f>IF(Adecco_India[[#This Row],[Attrition]]="Yes",1,0)</f>
        <v>1</v>
      </c>
      <c r="F917">
        <v>21</v>
      </c>
      <c r="G917">
        <v>3</v>
      </c>
      <c r="J917">
        <v>1</v>
      </c>
      <c r="K917">
        <v>4</v>
      </c>
      <c r="N917">
        <v>2</v>
      </c>
      <c r="O917">
        <v>3</v>
      </c>
      <c r="Q917">
        <v>2</v>
      </c>
      <c r="R917">
        <v>4</v>
      </c>
      <c r="S917">
        <v>1</v>
      </c>
      <c r="U917" t="s">
        <v>38</v>
      </c>
      <c r="V917">
        <v>1</v>
      </c>
    </row>
    <row r="918" spans="2:22" x14ac:dyDescent="0.25">
      <c r="B918">
        <v>4</v>
      </c>
      <c r="C918">
        <f>IF(Adecco_India[[#This Row],[Attrition]]="Yes",1,0)</f>
        <v>0</v>
      </c>
      <c r="F918">
        <v>46</v>
      </c>
      <c r="G918">
        <v>2</v>
      </c>
      <c r="J918">
        <v>3</v>
      </c>
      <c r="K918">
        <v>3</v>
      </c>
      <c r="N918">
        <v>11</v>
      </c>
      <c r="O918">
        <v>2</v>
      </c>
      <c r="Q918">
        <v>0</v>
      </c>
      <c r="R918">
        <v>3</v>
      </c>
      <c r="S918">
        <v>1</v>
      </c>
      <c r="U918" t="s">
        <v>59</v>
      </c>
      <c r="V918">
        <v>1</v>
      </c>
    </row>
    <row r="919" spans="2:22" x14ac:dyDescent="0.25">
      <c r="B919">
        <v>2</v>
      </c>
      <c r="C919">
        <f>IF(Adecco_India[[#This Row],[Attrition]]="Yes",1,0)</f>
        <v>0</v>
      </c>
      <c r="F919">
        <v>34</v>
      </c>
      <c r="G919">
        <v>1</v>
      </c>
      <c r="J919">
        <v>3</v>
      </c>
      <c r="K919">
        <v>3</v>
      </c>
      <c r="N919">
        <v>3</v>
      </c>
      <c r="O919">
        <v>1</v>
      </c>
      <c r="Q919">
        <v>0</v>
      </c>
      <c r="R919">
        <v>3</v>
      </c>
      <c r="S919">
        <v>1</v>
      </c>
      <c r="U919" t="s">
        <v>59</v>
      </c>
      <c r="V919">
        <v>1</v>
      </c>
    </row>
    <row r="920" spans="2:22" x14ac:dyDescent="0.25">
      <c r="B920">
        <v>9</v>
      </c>
      <c r="C920">
        <f>IF(Adecco_India[[#This Row],[Attrition]]="Yes",1,0)</f>
        <v>0</v>
      </c>
      <c r="F920">
        <v>51</v>
      </c>
      <c r="G920">
        <v>2</v>
      </c>
      <c r="J920">
        <v>2</v>
      </c>
      <c r="K920">
        <v>4</v>
      </c>
      <c r="N920">
        <v>29</v>
      </c>
      <c r="O920">
        <v>2</v>
      </c>
      <c r="Q920">
        <v>11</v>
      </c>
      <c r="R920">
        <v>4</v>
      </c>
      <c r="S920">
        <v>1</v>
      </c>
      <c r="U920" t="s">
        <v>38</v>
      </c>
      <c r="V920">
        <v>1</v>
      </c>
    </row>
    <row r="921" spans="2:22" x14ac:dyDescent="0.25">
      <c r="B921">
        <v>18</v>
      </c>
      <c r="C921">
        <f>IF(Adecco_India[[#This Row],[Attrition]]="Yes",1,0)</f>
        <v>0</v>
      </c>
      <c r="F921">
        <v>59</v>
      </c>
      <c r="G921">
        <v>4</v>
      </c>
      <c r="J921">
        <v>2</v>
      </c>
      <c r="K921">
        <v>3</v>
      </c>
      <c r="N921">
        <v>9</v>
      </c>
      <c r="O921">
        <v>4</v>
      </c>
      <c r="Q921">
        <v>5</v>
      </c>
      <c r="R921">
        <v>3</v>
      </c>
      <c r="S921">
        <v>1</v>
      </c>
      <c r="U921" t="s">
        <v>51</v>
      </c>
      <c r="V921">
        <v>1</v>
      </c>
    </row>
    <row r="922" spans="2:22" x14ac:dyDescent="0.25">
      <c r="B922">
        <v>19</v>
      </c>
      <c r="C922">
        <f>IF(Adecco_India[[#This Row],[Attrition]]="Yes",1,0)</f>
        <v>0</v>
      </c>
      <c r="F922">
        <v>34</v>
      </c>
      <c r="G922">
        <v>2</v>
      </c>
      <c r="J922">
        <v>4</v>
      </c>
      <c r="K922">
        <v>3</v>
      </c>
      <c r="N922">
        <v>11</v>
      </c>
      <c r="O922">
        <v>2</v>
      </c>
      <c r="Q922">
        <v>5</v>
      </c>
      <c r="R922">
        <v>3</v>
      </c>
      <c r="S922">
        <v>1</v>
      </c>
      <c r="U922" t="s">
        <v>51</v>
      </c>
      <c r="V922">
        <v>1</v>
      </c>
    </row>
    <row r="923" spans="2:22" x14ac:dyDescent="0.25">
      <c r="B923">
        <v>1</v>
      </c>
      <c r="C923">
        <f>IF(Adecco_India[[#This Row],[Attrition]]="Yes",1,0)</f>
        <v>0</v>
      </c>
      <c r="F923">
        <v>28</v>
      </c>
      <c r="G923">
        <v>3</v>
      </c>
      <c r="J923">
        <v>2</v>
      </c>
      <c r="K923">
        <v>3</v>
      </c>
      <c r="N923">
        <v>4</v>
      </c>
      <c r="O923">
        <v>3</v>
      </c>
      <c r="Q923">
        <v>0</v>
      </c>
      <c r="R923">
        <v>3</v>
      </c>
      <c r="S923">
        <v>1</v>
      </c>
      <c r="U923" t="s">
        <v>51</v>
      </c>
      <c r="V923">
        <v>1</v>
      </c>
    </row>
    <row r="924" spans="2:22" x14ac:dyDescent="0.25">
      <c r="B924">
        <v>4</v>
      </c>
      <c r="C924">
        <f>IF(Adecco_India[[#This Row],[Attrition]]="Yes",1,0)</f>
        <v>0</v>
      </c>
      <c r="F924">
        <v>44</v>
      </c>
      <c r="G924">
        <v>1</v>
      </c>
      <c r="J924">
        <v>2</v>
      </c>
      <c r="K924">
        <v>3</v>
      </c>
      <c r="N924">
        <v>25</v>
      </c>
      <c r="O924">
        <v>1</v>
      </c>
      <c r="Q924">
        <v>14</v>
      </c>
      <c r="R924">
        <v>3</v>
      </c>
      <c r="S924">
        <v>1</v>
      </c>
      <c r="U924" t="s">
        <v>38</v>
      </c>
      <c r="V924">
        <v>1</v>
      </c>
    </row>
    <row r="925" spans="2:22" x14ac:dyDescent="0.25">
      <c r="B925">
        <v>11</v>
      </c>
      <c r="C925">
        <f>IF(Adecco_India[[#This Row],[Attrition]]="Yes",1,0)</f>
        <v>0</v>
      </c>
      <c r="F925">
        <v>34</v>
      </c>
      <c r="G925">
        <v>2</v>
      </c>
      <c r="J925">
        <v>4</v>
      </c>
      <c r="K925">
        <v>3</v>
      </c>
      <c r="N925">
        <v>10</v>
      </c>
      <c r="O925">
        <v>2</v>
      </c>
      <c r="Q925">
        <v>1</v>
      </c>
      <c r="R925">
        <v>3</v>
      </c>
      <c r="S925">
        <v>1</v>
      </c>
      <c r="U925" t="s">
        <v>38</v>
      </c>
      <c r="V925">
        <v>1</v>
      </c>
    </row>
    <row r="926" spans="2:22" x14ac:dyDescent="0.25">
      <c r="B926">
        <v>6</v>
      </c>
      <c r="C926">
        <f>IF(Adecco_India[[#This Row],[Attrition]]="Yes",1,0)</f>
        <v>0</v>
      </c>
      <c r="F926">
        <v>35</v>
      </c>
      <c r="G926">
        <v>3</v>
      </c>
      <c r="J926">
        <v>3</v>
      </c>
      <c r="K926">
        <v>3</v>
      </c>
      <c r="N926">
        <v>3</v>
      </c>
      <c r="O926">
        <v>3</v>
      </c>
      <c r="Q926">
        <v>2</v>
      </c>
      <c r="R926">
        <v>3</v>
      </c>
      <c r="S926">
        <v>1</v>
      </c>
      <c r="U926" t="s">
        <v>38</v>
      </c>
      <c r="V926">
        <v>1</v>
      </c>
    </row>
    <row r="927" spans="2:22" x14ac:dyDescent="0.25">
      <c r="B927">
        <v>7</v>
      </c>
      <c r="C927">
        <f>IF(Adecco_India[[#This Row],[Attrition]]="Yes",1,0)</f>
        <v>0</v>
      </c>
      <c r="F927">
        <v>42</v>
      </c>
      <c r="G927">
        <v>2</v>
      </c>
      <c r="J927">
        <v>3</v>
      </c>
      <c r="K927">
        <v>3</v>
      </c>
      <c r="N927">
        <v>1</v>
      </c>
      <c r="O927">
        <v>2</v>
      </c>
      <c r="Q927">
        <v>0</v>
      </c>
      <c r="R927">
        <v>3</v>
      </c>
      <c r="S927">
        <v>1</v>
      </c>
      <c r="U927" t="s">
        <v>51</v>
      </c>
      <c r="V927">
        <v>1</v>
      </c>
    </row>
    <row r="928" spans="2:22" x14ac:dyDescent="0.25">
      <c r="B928">
        <v>4</v>
      </c>
      <c r="C928">
        <f>IF(Adecco_India[[#This Row],[Attrition]]="Yes",1,0)</f>
        <v>0</v>
      </c>
      <c r="F928">
        <v>43</v>
      </c>
      <c r="G928">
        <v>4</v>
      </c>
      <c r="J928">
        <v>4</v>
      </c>
      <c r="K928">
        <v>3</v>
      </c>
      <c r="N928">
        <v>21</v>
      </c>
      <c r="O928">
        <v>4</v>
      </c>
      <c r="Q928">
        <v>15</v>
      </c>
      <c r="R928">
        <v>3</v>
      </c>
      <c r="S928">
        <v>1</v>
      </c>
      <c r="U928" t="s">
        <v>59</v>
      </c>
      <c r="V928">
        <v>1</v>
      </c>
    </row>
    <row r="929" spans="2:22" x14ac:dyDescent="0.25">
      <c r="B929">
        <v>2</v>
      </c>
      <c r="C929">
        <f>IF(Adecco_India[[#This Row],[Attrition]]="Yes",1,0)</f>
        <v>0</v>
      </c>
      <c r="F929">
        <v>36</v>
      </c>
      <c r="G929">
        <v>2</v>
      </c>
      <c r="J929">
        <v>3</v>
      </c>
      <c r="K929">
        <v>3</v>
      </c>
      <c r="N929">
        <v>16</v>
      </c>
      <c r="O929">
        <v>2</v>
      </c>
      <c r="Q929">
        <v>5</v>
      </c>
      <c r="R929">
        <v>3</v>
      </c>
      <c r="S929">
        <v>1</v>
      </c>
      <c r="U929" t="s">
        <v>38</v>
      </c>
      <c r="V929">
        <v>1</v>
      </c>
    </row>
    <row r="930" spans="2:22" x14ac:dyDescent="0.25">
      <c r="B930">
        <v>15</v>
      </c>
      <c r="C930">
        <f>IF(Adecco_India[[#This Row],[Attrition]]="Yes",1,0)</f>
        <v>1</v>
      </c>
      <c r="F930">
        <v>44</v>
      </c>
      <c r="G930">
        <v>4</v>
      </c>
      <c r="J930">
        <v>3</v>
      </c>
      <c r="K930">
        <v>3</v>
      </c>
      <c r="N930">
        <v>10</v>
      </c>
      <c r="O930">
        <v>4</v>
      </c>
      <c r="Q930">
        <v>0</v>
      </c>
      <c r="R930">
        <v>3</v>
      </c>
      <c r="S930">
        <v>1</v>
      </c>
      <c r="U930" t="s">
        <v>51</v>
      </c>
      <c r="V930">
        <v>1</v>
      </c>
    </row>
    <row r="931" spans="2:22" x14ac:dyDescent="0.25">
      <c r="B931">
        <v>2</v>
      </c>
      <c r="C931">
        <f>IF(Adecco_India[[#This Row],[Attrition]]="Yes",1,0)</f>
        <v>0</v>
      </c>
      <c r="F931">
        <v>28</v>
      </c>
      <c r="G931">
        <v>4</v>
      </c>
      <c r="J931">
        <v>3</v>
      </c>
      <c r="K931">
        <v>3</v>
      </c>
      <c r="N931">
        <v>2</v>
      </c>
      <c r="O931">
        <v>4</v>
      </c>
      <c r="Q931">
        <v>2</v>
      </c>
      <c r="R931">
        <v>3</v>
      </c>
      <c r="S931">
        <v>1</v>
      </c>
      <c r="U931" t="s">
        <v>38</v>
      </c>
      <c r="V931">
        <v>1</v>
      </c>
    </row>
    <row r="932" spans="2:22" x14ac:dyDescent="0.25">
      <c r="B932">
        <v>6</v>
      </c>
      <c r="C932">
        <f>IF(Adecco_India[[#This Row],[Attrition]]="Yes",1,0)</f>
        <v>0</v>
      </c>
      <c r="F932">
        <v>51</v>
      </c>
      <c r="G932">
        <v>3</v>
      </c>
      <c r="J932">
        <v>2</v>
      </c>
      <c r="K932">
        <v>3</v>
      </c>
      <c r="N932">
        <v>7</v>
      </c>
      <c r="O932">
        <v>3</v>
      </c>
      <c r="Q932">
        <v>7</v>
      </c>
      <c r="R932">
        <v>3</v>
      </c>
      <c r="S932">
        <v>1</v>
      </c>
      <c r="U932" t="s">
        <v>51</v>
      </c>
      <c r="V932">
        <v>1</v>
      </c>
    </row>
    <row r="933" spans="2:22" x14ac:dyDescent="0.25">
      <c r="B933">
        <v>9</v>
      </c>
      <c r="C933">
        <f>IF(Adecco_India[[#This Row],[Attrition]]="Yes",1,0)</f>
        <v>0</v>
      </c>
      <c r="F933">
        <v>30</v>
      </c>
      <c r="G933">
        <v>3</v>
      </c>
      <c r="J933">
        <v>3</v>
      </c>
      <c r="K933">
        <v>3</v>
      </c>
      <c r="N933">
        <v>8</v>
      </c>
      <c r="O933">
        <v>3</v>
      </c>
      <c r="Q933">
        <v>1</v>
      </c>
      <c r="R933">
        <v>3</v>
      </c>
      <c r="S933">
        <v>1</v>
      </c>
      <c r="U933" t="s">
        <v>51</v>
      </c>
      <c r="V933">
        <v>1</v>
      </c>
    </row>
    <row r="934" spans="2:22" x14ac:dyDescent="0.25">
      <c r="B934">
        <v>7</v>
      </c>
      <c r="C934">
        <f>IF(Adecco_India[[#This Row],[Attrition]]="Yes",1,0)</f>
        <v>1</v>
      </c>
      <c r="F934">
        <v>29</v>
      </c>
      <c r="G934">
        <v>3</v>
      </c>
      <c r="J934">
        <v>3</v>
      </c>
      <c r="K934">
        <v>3</v>
      </c>
      <c r="N934">
        <v>7</v>
      </c>
      <c r="O934">
        <v>3</v>
      </c>
      <c r="Q934">
        <v>7</v>
      </c>
      <c r="R934">
        <v>3</v>
      </c>
      <c r="S934">
        <v>1</v>
      </c>
      <c r="U934" t="s">
        <v>60</v>
      </c>
      <c r="V934">
        <v>1</v>
      </c>
    </row>
    <row r="935" spans="2:22" x14ac:dyDescent="0.25">
      <c r="B935">
        <v>1</v>
      </c>
      <c r="C935">
        <f>IF(Adecco_India[[#This Row],[Attrition]]="Yes",1,0)</f>
        <v>0</v>
      </c>
      <c r="F935">
        <v>28</v>
      </c>
      <c r="G935">
        <v>1</v>
      </c>
      <c r="J935">
        <v>2</v>
      </c>
      <c r="K935">
        <v>3</v>
      </c>
      <c r="N935">
        <v>3</v>
      </c>
      <c r="O935">
        <v>1</v>
      </c>
      <c r="Q935">
        <v>1</v>
      </c>
      <c r="R935">
        <v>3</v>
      </c>
      <c r="S935">
        <v>1</v>
      </c>
      <c r="U935" t="s">
        <v>60</v>
      </c>
      <c r="V935">
        <v>1</v>
      </c>
    </row>
    <row r="936" spans="2:22" x14ac:dyDescent="0.25">
      <c r="B936">
        <v>1</v>
      </c>
      <c r="C936">
        <f>IF(Adecco_India[[#This Row],[Attrition]]="Yes",1,0)</f>
        <v>0</v>
      </c>
      <c r="F936">
        <v>25</v>
      </c>
      <c r="G936">
        <v>2</v>
      </c>
      <c r="J936">
        <v>2</v>
      </c>
      <c r="K936">
        <v>3</v>
      </c>
      <c r="N936">
        <v>2</v>
      </c>
      <c r="O936">
        <v>2</v>
      </c>
      <c r="Q936">
        <v>2</v>
      </c>
      <c r="R936">
        <v>3</v>
      </c>
      <c r="S936">
        <v>1</v>
      </c>
      <c r="U936" t="s">
        <v>51</v>
      </c>
      <c r="V936">
        <v>1</v>
      </c>
    </row>
    <row r="937" spans="2:22" x14ac:dyDescent="0.25">
      <c r="B937">
        <v>8</v>
      </c>
      <c r="C937">
        <f>IF(Adecco_India[[#This Row],[Attrition]]="Yes",1,0)</f>
        <v>0</v>
      </c>
      <c r="F937">
        <v>32</v>
      </c>
      <c r="G937">
        <v>4</v>
      </c>
      <c r="J937">
        <v>4</v>
      </c>
      <c r="K937">
        <v>3</v>
      </c>
      <c r="N937">
        <v>10</v>
      </c>
      <c r="O937">
        <v>4</v>
      </c>
      <c r="Q937">
        <v>0</v>
      </c>
      <c r="R937">
        <v>3</v>
      </c>
      <c r="S937">
        <v>1</v>
      </c>
      <c r="U937" t="s">
        <v>51</v>
      </c>
      <c r="V937">
        <v>1</v>
      </c>
    </row>
    <row r="938" spans="2:22" x14ac:dyDescent="0.25">
      <c r="B938">
        <v>25</v>
      </c>
      <c r="C938">
        <f>IF(Adecco_India[[#This Row],[Attrition]]="Yes",1,0)</f>
        <v>0</v>
      </c>
      <c r="F938">
        <v>45</v>
      </c>
      <c r="G938">
        <v>2</v>
      </c>
      <c r="J938">
        <v>3</v>
      </c>
      <c r="K938">
        <v>4</v>
      </c>
      <c r="N938">
        <v>0</v>
      </c>
      <c r="O938">
        <v>2</v>
      </c>
      <c r="Q938">
        <v>0</v>
      </c>
      <c r="R938">
        <v>4</v>
      </c>
      <c r="S938">
        <v>1</v>
      </c>
      <c r="U938" t="s">
        <v>51</v>
      </c>
      <c r="V938">
        <v>1</v>
      </c>
    </row>
    <row r="939" spans="2:22" x14ac:dyDescent="0.25">
      <c r="B939">
        <v>13</v>
      </c>
      <c r="C939">
        <f>IF(Adecco_India[[#This Row],[Attrition]]="Yes",1,0)</f>
        <v>0</v>
      </c>
      <c r="F939">
        <v>39</v>
      </c>
      <c r="G939">
        <v>2</v>
      </c>
      <c r="J939">
        <v>3</v>
      </c>
      <c r="K939">
        <v>3</v>
      </c>
      <c r="N939">
        <v>19</v>
      </c>
      <c r="O939">
        <v>2</v>
      </c>
      <c r="Q939">
        <v>15</v>
      </c>
      <c r="R939">
        <v>3</v>
      </c>
      <c r="S939">
        <v>1</v>
      </c>
      <c r="U939" t="s">
        <v>51</v>
      </c>
      <c r="V939">
        <v>1</v>
      </c>
    </row>
    <row r="940" spans="2:22" x14ac:dyDescent="0.25">
      <c r="B940">
        <v>23</v>
      </c>
      <c r="C940">
        <f>IF(Adecco_India[[#This Row],[Attrition]]="Yes",1,0)</f>
        <v>0</v>
      </c>
      <c r="F940">
        <v>58</v>
      </c>
      <c r="G940">
        <v>3</v>
      </c>
      <c r="J940">
        <v>3</v>
      </c>
      <c r="K940">
        <v>3</v>
      </c>
      <c r="N940">
        <v>2</v>
      </c>
      <c r="O940">
        <v>3</v>
      </c>
      <c r="Q940">
        <v>2</v>
      </c>
      <c r="R940">
        <v>3</v>
      </c>
      <c r="S940">
        <v>1</v>
      </c>
      <c r="U940" t="s">
        <v>38</v>
      </c>
      <c r="V940">
        <v>1</v>
      </c>
    </row>
    <row r="941" spans="2:22" x14ac:dyDescent="0.25">
      <c r="B941">
        <v>7</v>
      </c>
      <c r="C941">
        <f>IF(Adecco_India[[#This Row],[Attrition]]="Yes",1,0)</f>
        <v>1</v>
      </c>
      <c r="F941">
        <v>32</v>
      </c>
      <c r="G941">
        <v>3</v>
      </c>
      <c r="J941">
        <v>3</v>
      </c>
      <c r="K941">
        <v>3</v>
      </c>
      <c r="N941">
        <v>10</v>
      </c>
      <c r="O941">
        <v>3</v>
      </c>
      <c r="Q941">
        <v>1</v>
      </c>
      <c r="R941">
        <v>3</v>
      </c>
      <c r="S941">
        <v>1</v>
      </c>
      <c r="U941" t="s">
        <v>38</v>
      </c>
      <c r="V941">
        <v>1</v>
      </c>
    </row>
    <row r="942" spans="2:22" x14ac:dyDescent="0.25">
      <c r="B942">
        <v>23</v>
      </c>
      <c r="C942">
        <f>IF(Adecco_India[[#This Row],[Attrition]]="Yes",1,0)</f>
        <v>1</v>
      </c>
      <c r="F942">
        <v>39</v>
      </c>
      <c r="G942">
        <v>1</v>
      </c>
      <c r="J942">
        <v>3</v>
      </c>
      <c r="K942">
        <v>3</v>
      </c>
      <c r="N942">
        <v>5</v>
      </c>
      <c r="O942">
        <v>1</v>
      </c>
      <c r="Q942">
        <v>0</v>
      </c>
      <c r="R942">
        <v>3</v>
      </c>
      <c r="S942">
        <v>1</v>
      </c>
      <c r="U942" t="s">
        <v>51</v>
      </c>
      <c r="V942">
        <v>1</v>
      </c>
    </row>
    <row r="943" spans="2:22" x14ac:dyDescent="0.25">
      <c r="B943">
        <v>6</v>
      </c>
      <c r="C943">
        <f>IF(Adecco_India[[#This Row],[Attrition]]="Yes",1,0)</f>
        <v>0</v>
      </c>
      <c r="F943">
        <v>30</v>
      </c>
      <c r="G943">
        <v>4</v>
      </c>
      <c r="J943">
        <v>3</v>
      </c>
      <c r="K943">
        <v>3</v>
      </c>
      <c r="N943">
        <v>9</v>
      </c>
      <c r="O943">
        <v>4</v>
      </c>
      <c r="Q943">
        <v>6</v>
      </c>
      <c r="R943">
        <v>3</v>
      </c>
      <c r="S943">
        <v>1</v>
      </c>
      <c r="U943" t="s">
        <v>60</v>
      </c>
      <c r="V943">
        <v>1</v>
      </c>
    </row>
    <row r="944" spans="2:22" x14ac:dyDescent="0.25">
      <c r="B944">
        <v>10</v>
      </c>
      <c r="C944">
        <f>IF(Adecco_India[[#This Row],[Attrition]]="Yes",1,0)</f>
        <v>0</v>
      </c>
      <c r="F944">
        <v>36</v>
      </c>
      <c r="G944">
        <v>3</v>
      </c>
      <c r="J944">
        <v>3</v>
      </c>
      <c r="K944">
        <v>3</v>
      </c>
      <c r="N944">
        <v>7</v>
      </c>
      <c r="O944">
        <v>3</v>
      </c>
      <c r="Q944">
        <v>1</v>
      </c>
      <c r="R944">
        <v>3</v>
      </c>
      <c r="S944">
        <v>1</v>
      </c>
      <c r="U944" t="s">
        <v>60</v>
      </c>
      <c r="V944">
        <v>1</v>
      </c>
    </row>
    <row r="945" spans="2:22" x14ac:dyDescent="0.25">
      <c r="B945">
        <v>1</v>
      </c>
      <c r="C945">
        <f>IF(Adecco_India[[#This Row],[Attrition]]="Yes",1,0)</f>
        <v>0</v>
      </c>
      <c r="F945">
        <v>46</v>
      </c>
      <c r="G945">
        <v>1</v>
      </c>
      <c r="J945">
        <v>4</v>
      </c>
      <c r="K945">
        <v>3</v>
      </c>
      <c r="N945">
        <v>7</v>
      </c>
      <c r="O945">
        <v>1</v>
      </c>
      <c r="Q945">
        <v>5</v>
      </c>
      <c r="R945">
        <v>3</v>
      </c>
      <c r="S945">
        <v>1</v>
      </c>
      <c r="U945" t="s">
        <v>38</v>
      </c>
      <c r="V945">
        <v>1</v>
      </c>
    </row>
    <row r="946" spans="2:22" x14ac:dyDescent="0.25">
      <c r="B946">
        <v>1</v>
      </c>
      <c r="C946">
        <f>IF(Adecco_India[[#This Row],[Attrition]]="Yes",1,0)</f>
        <v>0</v>
      </c>
      <c r="F946">
        <v>28</v>
      </c>
      <c r="G946">
        <v>4</v>
      </c>
      <c r="J946">
        <v>3</v>
      </c>
      <c r="K946">
        <v>3</v>
      </c>
      <c r="N946">
        <v>9</v>
      </c>
      <c r="O946">
        <v>4</v>
      </c>
      <c r="Q946">
        <v>7</v>
      </c>
      <c r="R946">
        <v>3</v>
      </c>
      <c r="S946">
        <v>1</v>
      </c>
      <c r="U946" t="s">
        <v>38</v>
      </c>
      <c r="V946">
        <v>1</v>
      </c>
    </row>
    <row r="947" spans="2:22" x14ac:dyDescent="0.25">
      <c r="B947">
        <v>28</v>
      </c>
      <c r="C947">
        <f>IF(Adecco_India[[#This Row],[Attrition]]="Yes",1,0)</f>
        <v>0</v>
      </c>
      <c r="F947">
        <v>50</v>
      </c>
      <c r="G947">
        <v>1</v>
      </c>
      <c r="J947">
        <v>3</v>
      </c>
      <c r="K947">
        <v>3</v>
      </c>
      <c r="N947">
        <v>3</v>
      </c>
      <c r="O947">
        <v>1</v>
      </c>
      <c r="Q947">
        <v>1</v>
      </c>
      <c r="R947">
        <v>3</v>
      </c>
      <c r="S947">
        <v>1</v>
      </c>
      <c r="U947" t="s">
        <v>38</v>
      </c>
      <c r="V947">
        <v>1</v>
      </c>
    </row>
    <row r="948" spans="2:22" x14ac:dyDescent="0.25">
      <c r="B948">
        <v>25</v>
      </c>
      <c r="C948">
        <f>IF(Adecco_India[[#This Row],[Attrition]]="Yes",1,0)</f>
        <v>1</v>
      </c>
      <c r="F948">
        <v>40</v>
      </c>
      <c r="G948">
        <v>2</v>
      </c>
      <c r="J948">
        <v>3</v>
      </c>
      <c r="K948">
        <v>3</v>
      </c>
      <c r="N948">
        <v>5</v>
      </c>
      <c r="O948">
        <v>2</v>
      </c>
      <c r="Q948">
        <v>1</v>
      </c>
      <c r="R948">
        <v>3</v>
      </c>
      <c r="S948">
        <v>1</v>
      </c>
      <c r="U948" t="s">
        <v>59</v>
      </c>
      <c r="V948">
        <v>1</v>
      </c>
    </row>
    <row r="949" spans="2:22" x14ac:dyDescent="0.25">
      <c r="B949">
        <v>5</v>
      </c>
      <c r="C949">
        <f>IF(Adecco_India[[#This Row],[Attrition]]="Yes",1,0)</f>
        <v>1</v>
      </c>
      <c r="F949">
        <v>52</v>
      </c>
      <c r="G949">
        <v>2</v>
      </c>
      <c r="J949">
        <v>2</v>
      </c>
      <c r="K949">
        <v>3</v>
      </c>
      <c r="N949">
        <v>8</v>
      </c>
      <c r="O949">
        <v>2</v>
      </c>
      <c r="Q949">
        <v>7</v>
      </c>
      <c r="R949">
        <v>3</v>
      </c>
      <c r="S949">
        <v>1</v>
      </c>
      <c r="U949" t="s">
        <v>38</v>
      </c>
      <c r="V949">
        <v>1</v>
      </c>
    </row>
    <row r="950" spans="2:22" x14ac:dyDescent="0.25">
      <c r="B950">
        <v>17</v>
      </c>
      <c r="C950">
        <f>IF(Adecco_India[[#This Row],[Attrition]]="Yes",1,0)</f>
        <v>0</v>
      </c>
      <c r="F950">
        <v>30</v>
      </c>
      <c r="G950">
        <v>1</v>
      </c>
      <c r="J950">
        <v>3</v>
      </c>
      <c r="K950">
        <v>4</v>
      </c>
      <c r="N950">
        <v>9</v>
      </c>
      <c r="O950">
        <v>1</v>
      </c>
      <c r="Q950">
        <v>0</v>
      </c>
      <c r="R950">
        <v>4</v>
      </c>
      <c r="S950">
        <v>1</v>
      </c>
      <c r="U950" t="s">
        <v>51</v>
      </c>
      <c r="V950">
        <v>1</v>
      </c>
    </row>
    <row r="951" spans="2:22" x14ac:dyDescent="0.25">
      <c r="B951">
        <v>18</v>
      </c>
      <c r="C951">
        <f>IF(Adecco_India[[#This Row],[Attrition]]="Yes",1,0)</f>
        <v>0</v>
      </c>
      <c r="F951">
        <v>39</v>
      </c>
      <c r="G951">
        <v>3</v>
      </c>
      <c r="J951">
        <v>3</v>
      </c>
      <c r="K951">
        <v>3</v>
      </c>
      <c r="N951">
        <v>8</v>
      </c>
      <c r="O951">
        <v>3</v>
      </c>
      <c r="Q951">
        <v>1</v>
      </c>
      <c r="R951">
        <v>3</v>
      </c>
      <c r="S951">
        <v>1</v>
      </c>
      <c r="U951" t="s">
        <v>38</v>
      </c>
      <c r="V951">
        <v>1</v>
      </c>
    </row>
    <row r="952" spans="2:22" x14ac:dyDescent="0.25">
      <c r="B952">
        <v>2</v>
      </c>
      <c r="C952">
        <f>IF(Adecco_India[[#This Row],[Attrition]]="Yes",1,0)</f>
        <v>0</v>
      </c>
      <c r="F952">
        <v>31</v>
      </c>
      <c r="G952">
        <v>3</v>
      </c>
      <c r="J952">
        <v>2</v>
      </c>
      <c r="K952">
        <v>3</v>
      </c>
      <c r="N952">
        <v>10</v>
      </c>
      <c r="O952">
        <v>3</v>
      </c>
      <c r="Q952">
        <v>9</v>
      </c>
      <c r="R952">
        <v>3</v>
      </c>
      <c r="S952">
        <v>1</v>
      </c>
      <c r="U952" t="s">
        <v>38</v>
      </c>
      <c r="V952">
        <v>1</v>
      </c>
    </row>
    <row r="953" spans="2:22" x14ac:dyDescent="0.25">
      <c r="B953">
        <v>10</v>
      </c>
      <c r="C953">
        <f>IF(Adecco_India[[#This Row],[Attrition]]="Yes",1,0)</f>
        <v>0</v>
      </c>
      <c r="F953">
        <v>41</v>
      </c>
      <c r="G953">
        <v>2</v>
      </c>
      <c r="J953">
        <v>3</v>
      </c>
      <c r="K953">
        <v>3</v>
      </c>
      <c r="N953">
        <v>19</v>
      </c>
      <c r="O953">
        <v>2</v>
      </c>
      <c r="Q953">
        <v>11</v>
      </c>
      <c r="R953">
        <v>3</v>
      </c>
      <c r="S953">
        <v>1</v>
      </c>
      <c r="U953" t="s">
        <v>51</v>
      </c>
      <c r="V953">
        <v>1</v>
      </c>
    </row>
    <row r="954" spans="2:22" x14ac:dyDescent="0.25">
      <c r="B954">
        <v>1</v>
      </c>
      <c r="C954">
        <f>IF(Adecco_India[[#This Row],[Attrition]]="Yes",1,0)</f>
        <v>1</v>
      </c>
      <c r="F954">
        <v>31</v>
      </c>
      <c r="G954">
        <v>2</v>
      </c>
      <c r="J954">
        <v>4</v>
      </c>
      <c r="K954">
        <v>3</v>
      </c>
      <c r="N954">
        <v>3</v>
      </c>
      <c r="O954">
        <v>2</v>
      </c>
      <c r="Q954">
        <v>2</v>
      </c>
      <c r="R954">
        <v>3</v>
      </c>
      <c r="S954">
        <v>1</v>
      </c>
      <c r="U954" t="s">
        <v>38</v>
      </c>
      <c r="V954">
        <v>1</v>
      </c>
    </row>
    <row r="955" spans="2:22" x14ac:dyDescent="0.25">
      <c r="B955">
        <v>3</v>
      </c>
      <c r="C955">
        <f>IF(Adecco_India[[#This Row],[Attrition]]="Yes",1,0)</f>
        <v>1</v>
      </c>
      <c r="F955">
        <v>44</v>
      </c>
      <c r="G955">
        <v>1</v>
      </c>
      <c r="J955">
        <v>4</v>
      </c>
      <c r="K955">
        <v>3</v>
      </c>
      <c r="N955">
        <v>3</v>
      </c>
      <c r="O955">
        <v>1</v>
      </c>
      <c r="Q955">
        <v>1</v>
      </c>
      <c r="R955">
        <v>3</v>
      </c>
      <c r="S955">
        <v>1</v>
      </c>
      <c r="U955" t="s">
        <v>38</v>
      </c>
      <c r="V955">
        <v>1</v>
      </c>
    </row>
    <row r="956" spans="2:22" x14ac:dyDescent="0.25">
      <c r="B956">
        <v>2</v>
      </c>
      <c r="C956">
        <f>IF(Adecco_India[[#This Row],[Attrition]]="Yes",1,0)</f>
        <v>0</v>
      </c>
      <c r="F956">
        <v>42</v>
      </c>
      <c r="G956">
        <v>3</v>
      </c>
      <c r="J956">
        <v>2</v>
      </c>
      <c r="K956">
        <v>3</v>
      </c>
      <c r="N956">
        <v>20</v>
      </c>
      <c r="O956">
        <v>3</v>
      </c>
      <c r="Q956">
        <v>2</v>
      </c>
      <c r="R956">
        <v>3</v>
      </c>
      <c r="S956">
        <v>1</v>
      </c>
      <c r="U956" t="s">
        <v>38</v>
      </c>
      <c r="V956">
        <v>1</v>
      </c>
    </row>
    <row r="957" spans="2:22" x14ac:dyDescent="0.25">
      <c r="B957">
        <v>2</v>
      </c>
      <c r="C957">
        <f>IF(Adecco_India[[#This Row],[Attrition]]="Yes",1,0)</f>
        <v>0</v>
      </c>
      <c r="F957">
        <v>55</v>
      </c>
      <c r="G957">
        <v>3</v>
      </c>
      <c r="J957">
        <v>3</v>
      </c>
      <c r="K957">
        <v>3</v>
      </c>
      <c r="N957">
        <v>19</v>
      </c>
      <c r="O957">
        <v>3</v>
      </c>
      <c r="Q957">
        <v>9</v>
      </c>
      <c r="R957">
        <v>3</v>
      </c>
      <c r="S957">
        <v>1</v>
      </c>
      <c r="U957" t="s">
        <v>51</v>
      </c>
      <c r="V957">
        <v>1</v>
      </c>
    </row>
    <row r="958" spans="2:22" x14ac:dyDescent="0.25">
      <c r="B958">
        <v>8</v>
      </c>
      <c r="C958">
        <f>IF(Adecco_India[[#This Row],[Attrition]]="Yes",1,0)</f>
        <v>0</v>
      </c>
      <c r="F958">
        <v>56</v>
      </c>
      <c r="G958">
        <v>2</v>
      </c>
      <c r="J958">
        <v>3</v>
      </c>
      <c r="K958">
        <v>3</v>
      </c>
      <c r="N958">
        <v>7</v>
      </c>
      <c r="O958">
        <v>2</v>
      </c>
      <c r="Q958">
        <v>7</v>
      </c>
      <c r="R958">
        <v>3</v>
      </c>
      <c r="S958">
        <v>1</v>
      </c>
      <c r="U958" t="s">
        <v>38</v>
      </c>
      <c r="V958">
        <v>1</v>
      </c>
    </row>
    <row r="959" spans="2:22" x14ac:dyDescent="0.25">
      <c r="B959">
        <v>16</v>
      </c>
      <c r="C959">
        <f>IF(Adecco_India[[#This Row],[Attrition]]="Yes",1,0)</f>
        <v>0</v>
      </c>
      <c r="F959">
        <v>40</v>
      </c>
      <c r="G959">
        <v>3</v>
      </c>
      <c r="J959">
        <v>3</v>
      </c>
      <c r="K959">
        <v>3</v>
      </c>
      <c r="N959">
        <v>4</v>
      </c>
      <c r="O959">
        <v>3</v>
      </c>
      <c r="Q959">
        <v>0</v>
      </c>
      <c r="R959">
        <v>3</v>
      </c>
      <c r="S959">
        <v>1</v>
      </c>
      <c r="U959" t="s">
        <v>38</v>
      </c>
      <c r="V959">
        <v>1</v>
      </c>
    </row>
    <row r="960" spans="2:22" x14ac:dyDescent="0.25">
      <c r="B960">
        <v>9</v>
      </c>
      <c r="C960">
        <f>IF(Adecco_India[[#This Row],[Attrition]]="Yes",1,0)</f>
        <v>0</v>
      </c>
      <c r="F960">
        <v>34</v>
      </c>
      <c r="G960">
        <v>4</v>
      </c>
      <c r="J960">
        <v>2</v>
      </c>
      <c r="K960">
        <v>3</v>
      </c>
      <c r="N960">
        <v>9</v>
      </c>
      <c r="O960">
        <v>4</v>
      </c>
      <c r="Q960">
        <v>1</v>
      </c>
      <c r="R960">
        <v>3</v>
      </c>
      <c r="S960">
        <v>1</v>
      </c>
      <c r="U960" t="s">
        <v>38</v>
      </c>
      <c r="V960">
        <v>1</v>
      </c>
    </row>
    <row r="961" spans="2:22" x14ac:dyDescent="0.25">
      <c r="B961">
        <v>2</v>
      </c>
      <c r="C961">
        <f>IF(Adecco_India[[#This Row],[Attrition]]="Yes",1,0)</f>
        <v>0</v>
      </c>
      <c r="F961">
        <v>40</v>
      </c>
      <c r="G961">
        <v>4</v>
      </c>
      <c r="J961">
        <v>3</v>
      </c>
      <c r="K961">
        <v>3</v>
      </c>
      <c r="N961">
        <v>9</v>
      </c>
      <c r="O961">
        <v>4</v>
      </c>
      <c r="Q961">
        <v>8</v>
      </c>
      <c r="R961">
        <v>3</v>
      </c>
      <c r="S961">
        <v>1</v>
      </c>
      <c r="U961" t="s">
        <v>38</v>
      </c>
      <c r="V961">
        <v>1</v>
      </c>
    </row>
    <row r="962" spans="2:22" x14ac:dyDescent="0.25">
      <c r="B962">
        <v>1</v>
      </c>
      <c r="C962">
        <f>IF(Adecco_India[[#This Row],[Attrition]]="Yes",1,0)</f>
        <v>0</v>
      </c>
      <c r="F962">
        <v>41</v>
      </c>
      <c r="G962">
        <v>1</v>
      </c>
      <c r="J962">
        <v>3</v>
      </c>
      <c r="K962">
        <v>3</v>
      </c>
      <c r="N962">
        <v>9</v>
      </c>
      <c r="O962">
        <v>1</v>
      </c>
      <c r="Q962">
        <v>1</v>
      </c>
      <c r="R962">
        <v>3</v>
      </c>
      <c r="S962">
        <v>1</v>
      </c>
      <c r="U962" t="s">
        <v>59</v>
      </c>
      <c r="V962">
        <v>1</v>
      </c>
    </row>
    <row r="963" spans="2:22" x14ac:dyDescent="0.25">
      <c r="B963">
        <v>4</v>
      </c>
      <c r="C963">
        <f>IF(Adecco_India[[#This Row],[Attrition]]="Yes",1,0)</f>
        <v>0</v>
      </c>
      <c r="F963">
        <v>35</v>
      </c>
      <c r="G963">
        <v>3</v>
      </c>
      <c r="J963">
        <v>3</v>
      </c>
      <c r="K963">
        <v>3</v>
      </c>
      <c r="N963">
        <v>9</v>
      </c>
      <c r="O963">
        <v>3</v>
      </c>
      <c r="Q963">
        <v>1</v>
      </c>
      <c r="R963">
        <v>3</v>
      </c>
      <c r="S963">
        <v>1</v>
      </c>
      <c r="U963" t="s">
        <v>38</v>
      </c>
      <c r="V963">
        <v>1</v>
      </c>
    </row>
    <row r="964" spans="2:22" x14ac:dyDescent="0.25">
      <c r="B964">
        <v>5</v>
      </c>
      <c r="C964">
        <f>IF(Adecco_India[[#This Row],[Attrition]]="Yes",1,0)</f>
        <v>0</v>
      </c>
      <c r="F964">
        <v>51</v>
      </c>
      <c r="G964">
        <v>2</v>
      </c>
      <c r="J964">
        <v>3</v>
      </c>
      <c r="K964">
        <v>3</v>
      </c>
      <c r="N964">
        <v>33</v>
      </c>
      <c r="O964">
        <v>2</v>
      </c>
      <c r="Q964">
        <v>0</v>
      </c>
      <c r="R964">
        <v>3</v>
      </c>
      <c r="S964">
        <v>1</v>
      </c>
      <c r="U964" t="s">
        <v>38</v>
      </c>
      <c r="V964">
        <v>1</v>
      </c>
    </row>
    <row r="965" spans="2:22" x14ac:dyDescent="0.25">
      <c r="B965">
        <v>2</v>
      </c>
      <c r="C965">
        <f>IF(Adecco_India[[#This Row],[Attrition]]="Yes",1,0)</f>
        <v>0</v>
      </c>
      <c r="F965">
        <v>38</v>
      </c>
      <c r="G965">
        <v>1</v>
      </c>
      <c r="J965">
        <v>3</v>
      </c>
      <c r="K965">
        <v>3</v>
      </c>
      <c r="N965">
        <v>7</v>
      </c>
      <c r="O965">
        <v>1</v>
      </c>
      <c r="Q965">
        <v>1</v>
      </c>
      <c r="R965">
        <v>3</v>
      </c>
      <c r="S965">
        <v>1</v>
      </c>
      <c r="U965" t="s">
        <v>38</v>
      </c>
      <c r="V965">
        <v>1</v>
      </c>
    </row>
    <row r="966" spans="2:22" x14ac:dyDescent="0.25">
      <c r="B966">
        <v>15</v>
      </c>
      <c r="C966">
        <f>IF(Adecco_India[[#This Row],[Attrition]]="Yes",1,0)</f>
        <v>0</v>
      </c>
      <c r="F966">
        <v>34</v>
      </c>
      <c r="G966">
        <v>1</v>
      </c>
      <c r="J966">
        <v>4</v>
      </c>
      <c r="K966">
        <v>3</v>
      </c>
      <c r="N966">
        <v>10</v>
      </c>
      <c r="O966">
        <v>1</v>
      </c>
      <c r="Q966">
        <v>9</v>
      </c>
      <c r="R966">
        <v>3</v>
      </c>
      <c r="S966">
        <v>1</v>
      </c>
      <c r="U966" t="s">
        <v>51</v>
      </c>
      <c r="V966">
        <v>1</v>
      </c>
    </row>
    <row r="967" spans="2:22" x14ac:dyDescent="0.25">
      <c r="B967">
        <v>19</v>
      </c>
      <c r="C967">
        <f>IF(Adecco_India[[#This Row],[Attrition]]="Yes",1,0)</f>
        <v>0</v>
      </c>
      <c r="F967">
        <v>25</v>
      </c>
      <c r="G967">
        <v>4</v>
      </c>
      <c r="J967">
        <v>2</v>
      </c>
      <c r="K967">
        <v>3</v>
      </c>
      <c r="N967">
        <v>3</v>
      </c>
      <c r="O967">
        <v>4</v>
      </c>
      <c r="Q967">
        <v>1</v>
      </c>
      <c r="R967">
        <v>3</v>
      </c>
      <c r="S967">
        <v>1</v>
      </c>
      <c r="U967" t="s">
        <v>51</v>
      </c>
      <c r="V967">
        <v>1</v>
      </c>
    </row>
    <row r="968" spans="2:22" x14ac:dyDescent="0.25">
      <c r="B968">
        <v>7</v>
      </c>
      <c r="C968">
        <f>IF(Adecco_India[[#This Row],[Attrition]]="Yes",1,0)</f>
        <v>1</v>
      </c>
      <c r="F968">
        <v>58</v>
      </c>
      <c r="G968">
        <v>1</v>
      </c>
      <c r="J968">
        <v>2</v>
      </c>
      <c r="K968">
        <v>3</v>
      </c>
      <c r="N968">
        <v>10</v>
      </c>
      <c r="O968">
        <v>1</v>
      </c>
      <c r="Q968">
        <v>5</v>
      </c>
      <c r="R968">
        <v>3</v>
      </c>
      <c r="S968">
        <v>1</v>
      </c>
      <c r="U968" t="s">
        <v>51</v>
      </c>
      <c r="V968">
        <v>1</v>
      </c>
    </row>
    <row r="969" spans="2:22" x14ac:dyDescent="0.25">
      <c r="B969">
        <v>1</v>
      </c>
      <c r="C969">
        <f>IF(Adecco_India[[#This Row],[Attrition]]="Yes",1,0)</f>
        <v>0</v>
      </c>
      <c r="F969">
        <v>40</v>
      </c>
      <c r="G969">
        <v>2</v>
      </c>
      <c r="J969">
        <v>3</v>
      </c>
      <c r="K969">
        <v>4</v>
      </c>
      <c r="N969">
        <v>4</v>
      </c>
      <c r="O969">
        <v>2</v>
      </c>
      <c r="Q969">
        <v>0</v>
      </c>
      <c r="R969">
        <v>4</v>
      </c>
      <c r="S969">
        <v>1</v>
      </c>
      <c r="U969" t="s">
        <v>38</v>
      </c>
      <c r="V969">
        <v>1</v>
      </c>
    </row>
    <row r="970" spans="2:22" x14ac:dyDescent="0.25">
      <c r="B970">
        <v>7</v>
      </c>
      <c r="C970">
        <f>IF(Adecco_India[[#This Row],[Attrition]]="Yes",1,0)</f>
        <v>0</v>
      </c>
      <c r="F970">
        <v>36</v>
      </c>
      <c r="G970">
        <v>1</v>
      </c>
      <c r="J970">
        <v>2</v>
      </c>
      <c r="K970">
        <v>3</v>
      </c>
      <c r="N970">
        <v>15</v>
      </c>
      <c r="O970">
        <v>1</v>
      </c>
      <c r="Q970">
        <v>6</v>
      </c>
      <c r="R970">
        <v>3</v>
      </c>
      <c r="S970">
        <v>1</v>
      </c>
      <c r="U970" t="s">
        <v>59</v>
      </c>
      <c r="V970">
        <v>1</v>
      </c>
    </row>
    <row r="971" spans="2:22" x14ac:dyDescent="0.25">
      <c r="B971">
        <v>4</v>
      </c>
      <c r="C971">
        <f>IF(Adecco_India[[#This Row],[Attrition]]="Yes",1,0)</f>
        <v>0</v>
      </c>
      <c r="F971">
        <v>48</v>
      </c>
      <c r="G971">
        <v>4</v>
      </c>
      <c r="J971">
        <v>3</v>
      </c>
      <c r="K971">
        <v>3</v>
      </c>
      <c r="N971">
        <v>10</v>
      </c>
      <c r="O971">
        <v>4</v>
      </c>
      <c r="Q971">
        <v>0</v>
      </c>
      <c r="R971">
        <v>3</v>
      </c>
      <c r="S971">
        <v>1</v>
      </c>
      <c r="U971" t="s">
        <v>38</v>
      </c>
      <c r="V971">
        <v>1</v>
      </c>
    </row>
    <row r="972" spans="2:22" x14ac:dyDescent="0.25">
      <c r="B972">
        <v>11</v>
      </c>
      <c r="C972">
        <f>IF(Adecco_India[[#This Row],[Attrition]]="Yes",1,0)</f>
        <v>0</v>
      </c>
      <c r="F972">
        <v>27</v>
      </c>
      <c r="G972">
        <v>4</v>
      </c>
      <c r="J972">
        <v>3</v>
      </c>
      <c r="K972">
        <v>3</v>
      </c>
      <c r="N972">
        <v>1</v>
      </c>
      <c r="O972">
        <v>4</v>
      </c>
      <c r="Q972">
        <v>0</v>
      </c>
      <c r="R972">
        <v>3</v>
      </c>
      <c r="S972">
        <v>1</v>
      </c>
      <c r="U972" t="s">
        <v>51</v>
      </c>
      <c r="V972">
        <v>1</v>
      </c>
    </row>
    <row r="973" spans="2:22" x14ac:dyDescent="0.25">
      <c r="B973">
        <v>11</v>
      </c>
      <c r="C973">
        <f>IF(Adecco_India[[#This Row],[Attrition]]="Yes",1,0)</f>
        <v>0</v>
      </c>
      <c r="F973">
        <v>51</v>
      </c>
      <c r="G973">
        <v>2</v>
      </c>
      <c r="J973">
        <v>2</v>
      </c>
      <c r="K973">
        <v>3</v>
      </c>
      <c r="N973">
        <v>5</v>
      </c>
      <c r="O973">
        <v>2</v>
      </c>
      <c r="Q973">
        <v>0</v>
      </c>
      <c r="R973">
        <v>3</v>
      </c>
      <c r="S973">
        <v>1</v>
      </c>
      <c r="U973" t="s">
        <v>60</v>
      </c>
      <c r="V973">
        <v>1</v>
      </c>
    </row>
    <row r="974" spans="2:22" x14ac:dyDescent="0.25">
      <c r="B974">
        <v>1</v>
      </c>
      <c r="C974">
        <f>IF(Adecco_India[[#This Row],[Attrition]]="Yes",1,0)</f>
        <v>0</v>
      </c>
      <c r="F974">
        <v>18</v>
      </c>
      <c r="G974">
        <v>4</v>
      </c>
      <c r="J974">
        <v>4</v>
      </c>
      <c r="K974">
        <v>3</v>
      </c>
      <c r="N974">
        <v>0</v>
      </c>
      <c r="O974">
        <v>4</v>
      </c>
      <c r="Q974">
        <v>0</v>
      </c>
      <c r="R974">
        <v>3</v>
      </c>
      <c r="S974">
        <v>1</v>
      </c>
      <c r="U974" t="s">
        <v>38</v>
      </c>
      <c r="V974">
        <v>1</v>
      </c>
    </row>
    <row r="975" spans="2:22" x14ac:dyDescent="0.25">
      <c r="B975">
        <v>1</v>
      </c>
      <c r="C975">
        <f>IF(Adecco_India[[#This Row],[Attrition]]="Yes",1,0)</f>
        <v>0</v>
      </c>
      <c r="F975">
        <v>35</v>
      </c>
      <c r="G975">
        <v>4</v>
      </c>
      <c r="J975">
        <v>3</v>
      </c>
      <c r="K975">
        <v>3</v>
      </c>
      <c r="N975">
        <v>9</v>
      </c>
      <c r="O975">
        <v>4</v>
      </c>
      <c r="Q975">
        <v>0</v>
      </c>
      <c r="R975">
        <v>3</v>
      </c>
      <c r="S975">
        <v>1</v>
      </c>
      <c r="U975" t="s">
        <v>51</v>
      </c>
      <c r="V975">
        <v>1</v>
      </c>
    </row>
    <row r="976" spans="2:22" x14ac:dyDescent="0.25">
      <c r="B976">
        <v>2</v>
      </c>
      <c r="C976">
        <f>IF(Adecco_India[[#This Row],[Attrition]]="Yes",1,0)</f>
        <v>0</v>
      </c>
      <c r="F976">
        <v>27</v>
      </c>
      <c r="G976">
        <v>4</v>
      </c>
      <c r="J976">
        <v>3</v>
      </c>
      <c r="K976">
        <v>4</v>
      </c>
      <c r="N976">
        <v>6</v>
      </c>
      <c r="O976">
        <v>4</v>
      </c>
      <c r="Q976">
        <v>0</v>
      </c>
      <c r="R976">
        <v>4</v>
      </c>
      <c r="S976">
        <v>1</v>
      </c>
      <c r="U976" t="s">
        <v>38</v>
      </c>
      <c r="V976">
        <v>1</v>
      </c>
    </row>
    <row r="977" spans="2:22" x14ac:dyDescent="0.25">
      <c r="B977">
        <v>13</v>
      </c>
      <c r="C977">
        <f>IF(Adecco_India[[#This Row],[Attrition]]="Yes",1,0)</f>
        <v>1</v>
      </c>
      <c r="F977">
        <v>55</v>
      </c>
      <c r="G977">
        <v>3</v>
      </c>
      <c r="J977">
        <v>2</v>
      </c>
      <c r="K977">
        <v>3</v>
      </c>
      <c r="N977">
        <v>19</v>
      </c>
      <c r="O977">
        <v>3</v>
      </c>
      <c r="Q977">
        <v>3</v>
      </c>
      <c r="R977">
        <v>3</v>
      </c>
      <c r="S977">
        <v>1</v>
      </c>
      <c r="U977" t="s">
        <v>59</v>
      </c>
      <c r="V977">
        <v>1</v>
      </c>
    </row>
    <row r="978" spans="2:22" x14ac:dyDescent="0.25">
      <c r="B978">
        <v>23</v>
      </c>
      <c r="C978">
        <f>IF(Adecco_India[[#This Row],[Attrition]]="Yes",1,0)</f>
        <v>0</v>
      </c>
      <c r="F978">
        <v>56</v>
      </c>
      <c r="G978">
        <v>2</v>
      </c>
      <c r="J978">
        <v>3</v>
      </c>
      <c r="K978">
        <v>3</v>
      </c>
      <c r="N978">
        <v>19</v>
      </c>
      <c r="O978">
        <v>2</v>
      </c>
      <c r="Q978">
        <v>15</v>
      </c>
      <c r="R978">
        <v>3</v>
      </c>
      <c r="S978">
        <v>1</v>
      </c>
      <c r="U978" t="s">
        <v>38</v>
      </c>
      <c r="V978">
        <v>1</v>
      </c>
    </row>
    <row r="979" spans="2:22" x14ac:dyDescent="0.25">
      <c r="B979">
        <v>26</v>
      </c>
      <c r="C979">
        <f>IF(Adecco_India[[#This Row],[Attrition]]="Yes",1,0)</f>
        <v>0</v>
      </c>
      <c r="F979">
        <v>34</v>
      </c>
      <c r="G979">
        <v>3</v>
      </c>
      <c r="J979">
        <v>3</v>
      </c>
      <c r="K979">
        <v>4</v>
      </c>
      <c r="N979">
        <v>5</v>
      </c>
      <c r="O979">
        <v>3</v>
      </c>
      <c r="Q979">
        <v>0</v>
      </c>
      <c r="R979">
        <v>4</v>
      </c>
      <c r="S979">
        <v>1</v>
      </c>
      <c r="U979" t="s">
        <v>60</v>
      </c>
      <c r="V979">
        <v>1</v>
      </c>
    </row>
    <row r="980" spans="2:22" x14ac:dyDescent="0.25">
      <c r="B980">
        <v>2</v>
      </c>
      <c r="C980">
        <f>IF(Adecco_India[[#This Row],[Attrition]]="Yes",1,0)</f>
        <v>0</v>
      </c>
      <c r="F980">
        <v>40</v>
      </c>
      <c r="G980">
        <v>3</v>
      </c>
      <c r="J980">
        <v>3</v>
      </c>
      <c r="K980">
        <v>4</v>
      </c>
      <c r="N980">
        <v>12</v>
      </c>
      <c r="O980">
        <v>3</v>
      </c>
      <c r="Q980">
        <v>11</v>
      </c>
      <c r="R980">
        <v>4</v>
      </c>
      <c r="S980">
        <v>1</v>
      </c>
      <c r="U980" t="s">
        <v>51</v>
      </c>
      <c r="V980">
        <v>1</v>
      </c>
    </row>
    <row r="981" spans="2:22" x14ac:dyDescent="0.25">
      <c r="B981">
        <v>29</v>
      </c>
      <c r="C981">
        <f>IF(Adecco_India[[#This Row],[Attrition]]="Yes",1,0)</f>
        <v>0</v>
      </c>
      <c r="F981">
        <v>34</v>
      </c>
      <c r="G981">
        <v>3</v>
      </c>
      <c r="J981">
        <v>3</v>
      </c>
      <c r="K981">
        <v>3</v>
      </c>
      <c r="N981">
        <v>8</v>
      </c>
      <c r="O981">
        <v>3</v>
      </c>
      <c r="Q981">
        <v>7</v>
      </c>
      <c r="R981">
        <v>3</v>
      </c>
      <c r="S981">
        <v>1</v>
      </c>
      <c r="U981" t="s">
        <v>51</v>
      </c>
      <c r="V981">
        <v>1</v>
      </c>
    </row>
    <row r="982" spans="2:22" x14ac:dyDescent="0.25">
      <c r="B982">
        <v>2</v>
      </c>
      <c r="C982">
        <f>IF(Adecco_India[[#This Row],[Attrition]]="Yes",1,0)</f>
        <v>1</v>
      </c>
      <c r="F982">
        <v>31</v>
      </c>
      <c r="G982">
        <v>4</v>
      </c>
      <c r="J982">
        <v>4</v>
      </c>
      <c r="K982">
        <v>3</v>
      </c>
      <c r="N982">
        <v>1</v>
      </c>
      <c r="O982">
        <v>4</v>
      </c>
      <c r="Q982">
        <v>0</v>
      </c>
      <c r="R982">
        <v>3</v>
      </c>
      <c r="S982">
        <v>1</v>
      </c>
      <c r="U982" t="s">
        <v>38</v>
      </c>
      <c r="V982">
        <v>1</v>
      </c>
    </row>
    <row r="983" spans="2:22" x14ac:dyDescent="0.25">
      <c r="B983">
        <v>18</v>
      </c>
      <c r="C983">
        <f>IF(Adecco_India[[#This Row],[Attrition]]="Yes",1,0)</f>
        <v>1</v>
      </c>
      <c r="F983">
        <v>35</v>
      </c>
      <c r="G983">
        <v>3</v>
      </c>
      <c r="J983">
        <v>2</v>
      </c>
      <c r="K983">
        <v>3</v>
      </c>
      <c r="N983">
        <v>4</v>
      </c>
      <c r="O983">
        <v>3</v>
      </c>
      <c r="Q983">
        <v>3</v>
      </c>
      <c r="R983">
        <v>3</v>
      </c>
      <c r="S983">
        <v>1</v>
      </c>
      <c r="U983" t="s">
        <v>59</v>
      </c>
      <c r="V983">
        <v>1</v>
      </c>
    </row>
    <row r="984" spans="2:22" x14ac:dyDescent="0.25">
      <c r="B984">
        <v>7</v>
      </c>
      <c r="C984">
        <f>IF(Adecco_India[[#This Row],[Attrition]]="Yes",1,0)</f>
        <v>0</v>
      </c>
      <c r="F984">
        <v>38</v>
      </c>
      <c r="G984">
        <v>3</v>
      </c>
      <c r="J984">
        <v>3</v>
      </c>
      <c r="K984">
        <v>3</v>
      </c>
      <c r="N984">
        <v>4</v>
      </c>
      <c r="O984">
        <v>3</v>
      </c>
      <c r="Q984">
        <v>0</v>
      </c>
      <c r="R984">
        <v>3</v>
      </c>
      <c r="S984">
        <v>1</v>
      </c>
      <c r="U984" t="s">
        <v>38</v>
      </c>
      <c r="V984">
        <v>1</v>
      </c>
    </row>
    <row r="985" spans="2:22" x14ac:dyDescent="0.25">
      <c r="B985">
        <v>2</v>
      </c>
      <c r="C985">
        <f>IF(Adecco_India[[#This Row],[Attrition]]="Yes",1,0)</f>
        <v>0</v>
      </c>
      <c r="F985">
        <v>34</v>
      </c>
      <c r="G985">
        <v>4</v>
      </c>
      <c r="J985">
        <v>4</v>
      </c>
      <c r="K985">
        <v>3</v>
      </c>
      <c r="N985">
        <v>14</v>
      </c>
      <c r="O985">
        <v>4</v>
      </c>
      <c r="Q985">
        <v>4</v>
      </c>
      <c r="R985">
        <v>3</v>
      </c>
      <c r="S985">
        <v>1</v>
      </c>
      <c r="U985" t="s">
        <v>60</v>
      </c>
      <c r="V985">
        <v>1</v>
      </c>
    </row>
    <row r="986" spans="2:22" x14ac:dyDescent="0.25">
      <c r="B986">
        <v>26</v>
      </c>
      <c r="C986">
        <f>IF(Adecco_India[[#This Row],[Attrition]]="Yes",1,0)</f>
        <v>0</v>
      </c>
      <c r="F986">
        <v>28</v>
      </c>
      <c r="G986">
        <v>1</v>
      </c>
      <c r="J986">
        <v>3</v>
      </c>
      <c r="K986">
        <v>3</v>
      </c>
      <c r="N986">
        <v>5</v>
      </c>
      <c r="O986">
        <v>1</v>
      </c>
      <c r="Q986">
        <v>0</v>
      </c>
      <c r="R986">
        <v>3</v>
      </c>
      <c r="S986">
        <v>1</v>
      </c>
      <c r="U986" t="s">
        <v>38</v>
      </c>
      <c r="V986">
        <v>1</v>
      </c>
    </row>
    <row r="987" spans="2:22" x14ac:dyDescent="0.25">
      <c r="B987">
        <v>22</v>
      </c>
      <c r="C987">
        <f>IF(Adecco_India[[#This Row],[Attrition]]="Yes",1,0)</f>
        <v>1</v>
      </c>
      <c r="F987">
        <v>31</v>
      </c>
      <c r="G987">
        <v>3</v>
      </c>
      <c r="J987">
        <v>2</v>
      </c>
      <c r="K987">
        <v>3</v>
      </c>
      <c r="N987">
        <v>10</v>
      </c>
      <c r="O987">
        <v>3</v>
      </c>
      <c r="Q987">
        <v>6</v>
      </c>
      <c r="R987">
        <v>3</v>
      </c>
      <c r="S987">
        <v>1</v>
      </c>
      <c r="U987" t="s">
        <v>51</v>
      </c>
      <c r="V987">
        <v>1</v>
      </c>
    </row>
    <row r="988" spans="2:22" x14ac:dyDescent="0.25">
      <c r="B988">
        <v>21</v>
      </c>
      <c r="C988">
        <f>IF(Adecco_India[[#This Row],[Attrition]]="Yes",1,0)</f>
        <v>0</v>
      </c>
      <c r="F988">
        <v>39</v>
      </c>
      <c r="G988">
        <v>4</v>
      </c>
      <c r="J988">
        <v>4</v>
      </c>
      <c r="K988">
        <v>3</v>
      </c>
      <c r="N988">
        <v>5</v>
      </c>
      <c r="O988">
        <v>4</v>
      </c>
      <c r="Q988">
        <v>1</v>
      </c>
      <c r="R988">
        <v>3</v>
      </c>
      <c r="S988">
        <v>1</v>
      </c>
      <c r="U988" t="s">
        <v>38</v>
      </c>
      <c r="V988">
        <v>1</v>
      </c>
    </row>
    <row r="989" spans="2:22" x14ac:dyDescent="0.25">
      <c r="B989">
        <v>2</v>
      </c>
      <c r="C989">
        <f>IF(Adecco_India[[#This Row],[Attrition]]="Yes",1,0)</f>
        <v>0</v>
      </c>
      <c r="F989">
        <v>51</v>
      </c>
      <c r="G989">
        <v>2</v>
      </c>
      <c r="J989">
        <v>3</v>
      </c>
      <c r="K989">
        <v>3</v>
      </c>
      <c r="N989">
        <v>4</v>
      </c>
      <c r="O989">
        <v>2</v>
      </c>
      <c r="Q989">
        <v>3</v>
      </c>
      <c r="R989">
        <v>3</v>
      </c>
      <c r="S989">
        <v>1</v>
      </c>
      <c r="U989" t="s">
        <v>59</v>
      </c>
      <c r="V989">
        <v>1</v>
      </c>
    </row>
    <row r="990" spans="2:22" x14ac:dyDescent="0.25">
      <c r="B990">
        <v>22</v>
      </c>
      <c r="C990">
        <f>IF(Adecco_India[[#This Row],[Attrition]]="Yes",1,0)</f>
        <v>0</v>
      </c>
      <c r="F990">
        <v>41</v>
      </c>
      <c r="G990">
        <v>4</v>
      </c>
      <c r="J990">
        <v>2</v>
      </c>
      <c r="K990">
        <v>3</v>
      </c>
      <c r="N990">
        <v>6</v>
      </c>
      <c r="O990">
        <v>4</v>
      </c>
      <c r="Q990">
        <v>3</v>
      </c>
      <c r="R990">
        <v>3</v>
      </c>
      <c r="S990">
        <v>1</v>
      </c>
      <c r="U990" t="s">
        <v>38</v>
      </c>
      <c r="V990">
        <v>1</v>
      </c>
    </row>
    <row r="991" spans="2:22" x14ac:dyDescent="0.25">
      <c r="B991">
        <v>4</v>
      </c>
      <c r="C991">
        <f>IF(Adecco_India[[#This Row],[Attrition]]="Yes",1,0)</f>
        <v>0</v>
      </c>
      <c r="F991">
        <v>37</v>
      </c>
      <c r="G991">
        <v>3</v>
      </c>
      <c r="J991">
        <v>3</v>
      </c>
      <c r="K991">
        <v>3</v>
      </c>
      <c r="N991">
        <v>6</v>
      </c>
      <c r="O991">
        <v>3</v>
      </c>
      <c r="Q991">
        <v>1</v>
      </c>
      <c r="R991">
        <v>3</v>
      </c>
      <c r="S991">
        <v>1</v>
      </c>
      <c r="U991" t="s">
        <v>38</v>
      </c>
      <c r="V991">
        <v>1</v>
      </c>
    </row>
    <row r="992" spans="2:22" x14ac:dyDescent="0.25">
      <c r="B992">
        <v>5</v>
      </c>
      <c r="C992">
        <f>IF(Adecco_India[[#This Row],[Attrition]]="Yes",1,0)</f>
        <v>0</v>
      </c>
      <c r="F992">
        <v>33</v>
      </c>
      <c r="G992">
        <v>4</v>
      </c>
      <c r="J992">
        <v>4</v>
      </c>
      <c r="K992">
        <v>3</v>
      </c>
      <c r="N992">
        <v>5</v>
      </c>
      <c r="O992">
        <v>4</v>
      </c>
      <c r="Q992">
        <v>1</v>
      </c>
      <c r="R992">
        <v>3</v>
      </c>
      <c r="S992">
        <v>1</v>
      </c>
      <c r="U992" t="s">
        <v>38</v>
      </c>
      <c r="V992">
        <v>1</v>
      </c>
    </row>
    <row r="993" spans="2:22" x14ac:dyDescent="0.25">
      <c r="B993">
        <v>2</v>
      </c>
      <c r="C993">
        <f>IF(Adecco_India[[#This Row],[Attrition]]="Yes",1,0)</f>
        <v>0</v>
      </c>
      <c r="F993">
        <v>32</v>
      </c>
      <c r="G993">
        <v>2</v>
      </c>
      <c r="J993">
        <v>2</v>
      </c>
      <c r="K993">
        <v>3</v>
      </c>
      <c r="N993">
        <v>3</v>
      </c>
      <c r="O993">
        <v>2</v>
      </c>
      <c r="Q993">
        <v>1</v>
      </c>
      <c r="R993">
        <v>3</v>
      </c>
      <c r="S993">
        <v>1</v>
      </c>
      <c r="U993" t="s">
        <v>59</v>
      </c>
      <c r="V993">
        <v>1</v>
      </c>
    </row>
    <row r="994" spans="2:22" x14ac:dyDescent="0.25">
      <c r="B994">
        <v>25</v>
      </c>
      <c r="C994">
        <f>IF(Adecco_India[[#This Row],[Attrition]]="Yes",1,0)</f>
        <v>0</v>
      </c>
      <c r="F994">
        <v>39</v>
      </c>
      <c r="G994">
        <v>3</v>
      </c>
      <c r="J994">
        <v>3</v>
      </c>
      <c r="K994">
        <v>4</v>
      </c>
      <c r="N994">
        <v>6</v>
      </c>
      <c r="O994">
        <v>3</v>
      </c>
      <c r="Q994">
        <v>0</v>
      </c>
      <c r="R994">
        <v>4</v>
      </c>
      <c r="S994">
        <v>1</v>
      </c>
      <c r="U994" t="s">
        <v>38</v>
      </c>
      <c r="V994">
        <v>1</v>
      </c>
    </row>
    <row r="995" spans="2:22" x14ac:dyDescent="0.25">
      <c r="B995">
        <v>18</v>
      </c>
      <c r="C995">
        <f>IF(Adecco_India[[#This Row],[Attrition]]="Yes",1,0)</f>
        <v>0</v>
      </c>
      <c r="F995">
        <v>25</v>
      </c>
      <c r="G995">
        <v>3</v>
      </c>
      <c r="J995">
        <v>2</v>
      </c>
      <c r="K995">
        <v>3</v>
      </c>
      <c r="N995">
        <v>3</v>
      </c>
      <c r="O995">
        <v>3</v>
      </c>
      <c r="Q995">
        <v>1</v>
      </c>
      <c r="R995">
        <v>3</v>
      </c>
      <c r="S995">
        <v>1</v>
      </c>
      <c r="U995" t="s">
        <v>38</v>
      </c>
      <c r="V995">
        <v>1</v>
      </c>
    </row>
    <row r="996" spans="2:22" x14ac:dyDescent="0.25">
      <c r="B996">
        <v>28</v>
      </c>
      <c r="C996">
        <f>IF(Adecco_India[[#This Row],[Attrition]]="Yes",1,0)</f>
        <v>0</v>
      </c>
      <c r="F996">
        <v>52</v>
      </c>
      <c r="G996">
        <v>3</v>
      </c>
      <c r="J996">
        <v>2</v>
      </c>
      <c r="K996">
        <v>3</v>
      </c>
      <c r="N996">
        <v>5</v>
      </c>
      <c r="O996">
        <v>3</v>
      </c>
      <c r="Q996">
        <v>0</v>
      </c>
      <c r="R996">
        <v>3</v>
      </c>
      <c r="S996">
        <v>1</v>
      </c>
      <c r="U996" t="s">
        <v>51</v>
      </c>
      <c r="V996">
        <v>1</v>
      </c>
    </row>
    <row r="997" spans="2:22" x14ac:dyDescent="0.25">
      <c r="B997">
        <v>6</v>
      </c>
      <c r="C997">
        <f>IF(Adecco_India[[#This Row],[Attrition]]="Yes",1,0)</f>
        <v>0</v>
      </c>
      <c r="F997">
        <v>43</v>
      </c>
      <c r="G997">
        <v>3</v>
      </c>
      <c r="J997">
        <v>1</v>
      </c>
      <c r="K997">
        <v>3</v>
      </c>
      <c r="N997">
        <v>20</v>
      </c>
      <c r="O997">
        <v>3</v>
      </c>
      <c r="Q997">
        <v>1</v>
      </c>
      <c r="R997">
        <v>3</v>
      </c>
      <c r="S997">
        <v>1</v>
      </c>
      <c r="U997" t="s">
        <v>51</v>
      </c>
      <c r="V997">
        <v>1</v>
      </c>
    </row>
    <row r="998" spans="2:22" x14ac:dyDescent="0.25">
      <c r="B998">
        <v>10</v>
      </c>
      <c r="C998">
        <f>IF(Adecco_India[[#This Row],[Attrition]]="Yes",1,0)</f>
        <v>0</v>
      </c>
      <c r="F998">
        <v>27</v>
      </c>
      <c r="G998">
        <v>4</v>
      </c>
      <c r="J998">
        <v>3</v>
      </c>
      <c r="K998">
        <v>3</v>
      </c>
      <c r="N998">
        <v>6</v>
      </c>
      <c r="O998">
        <v>4</v>
      </c>
      <c r="Q998">
        <v>4</v>
      </c>
      <c r="R998">
        <v>3</v>
      </c>
      <c r="S998">
        <v>1</v>
      </c>
      <c r="U998" t="s">
        <v>59</v>
      </c>
      <c r="V998">
        <v>1</v>
      </c>
    </row>
    <row r="999" spans="2:22" x14ac:dyDescent="0.25">
      <c r="B999">
        <v>17</v>
      </c>
      <c r="C999">
        <f>IF(Adecco_India[[#This Row],[Attrition]]="Yes",1,0)</f>
        <v>1</v>
      </c>
      <c r="F999">
        <v>27</v>
      </c>
      <c r="G999">
        <v>3</v>
      </c>
      <c r="J999">
        <v>3</v>
      </c>
      <c r="K999">
        <v>3</v>
      </c>
      <c r="N999">
        <v>8</v>
      </c>
      <c r="O999">
        <v>3</v>
      </c>
      <c r="Q999">
        <v>7</v>
      </c>
      <c r="R999">
        <v>3</v>
      </c>
      <c r="S999">
        <v>1</v>
      </c>
      <c r="U999" t="s">
        <v>38</v>
      </c>
      <c r="V999">
        <v>1</v>
      </c>
    </row>
    <row r="1000" spans="2:22" x14ac:dyDescent="0.25">
      <c r="B1000">
        <v>2</v>
      </c>
      <c r="C1000">
        <f>IF(Adecco_India[[#This Row],[Attrition]]="Yes",1,0)</f>
        <v>0</v>
      </c>
      <c r="F1000">
        <v>26</v>
      </c>
      <c r="G1000">
        <v>4</v>
      </c>
      <c r="J1000">
        <v>3</v>
      </c>
      <c r="K1000">
        <v>3</v>
      </c>
      <c r="N1000">
        <v>4</v>
      </c>
      <c r="O1000">
        <v>4</v>
      </c>
      <c r="Q1000">
        <v>1</v>
      </c>
      <c r="R1000">
        <v>3</v>
      </c>
      <c r="S1000">
        <v>1</v>
      </c>
      <c r="U1000" t="s">
        <v>51</v>
      </c>
      <c r="V1000">
        <v>1</v>
      </c>
    </row>
    <row r="1001" spans="2:22" x14ac:dyDescent="0.25">
      <c r="B1001">
        <v>10</v>
      </c>
      <c r="C1001">
        <f>IF(Adecco_India[[#This Row],[Attrition]]="Yes",1,0)</f>
        <v>0</v>
      </c>
      <c r="F1001">
        <v>42</v>
      </c>
      <c r="G1001">
        <v>1</v>
      </c>
      <c r="J1001">
        <v>3</v>
      </c>
      <c r="K1001">
        <v>3</v>
      </c>
      <c r="N1001">
        <v>20</v>
      </c>
      <c r="O1001">
        <v>1</v>
      </c>
      <c r="Q1001">
        <v>0</v>
      </c>
      <c r="R1001">
        <v>3</v>
      </c>
      <c r="S1001">
        <v>1</v>
      </c>
      <c r="U1001" t="s">
        <v>61</v>
      </c>
      <c r="V1001">
        <v>1</v>
      </c>
    </row>
    <row r="1002" spans="2:22" x14ac:dyDescent="0.25">
      <c r="B1002">
        <v>8</v>
      </c>
      <c r="C1002">
        <f>IF(Adecco_India[[#This Row],[Attrition]]="Yes",1,0)</f>
        <v>0</v>
      </c>
      <c r="F1002">
        <v>52</v>
      </c>
      <c r="G1002">
        <v>1</v>
      </c>
      <c r="J1002">
        <v>1</v>
      </c>
      <c r="K1002">
        <v>3</v>
      </c>
      <c r="N1002">
        <v>5</v>
      </c>
      <c r="O1002">
        <v>1</v>
      </c>
      <c r="Q1002">
        <v>0</v>
      </c>
      <c r="R1002">
        <v>3</v>
      </c>
      <c r="S1002">
        <v>1</v>
      </c>
      <c r="U1002" t="s">
        <v>49</v>
      </c>
      <c r="V1002">
        <v>1</v>
      </c>
    </row>
    <row r="1003" spans="2:22" x14ac:dyDescent="0.25">
      <c r="B1003">
        <v>11</v>
      </c>
      <c r="C1003">
        <f>IF(Adecco_India[[#This Row],[Attrition]]="Yes",1,0)</f>
        <v>0</v>
      </c>
      <c r="F1003">
        <v>37</v>
      </c>
      <c r="G1003">
        <v>3</v>
      </c>
      <c r="J1003">
        <v>3</v>
      </c>
      <c r="K1003">
        <v>3</v>
      </c>
      <c r="N1003">
        <v>3</v>
      </c>
      <c r="O1003">
        <v>3</v>
      </c>
      <c r="Q1003">
        <v>0</v>
      </c>
      <c r="R1003">
        <v>3</v>
      </c>
      <c r="S1003">
        <v>1</v>
      </c>
      <c r="U1003" t="s">
        <v>51</v>
      </c>
      <c r="V1003">
        <v>1</v>
      </c>
    </row>
    <row r="1004" spans="2:22" x14ac:dyDescent="0.25">
      <c r="B1004">
        <v>18</v>
      </c>
      <c r="C1004">
        <f>IF(Adecco_India[[#This Row],[Attrition]]="Yes",1,0)</f>
        <v>0</v>
      </c>
      <c r="F1004">
        <v>35</v>
      </c>
      <c r="G1004">
        <v>4</v>
      </c>
      <c r="J1004">
        <v>3</v>
      </c>
      <c r="K1004">
        <v>3</v>
      </c>
      <c r="N1004">
        <v>2</v>
      </c>
      <c r="O1004">
        <v>4</v>
      </c>
      <c r="Q1004">
        <v>2</v>
      </c>
      <c r="R1004">
        <v>3</v>
      </c>
      <c r="S1004">
        <v>1</v>
      </c>
      <c r="U1004" t="s">
        <v>38</v>
      </c>
      <c r="V1004">
        <v>1</v>
      </c>
    </row>
    <row r="1005" spans="2:22" x14ac:dyDescent="0.25">
      <c r="B1005">
        <v>1</v>
      </c>
      <c r="C1005">
        <f>IF(Adecco_India[[#This Row],[Attrition]]="Yes",1,0)</f>
        <v>0</v>
      </c>
      <c r="F1005">
        <v>25</v>
      </c>
      <c r="G1005">
        <v>4</v>
      </c>
      <c r="J1005">
        <v>2</v>
      </c>
      <c r="K1005">
        <v>3</v>
      </c>
      <c r="N1005">
        <v>3</v>
      </c>
      <c r="O1005">
        <v>4</v>
      </c>
      <c r="Q1005">
        <v>0</v>
      </c>
      <c r="R1005">
        <v>3</v>
      </c>
      <c r="S1005">
        <v>1</v>
      </c>
      <c r="U1005" t="s">
        <v>60</v>
      </c>
      <c r="V1005">
        <v>1</v>
      </c>
    </row>
    <row r="1006" spans="2:22" x14ac:dyDescent="0.25">
      <c r="B1006">
        <v>7</v>
      </c>
      <c r="C1006">
        <f>IF(Adecco_India[[#This Row],[Attrition]]="Yes",1,0)</f>
        <v>0</v>
      </c>
      <c r="F1006">
        <v>26</v>
      </c>
      <c r="G1006">
        <v>1</v>
      </c>
      <c r="J1006">
        <v>3</v>
      </c>
      <c r="K1006">
        <v>3</v>
      </c>
      <c r="N1006">
        <v>7</v>
      </c>
      <c r="O1006">
        <v>1</v>
      </c>
      <c r="Q1006">
        <v>0</v>
      </c>
      <c r="R1006">
        <v>3</v>
      </c>
      <c r="S1006">
        <v>1</v>
      </c>
      <c r="U1006" t="s">
        <v>49</v>
      </c>
      <c r="V1006">
        <v>1</v>
      </c>
    </row>
    <row r="1007" spans="2:22" x14ac:dyDescent="0.25">
      <c r="B1007">
        <v>17</v>
      </c>
      <c r="C1007">
        <f>IF(Adecco_India[[#This Row],[Attrition]]="Yes",1,0)</f>
        <v>0</v>
      </c>
      <c r="F1007">
        <v>29</v>
      </c>
      <c r="G1007">
        <v>1</v>
      </c>
      <c r="J1007">
        <v>2</v>
      </c>
      <c r="K1007">
        <v>3</v>
      </c>
      <c r="N1007">
        <v>10</v>
      </c>
      <c r="O1007">
        <v>1</v>
      </c>
      <c r="Q1007">
        <v>0</v>
      </c>
      <c r="R1007">
        <v>3</v>
      </c>
      <c r="S1007">
        <v>1</v>
      </c>
      <c r="U1007" t="s">
        <v>49</v>
      </c>
      <c r="V1007">
        <v>1</v>
      </c>
    </row>
    <row r="1008" spans="2:22" x14ac:dyDescent="0.25">
      <c r="B1008">
        <v>28</v>
      </c>
      <c r="C1008">
        <f>IF(Adecco_India[[#This Row],[Attrition]]="Yes",1,0)</f>
        <v>1</v>
      </c>
      <c r="F1008">
        <v>49</v>
      </c>
      <c r="G1008">
        <v>1</v>
      </c>
      <c r="J1008">
        <v>3</v>
      </c>
      <c r="K1008">
        <v>4</v>
      </c>
      <c r="N1008">
        <v>4</v>
      </c>
      <c r="O1008">
        <v>1</v>
      </c>
      <c r="Q1008">
        <v>1</v>
      </c>
      <c r="R1008">
        <v>4</v>
      </c>
      <c r="S1008">
        <v>1</v>
      </c>
      <c r="U1008" t="s">
        <v>38</v>
      </c>
      <c r="V1008">
        <v>1</v>
      </c>
    </row>
    <row r="1009" spans="2:22" x14ac:dyDescent="0.25">
      <c r="B1009">
        <v>14</v>
      </c>
      <c r="C1009">
        <f>IF(Adecco_India[[#This Row],[Attrition]]="Yes",1,0)</f>
        <v>1</v>
      </c>
      <c r="F1009">
        <v>29</v>
      </c>
      <c r="G1009">
        <v>4</v>
      </c>
      <c r="J1009">
        <v>3</v>
      </c>
      <c r="K1009">
        <v>3</v>
      </c>
      <c r="N1009">
        <v>8</v>
      </c>
      <c r="O1009">
        <v>4</v>
      </c>
      <c r="Q1009">
        <v>7</v>
      </c>
      <c r="R1009">
        <v>3</v>
      </c>
      <c r="S1009">
        <v>1</v>
      </c>
      <c r="U1009" t="s">
        <v>49</v>
      </c>
      <c r="V1009">
        <v>1</v>
      </c>
    </row>
    <row r="1010" spans="2:22" x14ac:dyDescent="0.25">
      <c r="B1010">
        <v>1</v>
      </c>
      <c r="C1010">
        <f>IF(Adecco_India[[#This Row],[Attrition]]="Yes",1,0)</f>
        <v>0</v>
      </c>
      <c r="F1010">
        <v>54</v>
      </c>
      <c r="G1010">
        <v>4</v>
      </c>
      <c r="J1010">
        <v>2</v>
      </c>
      <c r="K1010">
        <v>3</v>
      </c>
      <c r="N1010">
        <v>20</v>
      </c>
      <c r="O1010">
        <v>4</v>
      </c>
      <c r="Q1010">
        <v>12</v>
      </c>
      <c r="R1010">
        <v>3</v>
      </c>
      <c r="S1010">
        <v>1</v>
      </c>
      <c r="U1010" t="s">
        <v>51</v>
      </c>
      <c r="V1010">
        <v>1</v>
      </c>
    </row>
    <row r="1011" spans="2:22" x14ac:dyDescent="0.25">
      <c r="B1011">
        <v>1</v>
      </c>
      <c r="C1011">
        <f>IF(Adecco_India[[#This Row],[Attrition]]="Yes",1,0)</f>
        <v>0</v>
      </c>
      <c r="F1011">
        <v>58</v>
      </c>
      <c r="G1011">
        <v>1</v>
      </c>
      <c r="J1011">
        <v>3</v>
      </c>
      <c r="K1011">
        <v>4</v>
      </c>
      <c r="N1011">
        <v>9</v>
      </c>
      <c r="O1011">
        <v>1</v>
      </c>
      <c r="Q1011">
        <v>1</v>
      </c>
      <c r="R1011">
        <v>4</v>
      </c>
      <c r="S1011">
        <v>1</v>
      </c>
      <c r="U1011" t="s">
        <v>51</v>
      </c>
      <c r="V1011">
        <v>1</v>
      </c>
    </row>
    <row r="1012" spans="2:22" x14ac:dyDescent="0.25">
      <c r="B1012">
        <v>1</v>
      </c>
      <c r="C1012">
        <f>IF(Adecco_India[[#This Row],[Attrition]]="Yes",1,0)</f>
        <v>0</v>
      </c>
      <c r="F1012">
        <v>55</v>
      </c>
      <c r="G1012">
        <v>4</v>
      </c>
      <c r="J1012">
        <v>4</v>
      </c>
      <c r="K1012">
        <v>3</v>
      </c>
      <c r="N1012">
        <v>7</v>
      </c>
      <c r="O1012">
        <v>4</v>
      </c>
      <c r="Q1012">
        <v>0</v>
      </c>
      <c r="R1012">
        <v>3</v>
      </c>
      <c r="S1012">
        <v>1</v>
      </c>
      <c r="U1012" t="s">
        <v>51</v>
      </c>
      <c r="V1012">
        <v>1</v>
      </c>
    </row>
    <row r="1013" spans="2:22" x14ac:dyDescent="0.25">
      <c r="B1013">
        <v>3</v>
      </c>
      <c r="C1013">
        <f>IF(Adecco_India[[#This Row],[Attrition]]="Yes",1,0)</f>
        <v>0</v>
      </c>
      <c r="F1013">
        <v>36</v>
      </c>
      <c r="G1013">
        <v>2</v>
      </c>
      <c r="J1013">
        <v>3</v>
      </c>
      <c r="K1013">
        <v>3</v>
      </c>
      <c r="N1013">
        <v>5</v>
      </c>
      <c r="O1013">
        <v>2</v>
      </c>
      <c r="Q1013">
        <v>0</v>
      </c>
      <c r="R1013">
        <v>3</v>
      </c>
      <c r="S1013">
        <v>1</v>
      </c>
      <c r="U1013" t="s">
        <v>59</v>
      </c>
      <c r="V1013">
        <v>1</v>
      </c>
    </row>
    <row r="1014" spans="2:22" x14ac:dyDescent="0.25">
      <c r="B1014">
        <v>1</v>
      </c>
      <c r="C1014">
        <f>IF(Adecco_India[[#This Row],[Attrition]]="Yes",1,0)</f>
        <v>1</v>
      </c>
      <c r="F1014">
        <v>31</v>
      </c>
      <c r="G1014">
        <v>3</v>
      </c>
      <c r="J1014">
        <v>3</v>
      </c>
      <c r="K1014">
        <v>3</v>
      </c>
      <c r="N1014">
        <v>1</v>
      </c>
      <c r="O1014">
        <v>3</v>
      </c>
      <c r="Q1014">
        <v>0</v>
      </c>
      <c r="R1014">
        <v>3</v>
      </c>
      <c r="S1014">
        <v>1</v>
      </c>
      <c r="U1014" t="s">
        <v>38</v>
      </c>
      <c r="V1014">
        <v>1</v>
      </c>
    </row>
    <row r="1015" spans="2:22" x14ac:dyDescent="0.25">
      <c r="B1015">
        <v>7</v>
      </c>
      <c r="C1015">
        <f>IF(Adecco_India[[#This Row],[Attrition]]="Yes",1,0)</f>
        <v>0</v>
      </c>
      <c r="F1015">
        <v>30</v>
      </c>
      <c r="G1015">
        <v>1</v>
      </c>
      <c r="J1015">
        <v>3</v>
      </c>
      <c r="K1015">
        <v>3</v>
      </c>
      <c r="N1015">
        <v>3</v>
      </c>
      <c r="O1015">
        <v>1</v>
      </c>
      <c r="Q1015">
        <v>0</v>
      </c>
      <c r="R1015">
        <v>3</v>
      </c>
      <c r="S1015">
        <v>1</v>
      </c>
      <c r="U1015" t="s">
        <v>59</v>
      </c>
      <c r="V1015">
        <v>1</v>
      </c>
    </row>
    <row r="1016" spans="2:22" x14ac:dyDescent="0.25">
      <c r="B1016">
        <v>8</v>
      </c>
      <c r="C1016">
        <f>IF(Adecco_India[[#This Row],[Attrition]]="Yes",1,0)</f>
        <v>0</v>
      </c>
      <c r="F1016">
        <v>31</v>
      </c>
      <c r="G1016">
        <v>2</v>
      </c>
      <c r="J1016">
        <v>4</v>
      </c>
      <c r="K1016">
        <v>3</v>
      </c>
      <c r="N1016">
        <v>3</v>
      </c>
      <c r="O1016">
        <v>2</v>
      </c>
      <c r="Q1016">
        <v>1</v>
      </c>
      <c r="R1016">
        <v>3</v>
      </c>
      <c r="S1016">
        <v>1</v>
      </c>
      <c r="U1016" t="s">
        <v>38</v>
      </c>
      <c r="V1016">
        <v>1</v>
      </c>
    </row>
    <row r="1017" spans="2:22" x14ac:dyDescent="0.25">
      <c r="B1017">
        <v>1</v>
      </c>
      <c r="C1017">
        <f>IF(Adecco_India[[#This Row],[Attrition]]="Yes",1,0)</f>
        <v>0</v>
      </c>
      <c r="F1017">
        <v>34</v>
      </c>
      <c r="G1017">
        <v>1</v>
      </c>
      <c r="J1017">
        <v>3</v>
      </c>
      <c r="K1017">
        <v>3</v>
      </c>
      <c r="N1017">
        <v>4</v>
      </c>
      <c r="O1017">
        <v>1</v>
      </c>
      <c r="Q1017">
        <v>1</v>
      </c>
      <c r="R1017">
        <v>3</v>
      </c>
      <c r="S1017">
        <v>1</v>
      </c>
      <c r="U1017" t="s">
        <v>49</v>
      </c>
      <c r="V1017">
        <v>1</v>
      </c>
    </row>
    <row r="1018" spans="2:22" x14ac:dyDescent="0.25">
      <c r="B1018">
        <v>8</v>
      </c>
      <c r="C1018">
        <f>IF(Adecco_India[[#This Row],[Attrition]]="Yes",1,0)</f>
        <v>1</v>
      </c>
      <c r="F1018">
        <v>31</v>
      </c>
      <c r="G1018">
        <v>2</v>
      </c>
      <c r="J1018">
        <v>4</v>
      </c>
      <c r="K1018">
        <v>3</v>
      </c>
      <c r="N1018">
        <v>1</v>
      </c>
      <c r="O1018">
        <v>2</v>
      </c>
      <c r="Q1018">
        <v>0</v>
      </c>
      <c r="R1018">
        <v>3</v>
      </c>
      <c r="S1018">
        <v>1</v>
      </c>
      <c r="U1018" t="s">
        <v>38</v>
      </c>
      <c r="V1018">
        <v>1</v>
      </c>
    </row>
    <row r="1019" spans="2:22" x14ac:dyDescent="0.25">
      <c r="B1019">
        <v>11</v>
      </c>
      <c r="C1019">
        <f>IF(Adecco_India[[#This Row],[Attrition]]="Yes",1,0)</f>
        <v>0</v>
      </c>
      <c r="F1019">
        <v>27</v>
      </c>
      <c r="G1019">
        <v>1</v>
      </c>
      <c r="J1019">
        <v>4</v>
      </c>
      <c r="K1019">
        <v>3</v>
      </c>
      <c r="N1019">
        <v>5</v>
      </c>
      <c r="O1019">
        <v>1</v>
      </c>
      <c r="Q1019">
        <v>1</v>
      </c>
      <c r="R1019">
        <v>3</v>
      </c>
      <c r="S1019">
        <v>1</v>
      </c>
      <c r="U1019" t="s">
        <v>38</v>
      </c>
      <c r="V1019">
        <v>1</v>
      </c>
    </row>
    <row r="1020" spans="2:22" x14ac:dyDescent="0.25">
      <c r="B1020">
        <v>4</v>
      </c>
      <c r="C1020">
        <f>IF(Adecco_India[[#This Row],[Attrition]]="Yes",1,0)</f>
        <v>0</v>
      </c>
      <c r="F1020">
        <v>36</v>
      </c>
      <c r="G1020">
        <v>4</v>
      </c>
      <c r="J1020">
        <v>2</v>
      </c>
      <c r="K1020">
        <v>3</v>
      </c>
      <c r="N1020">
        <v>10</v>
      </c>
      <c r="O1020">
        <v>4</v>
      </c>
      <c r="Q1020">
        <v>1</v>
      </c>
      <c r="R1020">
        <v>3</v>
      </c>
      <c r="S1020">
        <v>1</v>
      </c>
      <c r="U1020" t="s">
        <v>38</v>
      </c>
      <c r="V1020">
        <v>1</v>
      </c>
    </row>
    <row r="1021" spans="2:22" x14ac:dyDescent="0.25">
      <c r="B1021">
        <v>16</v>
      </c>
      <c r="C1021">
        <f>IF(Adecco_India[[#This Row],[Attrition]]="Yes",1,0)</f>
        <v>0</v>
      </c>
      <c r="F1021">
        <v>36</v>
      </c>
      <c r="G1021">
        <v>1</v>
      </c>
      <c r="J1021">
        <v>2</v>
      </c>
      <c r="K1021">
        <v>3</v>
      </c>
      <c r="N1021">
        <v>3</v>
      </c>
      <c r="O1021">
        <v>1</v>
      </c>
      <c r="Q1021">
        <v>0</v>
      </c>
      <c r="R1021">
        <v>3</v>
      </c>
      <c r="S1021">
        <v>1</v>
      </c>
      <c r="U1021" t="s">
        <v>59</v>
      </c>
      <c r="V1021">
        <v>1</v>
      </c>
    </row>
    <row r="1022" spans="2:22" x14ac:dyDescent="0.25">
      <c r="B1022">
        <v>1</v>
      </c>
      <c r="C1022">
        <f>IF(Adecco_India[[#This Row],[Attrition]]="Yes",1,0)</f>
        <v>0</v>
      </c>
      <c r="F1022">
        <v>47</v>
      </c>
      <c r="G1022">
        <v>4</v>
      </c>
      <c r="J1022">
        <v>2</v>
      </c>
      <c r="K1022">
        <v>3</v>
      </c>
      <c r="N1022">
        <v>6</v>
      </c>
      <c r="O1022">
        <v>4</v>
      </c>
      <c r="Q1022">
        <v>1</v>
      </c>
      <c r="R1022">
        <v>3</v>
      </c>
      <c r="S1022">
        <v>1</v>
      </c>
      <c r="U1022" t="s">
        <v>60</v>
      </c>
      <c r="V1022">
        <v>1</v>
      </c>
    </row>
    <row r="1023" spans="2:22" x14ac:dyDescent="0.25">
      <c r="B1023">
        <v>9</v>
      </c>
      <c r="C1023">
        <f>IF(Adecco_India[[#This Row],[Attrition]]="Yes",1,0)</f>
        <v>1</v>
      </c>
      <c r="F1023">
        <v>25</v>
      </c>
      <c r="G1023">
        <v>1</v>
      </c>
      <c r="J1023">
        <v>3</v>
      </c>
      <c r="K1023">
        <v>3</v>
      </c>
      <c r="N1023">
        <v>3</v>
      </c>
      <c r="O1023">
        <v>1</v>
      </c>
      <c r="Q1023">
        <v>2</v>
      </c>
      <c r="R1023">
        <v>3</v>
      </c>
      <c r="S1023">
        <v>1</v>
      </c>
      <c r="U1023" t="s">
        <v>38</v>
      </c>
      <c r="V1023">
        <v>1</v>
      </c>
    </row>
    <row r="1024" spans="2:22" x14ac:dyDescent="0.25">
      <c r="B1024">
        <v>5</v>
      </c>
      <c r="C1024">
        <f>IF(Adecco_India[[#This Row],[Attrition]]="Yes",1,0)</f>
        <v>0</v>
      </c>
      <c r="F1024">
        <v>37</v>
      </c>
      <c r="G1024">
        <v>3</v>
      </c>
      <c r="J1024">
        <v>1</v>
      </c>
      <c r="K1024">
        <v>3</v>
      </c>
      <c r="N1024">
        <v>6</v>
      </c>
      <c r="O1024">
        <v>3</v>
      </c>
      <c r="Q1024">
        <v>1</v>
      </c>
      <c r="R1024">
        <v>3</v>
      </c>
      <c r="S1024">
        <v>1</v>
      </c>
      <c r="U1024" t="s">
        <v>60</v>
      </c>
      <c r="V1024">
        <v>1</v>
      </c>
    </row>
    <row r="1025" spans="2:22" x14ac:dyDescent="0.25">
      <c r="B1025">
        <v>1</v>
      </c>
      <c r="C1025">
        <f>IF(Adecco_India[[#This Row],[Attrition]]="Yes",1,0)</f>
        <v>0</v>
      </c>
      <c r="F1025">
        <v>56</v>
      </c>
      <c r="G1025">
        <v>1</v>
      </c>
      <c r="J1025">
        <v>4</v>
      </c>
      <c r="K1025">
        <v>4</v>
      </c>
      <c r="N1025">
        <v>3</v>
      </c>
      <c r="O1025">
        <v>1</v>
      </c>
      <c r="Q1025">
        <v>1</v>
      </c>
      <c r="R1025">
        <v>4</v>
      </c>
      <c r="S1025">
        <v>1</v>
      </c>
      <c r="U1025" t="s">
        <v>38</v>
      </c>
      <c r="V1025">
        <v>1</v>
      </c>
    </row>
    <row r="1026" spans="2:22" x14ac:dyDescent="0.25">
      <c r="B1026">
        <v>2</v>
      </c>
      <c r="C1026">
        <f>IF(Adecco_India[[#This Row],[Attrition]]="Yes",1,0)</f>
        <v>0</v>
      </c>
      <c r="F1026">
        <v>47</v>
      </c>
      <c r="G1026">
        <v>3</v>
      </c>
      <c r="J1026">
        <v>4</v>
      </c>
      <c r="K1026">
        <v>3</v>
      </c>
      <c r="N1026">
        <v>20</v>
      </c>
      <c r="O1026">
        <v>3</v>
      </c>
      <c r="Q1026">
        <v>5</v>
      </c>
      <c r="R1026">
        <v>3</v>
      </c>
      <c r="S1026">
        <v>1</v>
      </c>
      <c r="U1026" t="s">
        <v>51</v>
      </c>
      <c r="V1026">
        <v>1</v>
      </c>
    </row>
    <row r="1027" spans="2:22" x14ac:dyDescent="0.25">
      <c r="B1027">
        <v>4</v>
      </c>
      <c r="C1027">
        <f>IF(Adecco_India[[#This Row],[Attrition]]="Yes",1,0)</f>
        <v>0</v>
      </c>
      <c r="F1027">
        <v>24</v>
      </c>
      <c r="G1027">
        <v>3</v>
      </c>
      <c r="J1027">
        <v>3</v>
      </c>
      <c r="K1027">
        <v>3</v>
      </c>
      <c r="N1027">
        <v>5</v>
      </c>
      <c r="O1027">
        <v>3</v>
      </c>
      <c r="Q1027">
        <v>0</v>
      </c>
      <c r="R1027">
        <v>3</v>
      </c>
      <c r="S1027">
        <v>1</v>
      </c>
      <c r="U1027" t="s">
        <v>51</v>
      </c>
      <c r="V1027">
        <v>1</v>
      </c>
    </row>
    <row r="1028" spans="2:22" x14ac:dyDescent="0.25">
      <c r="B1028">
        <v>7</v>
      </c>
      <c r="C1028">
        <f>IF(Adecco_India[[#This Row],[Attrition]]="Yes",1,0)</f>
        <v>0</v>
      </c>
      <c r="F1028">
        <v>32</v>
      </c>
      <c r="G1028">
        <v>4</v>
      </c>
      <c r="J1028">
        <v>2</v>
      </c>
      <c r="K1028">
        <v>3</v>
      </c>
      <c r="N1028">
        <v>4</v>
      </c>
      <c r="O1028">
        <v>4</v>
      </c>
      <c r="Q1028">
        <v>0</v>
      </c>
      <c r="R1028">
        <v>3</v>
      </c>
      <c r="S1028">
        <v>1</v>
      </c>
      <c r="U1028" t="s">
        <v>59</v>
      </c>
      <c r="V1028">
        <v>1</v>
      </c>
    </row>
    <row r="1029" spans="2:22" x14ac:dyDescent="0.25">
      <c r="B1029">
        <v>1</v>
      </c>
      <c r="C1029">
        <f>IF(Adecco_India[[#This Row],[Attrition]]="Yes",1,0)</f>
        <v>0</v>
      </c>
      <c r="F1029">
        <v>34</v>
      </c>
      <c r="G1029">
        <v>2</v>
      </c>
      <c r="J1029">
        <v>2</v>
      </c>
      <c r="K1029">
        <v>3</v>
      </c>
      <c r="N1029">
        <v>5</v>
      </c>
      <c r="O1029">
        <v>2</v>
      </c>
      <c r="Q1029">
        <v>0</v>
      </c>
      <c r="R1029">
        <v>3</v>
      </c>
      <c r="S1029">
        <v>1</v>
      </c>
      <c r="U1029" t="s">
        <v>38</v>
      </c>
      <c r="V1029">
        <v>1</v>
      </c>
    </row>
    <row r="1030" spans="2:22" x14ac:dyDescent="0.25">
      <c r="B1030">
        <v>5</v>
      </c>
      <c r="C1030">
        <f>IF(Adecco_India[[#This Row],[Attrition]]="Yes",1,0)</f>
        <v>0</v>
      </c>
      <c r="F1030">
        <v>41</v>
      </c>
      <c r="G1030">
        <v>3</v>
      </c>
      <c r="J1030">
        <v>2</v>
      </c>
      <c r="K1030">
        <v>3</v>
      </c>
      <c r="N1030">
        <v>4</v>
      </c>
      <c r="O1030">
        <v>3</v>
      </c>
      <c r="Q1030">
        <v>0</v>
      </c>
      <c r="R1030">
        <v>3</v>
      </c>
      <c r="S1030">
        <v>1</v>
      </c>
      <c r="U1030" t="s">
        <v>51</v>
      </c>
      <c r="V1030">
        <v>1</v>
      </c>
    </row>
    <row r="1031" spans="2:22" x14ac:dyDescent="0.25">
      <c r="B1031">
        <v>9</v>
      </c>
      <c r="C1031">
        <f>IF(Adecco_India[[#This Row],[Attrition]]="Yes",1,0)</f>
        <v>0</v>
      </c>
      <c r="F1031">
        <v>40</v>
      </c>
      <c r="G1031">
        <v>3</v>
      </c>
      <c r="J1031">
        <v>4</v>
      </c>
      <c r="K1031">
        <v>3</v>
      </c>
      <c r="N1031">
        <v>8</v>
      </c>
      <c r="O1031">
        <v>3</v>
      </c>
      <c r="Q1031">
        <v>0</v>
      </c>
      <c r="R1031">
        <v>3</v>
      </c>
      <c r="S1031">
        <v>1</v>
      </c>
      <c r="U1031" t="s">
        <v>49</v>
      </c>
      <c r="V1031">
        <v>1</v>
      </c>
    </row>
    <row r="1032" spans="2:22" x14ac:dyDescent="0.25">
      <c r="B1032">
        <v>8</v>
      </c>
      <c r="C1032">
        <f>IF(Adecco_India[[#This Row],[Attrition]]="Yes",1,0)</f>
        <v>0</v>
      </c>
      <c r="F1032">
        <v>31</v>
      </c>
      <c r="G1032">
        <v>4</v>
      </c>
      <c r="J1032">
        <v>3</v>
      </c>
      <c r="K1032">
        <v>3</v>
      </c>
      <c r="N1032">
        <v>13</v>
      </c>
      <c r="O1032">
        <v>4</v>
      </c>
      <c r="Q1032">
        <v>9</v>
      </c>
      <c r="R1032">
        <v>3</v>
      </c>
      <c r="S1032">
        <v>1</v>
      </c>
      <c r="U1032" t="s">
        <v>38</v>
      </c>
      <c r="V1032">
        <v>1</v>
      </c>
    </row>
    <row r="1033" spans="2:22" x14ac:dyDescent="0.25">
      <c r="B1033">
        <v>9</v>
      </c>
      <c r="C1033">
        <f>IF(Adecco_India[[#This Row],[Attrition]]="Yes",1,0)</f>
        <v>1</v>
      </c>
      <c r="F1033">
        <v>46</v>
      </c>
      <c r="G1033">
        <v>4</v>
      </c>
      <c r="J1033">
        <v>4</v>
      </c>
      <c r="K1033">
        <v>3</v>
      </c>
      <c r="N1033">
        <v>7</v>
      </c>
      <c r="O1033">
        <v>4</v>
      </c>
      <c r="Q1033">
        <v>4</v>
      </c>
      <c r="R1033">
        <v>3</v>
      </c>
      <c r="S1033">
        <v>1</v>
      </c>
      <c r="U1033" t="s">
        <v>59</v>
      </c>
      <c r="V1033">
        <v>1</v>
      </c>
    </row>
    <row r="1034" spans="2:22" x14ac:dyDescent="0.25">
      <c r="B1034">
        <v>2</v>
      </c>
      <c r="C1034">
        <f>IF(Adecco_India[[#This Row],[Attrition]]="Yes",1,0)</f>
        <v>1</v>
      </c>
      <c r="F1034">
        <v>39</v>
      </c>
      <c r="G1034">
        <v>1</v>
      </c>
      <c r="J1034">
        <v>4</v>
      </c>
      <c r="K1034">
        <v>4</v>
      </c>
      <c r="N1034">
        <v>1</v>
      </c>
      <c r="O1034">
        <v>1</v>
      </c>
      <c r="Q1034">
        <v>0</v>
      </c>
      <c r="R1034">
        <v>4</v>
      </c>
      <c r="S1034">
        <v>1</v>
      </c>
      <c r="U1034" t="s">
        <v>38</v>
      </c>
      <c r="V1034">
        <v>1</v>
      </c>
    </row>
    <row r="1035" spans="2:22" x14ac:dyDescent="0.25">
      <c r="B1035">
        <v>1</v>
      </c>
      <c r="C1035">
        <f>IF(Adecco_India[[#This Row],[Attrition]]="Yes",1,0)</f>
        <v>1</v>
      </c>
      <c r="F1035">
        <v>31</v>
      </c>
      <c r="G1035">
        <v>2</v>
      </c>
      <c r="J1035">
        <v>3</v>
      </c>
      <c r="K1035">
        <v>3</v>
      </c>
      <c r="N1035">
        <v>10</v>
      </c>
      <c r="O1035">
        <v>2</v>
      </c>
      <c r="Q1035">
        <v>4</v>
      </c>
      <c r="R1035">
        <v>3</v>
      </c>
      <c r="S1035">
        <v>1</v>
      </c>
      <c r="U1035" t="s">
        <v>38</v>
      </c>
      <c r="V1035">
        <v>1</v>
      </c>
    </row>
    <row r="1036" spans="2:22" x14ac:dyDescent="0.25">
      <c r="B1036">
        <v>20</v>
      </c>
      <c r="C1036">
        <f>IF(Adecco_India[[#This Row],[Attrition]]="Yes",1,0)</f>
        <v>0</v>
      </c>
      <c r="F1036">
        <v>45</v>
      </c>
      <c r="G1036">
        <v>1</v>
      </c>
      <c r="J1036">
        <v>3</v>
      </c>
      <c r="K1036">
        <v>3</v>
      </c>
      <c r="N1036">
        <v>7</v>
      </c>
      <c r="O1036">
        <v>1</v>
      </c>
      <c r="Q1036">
        <v>0</v>
      </c>
      <c r="R1036">
        <v>3</v>
      </c>
      <c r="S1036">
        <v>1</v>
      </c>
      <c r="U1036" t="s">
        <v>51</v>
      </c>
      <c r="V1036">
        <v>1</v>
      </c>
    </row>
    <row r="1037" spans="2:22" x14ac:dyDescent="0.25">
      <c r="B1037">
        <v>8</v>
      </c>
      <c r="C1037">
        <f>IF(Adecco_India[[#This Row],[Attrition]]="Yes",1,0)</f>
        <v>0</v>
      </c>
      <c r="F1037">
        <v>31</v>
      </c>
      <c r="G1037">
        <v>2</v>
      </c>
      <c r="J1037">
        <v>3</v>
      </c>
      <c r="K1037">
        <v>3</v>
      </c>
      <c r="N1037">
        <v>3</v>
      </c>
      <c r="O1037">
        <v>2</v>
      </c>
      <c r="Q1037">
        <v>0</v>
      </c>
      <c r="R1037">
        <v>3</v>
      </c>
      <c r="S1037">
        <v>1</v>
      </c>
      <c r="U1037" t="s">
        <v>51</v>
      </c>
      <c r="V1037">
        <v>1</v>
      </c>
    </row>
    <row r="1038" spans="2:22" x14ac:dyDescent="0.25">
      <c r="B1038">
        <v>2</v>
      </c>
      <c r="C1038">
        <f>IF(Adecco_India[[#This Row],[Attrition]]="Yes",1,0)</f>
        <v>1</v>
      </c>
      <c r="F1038">
        <v>31</v>
      </c>
      <c r="G1038">
        <v>4</v>
      </c>
      <c r="J1038">
        <v>1</v>
      </c>
      <c r="K1038">
        <v>3</v>
      </c>
      <c r="N1038">
        <v>2</v>
      </c>
      <c r="O1038">
        <v>4</v>
      </c>
      <c r="Q1038">
        <v>2</v>
      </c>
      <c r="R1038">
        <v>3</v>
      </c>
      <c r="S1038">
        <v>1</v>
      </c>
      <c r="U1038" t="s">
        <v>38</v>
      </c>
      <c r="V1038">
        <v>1</v>
      </c>
    </row>
    <row r="1039" spans="2:22" x14ac:dyDescent="0.25">
      <c r="B1039">
        <v>29</v>
      </c>
      <c r="C1039">
        <f>IF(Adecco_India[[#This Row],[Attrition]]="Yes",1,0)</f>
        <v>0</v>
      </c>
      <c r="F1039">
        <v>45</v>
      </c>
      <c r="G1039">
        <v>4</v>
      </c>
      <c r="J1039">
        <v>4</v>
      </c>
      <c r="K1039">
        <v>3</v>
      </c>
      <c r="N1039">
        <v>3</v>
      </c>
      <c r="O1039">
        <v>4</v>
      </c>
      <c r="Q1039">
        <v>1</v>
      </c>
      <c r="R1039">
        <v>3</v>
      </c>
      <c r="S1039">
        <v>1</v>
      </c>
      <c r="U1039" t="s">
        <v>60</v>
      </c>
      <c r="V1039">
        <v>1</v>
      </c>
    </row>
    <row r="1040" spans="2:22" x14ac:dyDescent="0.25">
      <c r="B1040">
        <v>7</v>
      </c>
      <c r="C1040">
        <f>IF(Adecco_India[[#This Row],[Attrition]]="Yes",1,0)</f>
        <v>0</v>
      </c>
      <c r="F1040">
        <v>48</v>
      </c>
      <c r="G1040">
        <v>1</v>
      </c>
      <c r="J1040">
        <v>3</v>
      </c>
      <c r="K1040">
        <v>3</v>
      </c>
      <c r="N1040">
        <v>2</v>
      </c>
      <c r="O1040">
        <v>1</v>
      </c>
      <c r="Q1040">
        <v>2</v>
      </c>
      <c r="R1040">
        <v>3</v>
      </c>
      <c r="S1040">
        <v>1</v>
      </c>
      <c r="U1040" t="s">
        <v>59</v>
      </c>
      <c r="V1040">
        <v>1</v>
      </c>
    </row>
    <row r="1041" spans="2:22" x14ac:dyDescent="0.25">
      <c r="B1041">
        <v>9</v>
      </c>
      <c r="C1041">
        <f>IF(Adecco_India[[#This Row],[Attrition]]="Yes",1,0)</f>
        <v>1</v>
      </c>
      <c r="F1041">
        <v>34</v>
      </c>
      <c r="G1041">
        <v>3</v>
      </c>
      <c r="J1041">
        <v>3</v>
      </c>
      <c r="K1041">
        <v>3</v>
      </c>
      <c r="N1041">
        <v>2</v>
      </c>
      <c r="O1041">
        <v>3</v>
      </c>
      <c r="Q1041">
        <v>2</v>
      </c>
      <c r="R1041">
        <v>3</v>
      </c>
      <c r="S1041">
        <v>1</v>
      </c>
      <c r="U1041" t="s">
        <v>60</v>
      </c>
      <c r="V1041">
        <v>1</v>
      </c>
    </row>
    <row r="1042" spans="2:22" x14ac:dyDescent="0.25">
      <c r="B1042">
        <v>8</v>
      </c>
      <c r="C1042">
        <f>IF(Adecco_India[[#This Row],[Attrition]]="Yes",1,0)</f>
        <v>0</v>
      </c>
      <c r="F1042">
        <v>40</v>
      </c>
      <c r="G1042">
        <v>2</v>
      </c>
      <c r="J1042">
        <v>3</v>
      </c>
      <c r="K1042">
        <v>3</v>
      </c>
      <c r="N1042">
        <v>9</v>
      </c>
      <c r="O1042">
        <v>2</v>
      </c>
      <c r="Q1042">
        <v>4</v>
      </c>
      <c r="R1042">
        <v>3</v>
      </c>
      <c r="S1042">
        <v>1</v>
      </c>
      <c r="U1042" t="s">
        <v>51</v>
      </c>
      <c r="V1042">
        <v>1</v>
      </c>
    </row>
    <row r="1043" spans="2:22" x14ac:dyDescent="0.25">
      <c r="B1043">
        <v>5</v>
      </c>
      <c r="C1043">
        <f>IF(Adecco_India[[#This Row],[Attrition]]="Yes",1,0)</f>
        <v>0</v>
      </c>
      <c r="F1043">
        <v>28</v>
      </c>
      <c r="G1043">
        <v>1</v>
      </c>
      <c r="J1043">
        <v>3</v>
      </c>
      <c r="K1043">
        <v>3</v>
      </c>
      <c r="N1043">
        <v>5</v>
      </c>
      <c r="O1043">
        <v>1</v>
      </c>
      <c r="Q1043">
        <v>1</v>
      </c>
      <c r="R1043">
        <v>3</v>
      </c>
      <c r="S1043">
        <v>1</v>
      </c>
      <c r="U1043" t="s">
        <v>51</v>
      </c>
      <c r="V1043">
        <v>1</v>
      </c>
    </row>
    <row r="1044" spans="2:22" x14ac:dyDescent="0.25">
      <c r="B1044">
        <v>5</v>
      </c>
      <c r="C1044">
        <f>IF(Adecco_India[[#This Row],[Attrition]]="Yes",1,0)</f>
        <v>0</v>
      </c>
      <c r="F1044">
        <v>44</v>
      </c>
      <c r="G1044">
        <v>3</v>
      </c>
      <c r="J1044">
        <v>3</v>
      </c>
      <c r="K1044">
        <v>3</v>
      </c>
      <c r="N1044">
        <v>5</v>
      </c>
      <c r="O1044">
        <v>3</v>
      </c>
      <c r="Q1044">
        <v>0</v>
      </c>
      <c r="R1044">
        <v>3</v>
      </c>
      <c r="S1044">
        <v>1</v>
      </c>
      <c r="U1044" t="s">
        <v>38</v>
      </c>
      <c r="V1044">
        <v>1</v>
      </c>
    </row>
    <row r="1045" spans="2:22" x14ac:dyDescent="0.25">
      <c r="B1045">
        <v>2</v>
      </c>
      <c r="C1045">
        <f>IF(Adecco_India[[#This Row],[Attrition]]="Yes",1,0)</f>
        <v>0</v>
      </c>
      <c r="F1045">
        <v>53</v>
      </c>
      <c r="G1045">
        <v>2</v>
      </c>
      <c r="J1045">
        <v>2</v>
      </c>
      <c r="K1045">
        <v>3</v>
      </c>
      <c r="N1045">
        <v>9</v>
      </c>
      <c r="O1045">
        <v>2</v>
      </c>
      <c r="Q1045">
        <v>8</v>
      </c>
      <c r="R1045">
        <v>3</v>
      </c>
      <c r="S1045">
        <v>1</v>
      </c>
      <c r="U1045" t="s">
        <v>51</v>
      </c>
      <c r="V1045">
        <v>1</v>
      </c>
    </row>
    <row r="1046" spans="2:22" x14ac:dyDescent="0.25">
      <c r="B1046">
        <v>5</v>
      </c>
      <c r="C1046">
        <f>IF(Adecco_India[[#This Row],[Attrition]]="Yes",1,0)</f>
        <v>0</v>
      </c>
      <c r="F1046">
        <v>49</v>
      </c>
      <c r="G1046">
        <v>3</v>
      </c>
      <c r="J1046">
        <v>2</v>
      </c>
      <c r="K1046">
        <v>3</v>
      </c>
      <c r="N1046">
        <v>3</v>
      </c>
      <c r="O1046">
        <v>3</v>
      </c>
      <c r="Q1046">
        <v>1</v>
      </c>
      <c r="R1046">
        <v>3</v>
      </c>
      <c r="S1046">
        <v>1</v>
      </c>
      <c r="U1046" t="s">
        <v>60</v>
      </c>
      <c r="V1046">
        <v>1</v>
      </c>
    </row>
    <row r="1047" spans="2:22" x14ac:dyDescent="0.25">
      <c r="B1047">
        <v>2</v>
      </c>
      <c r="C1047">
        <f>IF(Adecco_India[[#This Row],[Attrition]]="Yes",1,0)</f>
        <v>0</v>
      </c>
      <c r="F1047">
        <v>40</v>
      </c>
      <c r="G1047">
        <v>3</v>
      </c>
      <c r="J1047">
        <v>4</v>
      </c>
      <c r="K1047">
        <v>3</v>
      </c>
      <c r="N1047">
        <v>3</v>
      </c>
      <c r="O1047">
        <v>3</v>
      </c>
      <c r="Q1047">
        <v>1</v>
      </c>
      <c r="R1047">
        <v>3</v>
      </c>
      <c r="S1047">
        <v>1</v>
      </c>
      <c r="U1047" t="s">
        <v>51</v>
      </c>
      <c r="V1047">
        <v>1</v>
      </c>
    </row>
    <row r="1048" spans="2:22" x14ac:dyDescent="0.25">
      <c r="B1048">
        <v>20</v>
      </c>
      <c r="C1048">
        <f>IF(Adecco_India[[#This Row],[Attrition]]="Yes",1,0)</f>
        <v>0</v>
      </c>
      <c r="F1048">
        <v>44</v>
      </c>
      <c r="G1048">
        <v>2</v>
      </c>
      <c r="J1048">
        <v>2</v>
      </c>
      <c r="K1048">
        <v>3</v>
      </c>
      <c r="N1048">
        <v>5</v>
      </c>
      <c r="O1048">
        <v>2</v>
      </c>
      <c r="Q1048">
        <v>1</v>
      </c>
      <c r="R1048">
        <v>3</v>
      </c>
      <c r="S1048">
        <v>1</v>
      </c>
      <c r="U1048" t="s">
        <v>38</v>
      </c>
      <c r="V1048">
        <v>1</v>
      </c>
    </row>
    <row r="1049" spans="2:22" x14ac:dyDescent="0.25">
      <c r="B1049">
        <v>7</v>
      </c>
      <c r="C1049">
        <f>IF(Adecco_India[[#This Row],[Attrition]]="Yes",1,0)</f>
        <v>0</v>
      </c>
      <c r="F1049">
        <v>33</v>
      </c>
      <c r="G1049">
        <v>1</v>
      </c>
      <c r="J1049">
        <v>3</v>
      </c>
      <c r="K1049">
        <v>3</v>
      </c>
      <c r="N1049">
        <v>4</v>
      </c>
      <c r="O1049">
        <v>1</v>
      </c>
      <c r="Q1049">
        <v>0</v>
      </c>
      <c r="R1049">
        <v>3</v>
      </c>
      <c r="S1049">
        <v>1</v>
      </c>
      <c r="U1049" t="s">
        <v>51</v>
      </c>
      <c r="V1049">
        <v>1</v>
      </c>
    </row>
    <row r="1050" spans="2:22" x14ac:dyDescent="0.25">
      <c r="B1050">
        <v>3</v>
      </c>
      <c r="C1050">
        <f>IF(Adecco_India[[#This Row],[Attrition]]="Yes",1,0)</f>
        <v>0</v>
      </c>
      <c r="F1050">
        <v>34</v>
      </c>
      <c r="G1050">
        <v>1</v>
      </c>
      <c r="J1050">
        <v>3</v>
      </c>
      <c r="K1050">
        <v>3</v>
      </c>
      <c r="N1050">
        <v>13</v>
      </c>
      <c r="O1050">
        <v>1</v>
      </c>
      <c r="Q1050">
        <v>3</v>
      </c>
      <c r="R1050">
        <v>3</v>
      </c>
      <c r="S1050">
        <v>1</v>
      </c>
      <c r="U1050" t="s">
        <v>49</v>
      </c>
      <c r="V1050">
        <v>1</v>
      </c>
    </row>
    <row r="1051" spans="2:22" x14ac:dyDescent="0.25">
      <c r="B1051">
        <v>16</v>
      </c>
      <c r="C1051">
        <f>IF(Adecco_India[[#This Row],[Attrition]]="Yes",1,0)</f>
        <v>0</v>
      </c>
      <c r="F1051">
        <v>30</v>
      </c>
      <c r="G1051">
        <v>3</v>
      </c>
      <c r="J1051">
        <v>2</v>
      </c>
      <c r="K1051">
        <v>3</v>
      </c>
      <c r="N1051">
        <v>2</v>
      </c>
      <c r="O1051">
        <v>3</v>
      </c>
      <c r="Q1051">
        <v>2</v>
      </c>
      <c r="R1051">
        <v>3</v>
      </c>
      <c r="S1051">
        <v>1</v>
      </c>
      <c r="U1051" t="s">
        <v>38</v>
      </c>
      <c r="V1051">
        <v>1</v>
      </c>
    </row>
    <row r="1052" spans="2:22" x14ac:dyDescent="0.25">
      <c r="B1052">
        <v>9</v>
      </c>
      <c r="C1052">
        <f>IF(Adecco_India[[#This Row],[Attrition]]="Yes",1,0)</f>
        <v>0</v>
      </c>
      <c r="F1052">
        <v>42</v>
      </c>
      <c r="G1052">
        <v>4</v>
      </c>
      <c r="J1052">
        <v>3</v>
      </c>
      <c r="K1052">
        <v>3</v>
      </c>
      <c r="N1052">
        <v>12</v>
      </c>
      <c r="O1052">
        <v>4</v>
      </c>
      <c r="Q1052">
        <v>5</v>
      </c>
      <c r="R1052">
        <v>3</v>
      </c>
      <c r="S1052">
        <v>1</v>
      </c>
      <c r="U1052" t="s">
        <v>51</v>
      </c>
      <c r="V1052">
        <v>1</v>
      </c>
    </row>
    <row r="1053" spans="2:22" x14ac:dyDescent="0.25">
      <c r="B1053">
        <v>1</v>
      </c>
      <c r="C1053">
        <f>IF(Adecco_India[[#This Row],[Attrition]]="Yes",1,0)</f>
        <v>0</v>
      </c>
      <c r="F1053">
        <v>44</v>
      </c>
      <c r="G1053">
        <v>3</v>
      </c>
      <c r="J1053">
        <v>2</v>
      </c>
      <c r="K1053">
        <v>3</v>
      </c>
      <c r="N1053">
        <v>1</v>
      </c>
      <c r="O1053">
        <v>3</v>
      </c>
      <c r="Q1053">
        <v>0</v>
      </c>
      <c r="R1053">
        <v>3</v>
      </c>
      <c r="S1053">
        <v>1</v>
      </c>
      <c r="U1053" t="s">
        <v>59</v>
      </c>
      <c r="V1053">
        <v>1</v>
      </c>
    </row>
    <row r="1054" spans="2:22" x14ac:dyDescent="0.25">
      <c r="B1054">
        <v>7</v>
      </c>
      <c r="C1054">
        <f>IF(Adecco_India[[#This Row],[Attrition]]="Yes",1,0)</f>
        <v>0</v>
      </c>
      <c r="F1054">
        <v>30</v>
      </c>
      <c r="G1054">
        <v>3</v>
      </c>
      <c r="J1054">
        <v>2</v>
      </c>
      <c r="K1054">
        <v>3</v>
      </c>
      <c r="N1054">
        <v>1</v>
      </c>
      <c r="O1054">
        <v>3</v>
      </c>
      <c r="Q1054">
        <v>0</v>
      </c>
      <c r="R1054">
        <v>3</v>
      </c>
      <c r="S1054">
        <v>1</v>
      </c>
      <c r="U1054" t="s">
        <v>60</v>
      </c>
      <c r="V1054">
        <v>1</v>
      </c>
    </row>
    <row r="1055" spans="2:22" x14ac:dyDescent="0.25">
      <c r="B1055">
        <v>1</v>
      </c>
      <c r="C1055">
        <f>IF(Adecco_India[[#This Row],[Attrition]]="Yes",1,0)</f>
        <v>0</v>
      </c>
      <c r="F1055">
        <v>57</v>
      </c>
      <c r="G1055">
        <v>3</v>
      </c>
      <c r="J1055">
        <v>2</v>
      </c>
      <c r="K1055">
        <v>4</v>
      </c>
      <c r="N1055">
        <v>12</v>
      </c>
      <c r="O1055">
        <v>3</v>
      </c>
      <c r="Q1055">
        <v>2</v>
      </c>
      <c r="R1055">
        <v>4</v>
      </c>
      <c r="S1055">
        <v>1</v>
      </c>
      <c r="U1055" t="s">
        <v>38</v>
      </c>
      <c r="V1055">
        <v>1</v>
      </c>
    </row>
    <row r="1056" spans="2:22" x14ac:dyDescent="0.25">
      <c r="B1056">
        <v>7</v>
      </c>
      <c r="C1056">
        <f>IF(Adecco_India[[#This Row],[Attrition]]="Yes",1,0)</f>
        <v>0</v>
      </c>
      <c r="F1056">
        <v>49</v>
      </c>
      <c r="G1056">
        <v>2</v>
      </c>
      <c r="J1056">
        <v>3</v>
      </c>
      <c r="K1056">
        <v>3</v>
      </c>
      <c r="N1056">
        <v>8</v>
      </c>
      <c r="O1056">
        <v>2</v>
      </c>
      <c r="Q1056">
        <v>0</v>
      </c>
      <c r="R1056">
        <v>3</v>
      </c>
      <c r="S1056">
        <v>1</v>
      </c>
      <c r="U1056" t="s">
        <v>38</v>
      </c>
      <c r="V1056">
        <v>1</v>
      </c>
    </row>
    <row r="1057" spans="2:22" x14ac:dyDescent="0.25">
      <c r="B1057">
        <v>15</v>
      </c>
      <c r="C1057">
        <f>IF(Adecco_India[[#This Row],[Attrition]]="Yes",1,0)</f>
        <v>0</v>
      </c>
      <c r="F1057">
        <v>34</v>
      </c>
      <c r="G1057">
        <v>1</v>
      </c>
      <c r="J1057">
        <v>2</v>
      </c>
      <c r="K1057">
        <v>3</v>
      </c>
      <c r="N1057">
        <v>14</v>
      </c>
      <c r="O1057">
        <v>1</v>
      </c>
      <c r="Q1057">
        <v>6</v>
      </c>
      <c r="R1057">
        <v>3</v>
      </c>
      <c r="S1057">
        <v>1</v>
      </c>
      <c r="U1057" t="s">
        <v>51</v>
      </c>
      <c r="V1057">
        <v>1</v>
      </c>
    </row>
    <row r="1058" spans="2:22" x14ac:dyDescent="0.25">
      <c r="B1058">
        <v>1</v>
      </c>
      <c r="C1058">
        <f>IF(Adecco_India[[#This Row],[Attrition]]="Yes",1,0)</f>
        <v>1</v>
      </c>
      <c r="F1058">
        <v>28</v>
      </c>
      <c r="G1058">
        <v>3</v>
      </c>
      <c r="J1058">
        <v>4</v>
      </c>
      <c r="K1058">
        <v>3</v>
      </c>
      <c r="N1058">
        <v>3</v>
      </c>
      <c r="O1058">
        <v>3</v>
      </c>
      <c r="Q1058">
        <v>1</v>
      </c>
      <c r="R1058">
        <v>3</v>
      </c>
      <c r="S1058">
        <v>1</v>
      </c>
      <c r="U1058" t="s">
        <v>60</v>
      </c>
      <c r="V1058">
        <v>1</v>
      </c>
    </row>
    <row r="1059" spans="2:22" x14ac:dyDescent="0.25">
      <c r="B1059">
        <v>13</v>
      </c>
      <c r="C1059">
        <f>IF(Adecco_India[[#This Row],[Attrition]]="Yes",1,0)</f>
        <v>1</v>
      </c>
      <c r="F1059">
        <v>29</v>
      </c>
      <c r="G1059">
        <v>2</v>
      </c>
      <c r="J1059">
        <v>1</v>
      </c>
      <c r="K1059">
        <v>3</v>
      </c>
      <c r="N1059">
        <v>5</v>
      </c>
      <c r="O1059">
        <v>2</v>
      </c>
      <c r="Q1059">
        <v>0</v>
      </c>
      <c r="R1059">
        <v>3</v>
      </c>
      <c r="S1059">
        <v>1</v>
      </c>
      <c r="U1059" t="s">
        <v>60</v>
      </c>
      <c r="V1059">
        <v>1</v>
      </c>
    </row>
    <row r="1060" spans="2:22" x14ac:dyDescent="0.25">
      <c r="B1060">
        <v>24</v>
      </c>
      <c r="C1060">
        <f>IF(Adecco_India[[#This Row],[Attrition]]="Yes",1,0)</f>
        <v>1</v>
      </c>
      <c r="F1060">
        <v>34</v>
      </c>
      <c r="G1060">
        <v>2</v>
      </c>
      <c r="J1060">
        <v>4</v>
      </c>
      <c r="K1060">
        <v>4</v>
      </c>
      <c r="N1060">
        <v>15</v>
      </c>
      <c r="O1060">
        <v>2</v>
      </c>
      <c r="Q1060">
        <v>10</v>
      </c>
      <c r="R1060">
        <v>4</v>
      </c>
      <c r="S1060">
        <v>1</v>
      </c>
      <c r="U1060" t="s">
        <v>51</v>
      </c>
      <c r="V1060">
        <v>1</v>
      </c>
    </row>
    <row r="1061" spans="2:22" x14ac:dyDescent="0.25">
      <c r="B1061">
        <v>7</v>
      </c>
      <c r="C1061">
        <f>IF(Adecco_India[[#This Row],[Attrition]]="Yes",1,0)</f>
        <v>0</v>
      </c>
      <c r="F1061">
        <v>35</v>
      </c>
      <c r="G1061">
        <v>3</v>
      </c>
      <c r="J1061">
        <v>3</v>
      </c>
      <c r="K1061">
        <v>3</v>
      </c>
      <c r="N1061">
        <v>1</v>
      </c>
      <c r="O1061">
        <v>3</v>
      </c>
      <c r="Q1061">
        <v>0</v>
      </c>
      <c r="R1061">
        <v>3</v>
      </c>
      <c r="S1061">
        <v>1</v>
      </c>
      <c r="U1061" t="s">
        <v>38</v>
      </c>
      <c r="V1061">
        <v>1</v>
      </c>
    </row>
    <row r="1062" spans="2:22" x14ac:dyDescent="0.25">
      <c r="B1062">
        <v>9</v>
      </c>
      <c r="C1062">
        <f>IF(Adecco_India[[#This Row],[Attrition]]="Yes",1,0)</f>
        <v>1</v>
      </c>
      <c r="F1062">
        <v>24</v>
      </c>
      <c r="G1062">
        <v>1</v>
      </c>
      <c r="J1062">
        <v>2</v>
      </c>
      <c r="K1062">
        <v>3</v>
      </c>
      <c r="N1062">
        <v>0</v>
      </c>
      <c r="O1062">
        <v>1</v>
      </c>
      <c r="Q1062">
        <v>0</v>
      </c>
      <c r="R1062">
        <v>3</v>
      </c>
      <c r="S1062">
        <v>1</v>
      </c>
      <c r="U1062" t="s">
        <v>51</v>
      </c>
      <c r="V1062">
        <v>1</v>
      </c>
    </row>
    <row r="1063" spans="2:22" x14ac:dyDescent="0.25">
      <c r="B1063">
        <v>13</v>
      </c>
      <c r="C1063">
        <f>IF(Adecco_India[[#This Row],[Attrition]]="Yes",1,0)</f>
        <v>0</v>
      </c>
      <c r="F1063">
        <v>24</v>
      </c>
      <c r="G1063">
        <v>2</v>
      </c>
      <c r="J1063">
        <v>3</v>
      </c>
      <c r="K1063">
        <v>3</v>
      </c>
      <c r="N1063">
        <v>1</v>
      </c>
      <c r="O1063">
        <v>2</v>
      </c>
      <c r="Q1063">
        <v>0</v>
      </c>
      <c r="R1063">
        <v>3</v>
      </c>
      <c r="S1063">
        <v>1</v>
      </c>
      <c r="U1063" t="s">
        <v>38</v>
      </c>
      <c r="V1063">
        <v>1</v>
      </c>
    </row>
    <row r="1064" spans="2:22" x14ac:dyDescent="0.25">
      <c r="B1064">
        <v>2</v>
      </c>
      <c r="C1064">
        <f>IF(Adecco_India[[#This Row],[Attrition]]="Yes",1,0)</f>
        <v>0</v>
      </c>
      <c r="F1064">
        <v>44</v>
      </c>
      <c r="G1064">
        <v>3</v>
      </c>
      <c r="J1064">
        <v>2</v>
      </c>
      <c r="K1064">
        <v>3</v>
      </c>
      <c r="N1064">
        <v>2</v>
      </c>
      <c r="O1064">
        <v>3</v>
      </c>
      <c r="Q1064">
        <v>2</v>
      </c>
      <c r="R1064">
        <v>3</v>
      </c>
      <c r="S1064">
        <v>1</v>
      </c>
      <c r="U1064" t="s">
        <v>51</v>
      </c>
      <c r="V1064">
        <v>1</v>
      </c>
    </row>
    <row r="1065" spans="2:22" x14ac:dyDescent="0.25">
      <c r="B1065">
        <v>19</v>
      </c>
      <c r="C1065">
        <f>IF(Adecco_India[[#This Row],[Attrition]]="Yes",1,0)</f>
        <v>0</v>
      </c>
      <c r="F1065">
        <v>29</v>
      </c>
      <c r="G1065">
        <v>3</v>
      </c>
      <c r="J1065">
        <v>3</v>
      </c>
      <c r="K1065">
        <v>3</v>
      </c>
      <c r="N1065">
        <v>10</v>
      </c>
      <c r="O1065">
        <v>3</v>
      </c>
      <c r="Q1065">
        <v>0</v>
      </c>
      <c r="R1065">
        <v>3</v>
      </c>
      <c r="S1065">
        <v>1</v>
      </c>
      <c r="U1065" t="s">
        <v>38</v>
      </c>
      <c r="V1065">
        <v>1</v>
      </c>
    </row>
    <row r="1066" spans="2:22" x14ac:dyDescent="0.25">
      <c r="B1066">
        <v>1</v>
      </c>
      <c r="C1066">
        <f>IF(Adecco_India[[#This Row],[Attrition]]="Yes",1,0)</f>
        <v>0</v>
      </c>
      <c r="F1066">
        <v>30</v>
      </c>
      <c r="G1066">
        <v>3</v>
      </c>
      <c r="J1066">
        <v>4</v>
      </c>
      <c r="K1066">
        <v>4</v>
      </c>
      <c r="N1066">
        <v>5</v>
      </c>
      <c r="O1066">
        <v>3</v>
      </c>
      <c r="Q1066">
        <v>1</v>
      </c>
      <c r="R1066">
        <v>4</v>
      </c>
      <c r="S1066">
        <v>1</v>
      </c>
      <c r="U1066" t="s">
        <v>38</v>
      </c>
      <c r="V1066">
        <v>1</v>
      </c>
    </row>
    <row r="1067" spans="2:22" x14ac:dyDescent="0.25">
      <c r="B1067">
        <v>4</v>
      </c>
      <c r="C1067">
        <f>IF(Adecco_India[[#This Row],[Attrition]]="Yes",1,0)</f>
        <v>0</v>
      </c>
      <c r="F1067">
        <v>55</v>
      </c>
      <c r="G1067">
        <v>3</v>
      </c>
      <c r="J1067">
        <v>3</v>
      </c>
      <c r="K1067">
        <v>3</v>
      </c>
      <c r="N1067">
        <v>3</v>
      </c>
      <c r="O1067">
        <v>3</v>
      </c>
      <c r="Q1067">
        <v>1</v>
      </c>
      <c r="R1067">
        <v>3</v>
      </c>
      <c r="S1067">
        <v>1</v>
      </c>
      <c r="U1067" t="s">
        <v>38</v>
      </c>
      <c r="V1067">
        <v>1</v>
      </c>
    </row>
    <row r="1068" spans="2:22" x14ac:dyDescent="0.25">
      <c r="B1068">
        <v>4</v>
      </c>
      <c r="C1068">
        <f>IF(Adecco_India[[#This Row],[Attrition]]="Yes",1,0)</f>
        <v>0</v>
      </c>
      <c r="F1068">
        <v>33</v>
      </c>
      <c r="G1068">
        <v>2</v>
      </c>
      <c r="J1068">
        <v>3</v>
      </c>
      <c r="K1068">
        <v>3</v>
      </c>
      <c r="N1068">
        <v>5</v>
      </c>
      <c r="O1068">
        <v>2</v>
      </c>
      <c r="Q1068">
        <v>0</v>
      </c>
      <c r="R1068">
        <v>3</v>
      </c>
      <c r="S1068">
        <v>1</v>
      </c>
      <c r="U1068" t="s">
        <v>51</v>
      </c>
      <c r="V1068">
        <v>1</v>
      </c>
    </row>
    <row r="1069" spans="2:22" x14ac:dyDescent="0.25">
      <c r="B1069">
        <v>14</v>
      </c>
      <c r="C1069">
        <f>IF(Adecco_India[[#This Row],[Attrition]]="Yes",1,0)</f>
        <v>0</v>
      </c>
      <c r="F1069">
        <v>47</v>
      </c>
      <c r="G1069">
        <v>3</v>
      </c>
      <c r="J1069">
        <v>2</v>
      </c>
      <c r="K1069">
        <v>3</v>
      </c>
      <c r="N1069">
        <v>5</v>
      </c>
      <c r="O1069">
        <v>3</v>
      </c>
      <c r="Q1069">
        <v>1</v>
      </c>
      <c r="R1069">
        <v>3</v>
      </c>
      <c r="S1069">
        <v>1</v>
      </c>
      <c r="U1069" t="s">
        <v>51</v>
      </c>
      <c r="V1069">
        <v>1</v>
      </c>
    </row>
    <row r="1070" spans="2:22" x14ac:dyDescent="0.25">
      <c r="B1070">
        <v>2</v>
      </c>
      <c r="C1070">
        <f>IF(Adecco_India[[#This Row],[Attrition]]="Yes",1,0)</f>
        <v>1</v>
      </c>
      <c r="F1070">
        <v>28</v>
      </c>
      <c r="G1070">
        <v>1</v>
      </c>
      <c r="J1070">
        <v>2</v>
      </c>
      <c r="K1070">
        <v>3</v>
      </c>
      <c r="N1070">
        <v>0</v>
      </c>
      <c r="O1070">
        <v>1</v>
      </c>
      <c r="Q1070">
        <v>0</v>
      </c>
      <c r="R1070">
        <v>3</v>
      </c>
      <c r="S1070">
        <v>1</v>
      </c>
      <c r="U1070" t="s">
        <v>51</v>
      </c>
      <c r="V1070">
        <v>1</v>
      </c>
    </row>
    <row r="1071" spans="2:22" x14ac:dyDescent="0.25">
      <c r="B1071">
        <v>1</v>
      </c>
      <c r="C1071">
        <f>IF(Adecco_India[[#This Row],[Attrition]]="Yes",1,0)</f>
        <v>0</v>
      </c>
      <c r="F1071">
        <v>28</v>
      </c>
      <c r="G1071">
        <v>3</v>
      </c>
      <c r="J1071">
        <v>1</v>
      </c>
      <c r="K1071">
        <v>3</v>
      </c>
      <c r="N1071">
        <v>1</v>
      </c>
      <c r="O1071">
        <v>3</v>
      </c>
      <c r="Q1071">
        <v>0</v>
      </c>
      <c r="R1071">
        <v>3</v>
      </c>
      <c r="S1071">
        <v>1</v>
      </c>
      <c r="U1071" t="s">
        <v>38</v>
      </c>
      <c r="V1071">
        <v>1</v>
      </c>
    </row>
    <row r="1072" spans="2:22" x14ac:dyDescent="0.25">
      <c r="B1072">
        <v>7</v>
      </c>
      <c r="C1072">
        <f>IF(Adecco_India[[#This Row],[Attrition]]="Yes",1,0)</f>
        <v>0</v>
      </c>
      <c r="F1072">
        <v>28</v>
      </c>
      <c r="G1072">
        <v>1</v>
      </c>
      <c r="J1072">
        <v>3</v>
      </c>
      <c r="K1072">
        <v>3</v>
      </c>
      <c r="N1072">
        <v>4</v>
      </c>
      <c r="O1072">
        <v>1</v>
      </c>
      <c r="Q1072">
        <v>1</v>
      </c>
      <c r="R1072">
        <v>3</v>
      </c>
      <c r="S1072">
        <v>1</v>
      </c>
      <c r="U1072" t="s">
        <v>38</v>
      </c>
      <c r="V1072">
        <v>1</v>
      </c>
    </row>
    <row r="1073" spans="2:22" x14ac:dyDescent="0.25">
      <c r="B1073">
        <v>3</v>
      </c>
      <c r="C1073">
        <f>IF(Adecco_India[[#This Row],[Attrition]]="Yes",1,0)</f>
        <v>0</v>
      </c>
      <c r="F1073">
        <v>49</v>
      </c>
      <c r="G1073">
        <v>1</v>
      </c>
      <c r="J1073">
        <v>3</v>
      </c>
      <c r="K1073">
        <v>4</v>
      </c>
      <c r="N1073">
        <v>3</v>
      </c>
      <c r="O1073">
        <v>1</v>
      </c>
      <c r="Q1073">
        <v>1</v>
      </c>
      <c r="R1073">
        <v>4</v>
      </c>
      <c r="S1073">
        <v>1</v>
      </c>
      <c r="U1073" t="s">
        <v>51</v>
      </c>
      <c r="V1073">
        <v>1</v>
      </c>
    </row>
    <row r="1074" spans="2:22" x14ac:dyDescent="0.25">
      <c r="B1074">
        <v>2</v>
      </c>
      <c r="C1074">
        <f>IF(Adecco_India[[#This Row],[Attrition]]="Yes",1,0)</f>
        <v>0</v>
      </c>
      <c r="F1074">
        <v>29</v>
      </c>
      <c r="G1074">
        <v>2</v>
      </c>
      <c r="J1074">
        <v>3</v>
      </c>
      <c r="K1074">
        <v>3</v>
      </c>
      <c r="N1074">
        <v>3</v>
      </c>
      <c r="O1074">
        <v>2</v>
      </c>
      <c r="Q1074">
        <v>0</v>
      </c>
      <c r="R1074">
        <v>3</v>
      </c>
      <c r="S1074">
        <v>1</v>
      </c>
      <c r="U1074" t="s">
        <v>38</v>
      </c>
      <c r="V1074">
        <v>1</v>
      </c>
    </row>
    <row r="1075" spans="2:22" x14ac:dyDescent="0.25">
      <c r="B1075">
        <v>29</v>
      </c>
      <c r="C1075">
        <f>IF(Adecco_India[[#This Row],[Attrition]]="Yes",1,0)</f>
        <v>0</v>
      </c>
      <c r="F1075">
        <v>28</v>
      </c>
      <c r="G1075">
        <v>2</v>
      </c>
      <c r="J1075">
        <v>2</v>
      </c>
      <c r="K1075">
        <v>3</v>
      </c>
      <c r="N1075">
        <v>8</v>
      </c>
      <c r="O1075">
        <v>2</v>
      </c>
      <c r="Q1075">
        <v>1</v>
      </c>
      <c r="R1075">
        <v>3</v>
      </c>
      <c r="S1075">
        <v>1</v>
      </c>
      <c r="U1075" t="s">
        <v>38</v>
      </c>
      <c r="V1075">
        <v>1</v>
      </c>
    </row>
    <row r="1076" spans="2:22" x14ac:dyDescent="0.25">
      <c r="B1076">
        <v>8</v>
      </c>
      <c r="C1076">
        <f>IF(Adecco_India[[#This Row],[Attrition]]="Yes",1,0)</f>
        <v>0</v>
      </c>
      <c r="F1076">
        <v>33</v>
      </c>
      <c r="G1076">
        <v>3</v>
      </c>
      <c r="J1076">
        <v>3</v>
      </c>
      <c r="K1076">
        <v>3</v>
      </c>
      <c r="N1076">
        <v>0</v>
      </c>
      <c r="O1076">
        <v>3</v>
      </c>
      <c r="Q1076">
        <v>0</v>
      </c>
      <c r="R1076">
        <v>3</v>
      </c>
      <c r="S1076">
        <v>1</v>
      </c>
      <c r="U1076" t="s">
        <v>38</v>
      </c>
      <c r="V1076">
        <v>1</v>
      </c>
    </row>
    <row r="1077" spans="2:22" x14ac:dyDescent="0.25">
      <c r="B1077">
        <v>10</v>
      </c>
      <c r="C1077">
        <f>IF(Adecco_India[[#This Row],[Attrition]]="Yes",1,0)</f>
        <v>0</v>
      </c>
      <c r="F1077">
        <v>32</v>
      </c>
      <c r="G1077">
        <v>4</v>
      </c>
      <c r="J1077">
        <v>4</v>
      </c>
      <c r="K1077">
        <v>4</v>
      </c>
      <c r="N1077">
        <v>5</v>
      </c>
      <c r="O1077">
        <v>4</v>
      </c>
      <c r="Q1077">
        <v>0</v>
      </c>
      <c r="R1077">
        <v>4</v>
      </c>
      <c r="S1077">
        <v>1</v>
      </c>
      <c r="U1077" t="s">
        <v>51</v>
      </c>
      <c r="V1077">
        <v>1</v>
      </c>
    </row>
    <row r="1078" spans="2:22" x14ac:dyDescent="0.25">
      <c r="B1078">
        <v>11</v>
      </c>
      <c r="C1078">
        <f>IF(Adecco_India[[#This Row],[Attrition]]="Yes",1,0)</f>
        <v>0</v>
      </c>
      <c r="F1078">
        <v>54</v>
      </c>
      <c r="G1078">
        <v>4</v>
      </c>
      <c r="J1078">
        <v>3</v>
      </c>
      <c r="K1078">
        <v>4</v>
      </c>
      <c r="N1078">
        <v>14</v>
      </c>
      <c r="O1078">
        <v>4</v>
      </c>
      <c r="Q1078">
        <v>1</v>
      </c>
      <c r="R1078">
        <v>4</v>
      </c>
      <c r="S1078">
        <v>1</v>
      </c>
      <c r="U1078" t="s">
        <v>51</v>
      </c>
      <c r="V1078">
        <v>1</v>
      </c>
    </row>
    <row r="1079" spans="2:22" x14ac:dyDescent="0.25">
      <c r="B1079">
        <v>1</v>
      </c>
      <c r="C1079">
        <f>IF(Adecco_India[[#This Row],[Attrition]]="Yes",1,0)</f>
        <v>1</v>
      </c>
      <c r="F1079">
        <v>29</v>
      </c>
      <c r="G1079">
        <v>1</v>
      </c>
      <c r="J1079">
        <v>1</v>
      </c>
      <c r="K1079">
        <v>3</v>
      </c>
      <c r="N1079">
        <v>9</v>
      </c>
      <c r="O1079">
        <v>1</v>
      </c>
      <c r="Q1079">
        <v>0</v>
      </c>
      <c r="R1079">
        <v>3</v>
      </c>
      <c r="S1079">
        <v>1</v>
      </c>
      <c r="U1079" t="s">
        <v>60</v>
      </c>
      <c r="V1079">
        <v>1</v>
      </c>
    </row>
    <row r="1080" spans="2:22" x14ac:dyDescent="0.25">
      <c r="B1080">
        <v>28</v>
      </c>
      <c r="C1080">
        <f>IF(Adecco_India[[#This Row],[Attrition]]="Yes",1,0)</f>
        <v>0</v>
      </c>
      <c r="F1080">
        <v>44</v>
      </c>
      <c r="G1080">
        <v>1</v>
      </c>
      <c r="J1080">
        <v>4</v>
      </c>
      <c r="K1080">
        <v>3</v>
      </c>
      <c r="N1080">
        <v>20</v>
      </c>
      <c r="O1080">
        <v>1</v>
      </c>
      <c r="Q1080">
        <v>14</v>
      </c>
      <c r="R1080">
        <v>3</v>
      </c>
      <c r="S1080">
        <v>1</v>
      </c>
      <c r="U1080" t="s">
        <v>38</v>
      </c>
      <c r="V1080">
        <v>1</v>
      </c>
    </row>
    <row r="1081" spans="2:22" x14ac:dyDescent="0.25">
      <c r="B1081">
        <v>6</v>
      </c>
      <c r="C1081">
        <f>IF(Adecco_India[[#This Row],[Attrition]]="Yes",1,0)</f>
        <v>0</v>
      </c>
      <c r="F1081">
        <v>39</v>
      </c>
      <c r="G1081">
        <v>2</v>
      </c>
      <c r="J1081">
        <v>3</v>
      </c>
      <c r="K1081">
        <v>3</v>
      </c>
      <c r="N1081">
        <v>2</v>
      </c>
      <c r="O1081">
        <v>2</v>
      </c>
      <c r="Q1081">
        <v>2</v>
      </c>
      <c r="R1081">
        <v>3</v>
      </c>
      <c r="S1081">
        <v>1</v>
      </c>
      <c r="U1081" t="s">
        <v>38</v>
      </c>
      <c r="V1081">
        <v>1</v>
      </c>
    </row>
    <row r="1082" spans="2:22" x14ac:dyDescent="0.25">
      <c r="B1082">
        <v>3</v>
      </c>
      <c r="C1082">
        <f>IF(Adecco_India[[#This Row],[Attrition]]="Yes",1,0)</f>
        <v>0</v>
      </c>
      <c r="F1082">
        <v>46</v>
      </c>
      <c r="G1082">
        <v>2</v>
      </c>
      <c r="J1082">
        <v>4</v>
      </c>
      <c r="K1082">
        <v>3</v>
      </c>
      <c r="N1082">
        <v>13</v>
      </c>
      <c r="O1082">
        <v>2</v>
      </c>
      <c r="Q1082">
        <v>5</v>
      </c>
      <c r="R1082">
        <v>3</v>
      </c>
      <c r="S1082">
        <v>1</v>
      </c>
      <c r="U1082" t="s">
        <v>38</v>
      </c>
      <c r="V1082">
        <v>1</v>
      </c>
    </row>
    <row r="1083" spans="2:22" x14ac:dyDescent="0.25">
      <c r="B1083">
        <v>16</v>
      </c>
      <c r="C1083">
        <f>IF(Adecco_India[[#This Row],[Attrition]]="Yes",1,0)</f>
        <v>0</v>
      </c>
      <c r="F1083">
        <v>35</v>
      </c>
      <c r="G1083">
        <v>2</v>
      </c>
      <c r="J1083">
        <v>1</v>
      </c>
      <c r="K1083">
        <v>3</v>
      </c>
      <c r="N1083">
        <v>11</v>
      </c>
      <c r="O1083">
        <v>2</v>
      </c>
      <c r="Q1083">
        <v>3</v>
      </c>
      <c r="R1083">
        <v>3</v>
      </c>
      <c r="S1083">
        <v>1</v>
      </c>
      <c r="U1083" t="s">
        <v>38</v>
      </c>
      <c r="V1083">
        <v>1</v>
      </c>
    </row>
    <row r="1084" spans="2:22" x14ac:dyDescent="0.25">
      <c r="B1084">
        <v>20</v>
      </c>
      <c r="C1084">
        <f>IF(Adecco_India[[#This Row],[Attrition]]="Yes",1,0)</f>
        <v>0</v>
      </c>
      <c r="F1084">
        <v>23</v>
      </c>
      <c r="G1084">
        <v>3</v>
      </c>
      <c r="J1084">
        <v>3</v>
      </c>
      <c r="K1084">
        <v>3</v>
      </c>
      <c r="N1084">
        <v>4</v>
      </c>
      <c r="O1084">
        <v>3</v>
      </c>
      <c r="Q1084">
        <v>1</v>
      </c>
      <c r="R1084">
        <v>3</v>
      </c>
      <c r="S1084">
        <v>1</v>
      </c>
      <c r="U1084" t="s">
        <v>38</v>
      </c>
      <c r="V1084">
        <v>1</v>
      </c>
    </row>
    <row r="1085" spans="2:22" x14ac:dyDescent="0.25">
      <c r="B1085">
        <v>9</v>
      </c>
      <c r="C1085">
        <f>IF(Adecco_India[[#This Row],[Attrition]]="Yes",1,0)</f>
        <v>1</v>
      </c>
      <c r="F1085">
        <v>40</v>
      </c>
      <c r="G1085">
        <v>1</v>
      </c>
      <c r="J1085">
        <v>1</v>
      </c>
      <c r="K1085">
        <v>3</v>
      </c>
      <c r="N1085">
        <v>5</v>
      </c>
      <c r="O1085">
        <v>1</v>
      </c>
      <c r="Q1085">
        <v>1</v>
      </c>
      <c r="R1085">
        <v>3</v>
      </c>
      <c r="S1085">
        <v>1</v>
      </c>
      <c r="U1085" t="s">
        <v>38</v>
      </c>
      <c r="V1085">
        <v>1</v>
      </c>
    </row>
    <row r="1086" spans="2:22" x14ac:dyDescent="0.25">
      <c r="B1086">
        <v>1</v>
      </c>
      <c r="C1086">
        <f>IF(Adecco_India[[#This Row],[Attrition]]="Yes",1,0)</f>
        <v>0</v>
      </c>
      <c r="F1086">
        <v>34</v>
      </c>
      <c r="G1086">
        <v>3</v>
      </c>
      <c r="J1086">
        <v>3</v>
      </c>
      <c r="K1086">
        <v>3</v>
      </c>
      <c r="N1086">
        <v>10</v>
      </c>
      <c r="O1086">
        <v>3</v>
      </c>
      <c r="Q1086">
        <v>8</v>
      </c>
      <c r="R1086">
        <v>3</v>
      </c>
      <c r="S1086">
        <v>1</v>
      </c>
      <c r="U1086" t="s">
        <v>60</v>
      </c>
      <c r="V1086">
        <v>1</v>
      </c>
    </row>
    <row r="1087" spans="2:22" x14ac:dyDescent="0.25">
      <c r="B1087">
        <v>3</v>
      </c>
      <c r="C1087">
        <f>IF(Adecco_India[[#This Row],[Attrition]]="Yes",1,0)</f>
        <v>1</v>
      </c>
      <c r="F1087">
        <v>31</v>
      </c>
      <c r="G1087">
        <v>3</v>
      </c>
      <c r="J1087">
        <v>1</v>
      </c>
      <c r="K1087">
        <v>3</v>
      </c>
      <c r="N1087">
        <v>7</v>
      </c>
      <c r="O1087">
        <v>3</v>
      </c>
      <c r="Q1087">
        <v>7</v>
      </c>
      <c r="R1087">
        <v>3</v>
      </c>
      <c r="S1087">
        <v>1</v>
      </c>
      <c r="U1087" t="s">
        <v>38</v>
      </c>
      <c r="V1087">
        <v>1</v>
      </c>
    </row>
    <row r="1088" spans="2:22" x14ac:dyDescent="0.25">
      <c r="B1088">
        <v>22</v>
      </c>
      <c r="C1088">
        <f>IF(Adecco_India[[#This Row],[Attrition]]="Yes",1,0)</f>
        <v>0</v>
      </c>
      <c r="F1088">
        <v>50</v>
      </c>
      <c r="G1088">
        <v>4</v>
      </c>
      <c r="J1088">
        <v>3</v>
      </c>
      <c r="K1088">
        <v>3</v>
      </c>
      <c r="N1088">
        <v>32</v>
      </c>
      <c r="O1088">
        <v>4</v>
      </c>
      <c r="Q1088">
        <v>13</v>
      </c>
      <c r="R1088">
        <v>3</v>
      </c>
      <c r="S1088">
        <v>1</v>
      </c>
      <c r="U1088" t="s">
        <v>51</v>
      </c>
      <c r="V1088">
        <v>1</v>
      </c>
    </row>
    <row r="1089" spans="2:22" x14ac:dyDescent="0.25">
      <c r="B1089">
        <v>7</v>
      </c>
      <c r="C1089">
        <f>IF(Adecco_India[[#This Row],[Attrition]]="Yes",1,0)</f>
        <v>0</v>
      </c>
      <c r="F1089">
        <v>34</v>
      </c>
      <c r="G1089">
        <v>3</v>
      </c>
      <c r="J1089">
        <v>3</v>
      </c>
      <c r="K1089">
        <v>4</v>
      </c>
      <c r="N1089">
        <v>11</v>
      </c>
      <c r="O1089">
        <v>3</v>
      </c>
      <c r="Q1089">
        <v>5</v>
      </c>
      <c r="R1089">
        <v>4</v>
      </c>
      <c r="S1089">
        <v>1</v>
      </c>
      <c r="U1089" t="s">
        <v>60</v>
      </c>
      <c r="V1089">
        <v>1</v>
      </c>
    </row>
    <row r="1090" spans="2:22" x14ac:dyDescent="0.25">
      <c r="B1090">
        <v>2</v>
      </c>
      <c r="C1090">
        <f>IF(Adecco_India[[#This Row],[Attrition]]="Yes",1,0)</f>
        <v>0</v>
      </c>
      <c r="F1090">
        <v>42</v>
      </c>
      <c r="G1090">
        <v>2</v>
      </c>
      <c r="J1090">
        <v>3</v>
      </c>
      <c r="K1090">
        <v>3</v>
      </c>
      <c r="N1090">
        <v>1</v>
      </c>
      <c r="O1090">
        <v>2</v>
      </c>
      <c r="Q1090">
        <v>0</v>
      </c>
      <c r="R1090">
        <v>3</v>
      </c>
      <c r="S1090">
        <v>1</v>
      </c>
      <c r="U1090" t="s">
        <v>51</v>
      </c>
      <c r="V1090">
        <v>1</v>
      </c>
    </row>
    <row r="1091" spans="2:22" x14ac:dyDescent="0.25">
      <c r="B1091">
        <v>13</v>
      </c>
      <c r="C1091">
        <f>IF(Adecco_India[[#This Row],[Attrition]]="Yes",1,0)</f>
        <v>0</v>
      </c>
      <c r="F1091">
        <v>37</v>
      </c>
      <c r="G1091">
        <v>4</v>
      </c>
      <c r="J1091">
        <v>3</v>
      </c>
      <c r="K1091">
        <v>3</v>
      </c>
      <c r="N1091">
        <v>10</v>
      </c>
      <c r="O1091">
        <v>4</v>
      </c>
      <c r="Q1091">
        <v>3</v>
      </c>
      <c r="R1091">
        <v>3</v>
      </c>
      <c r="S1091">
        <v>1</v>
      </c>
      <c r="U1091" t="s">
        <v>51</v>
      </c>
      <c r="V1091">
        <v>1</v>
      </c>
    </row>
    <row r="1092" spans="2:22" x14ac:dyDescent="0.25">
      <c r="B1092">
        <v>8</v>
      </c>
      <c r="C1092">
        <f>IF(Adecco_India[[#This Row],[Attrition]]="Yes",1,0)</f>
        <v>0</v>
      </c>
      <c r="F1092">
        <v>29</v>
      </c>
      <c r="G1092">
        <v>1</v>
      </c>
      <c r="J1092">
        <v>3</v>
      </c>
      <c r="K1092">
        <v>3</v>
      </c>
      <c r="N1092">
        <v>7</v>
      </c>
      <c r="O1092">
        <v>1</v>
      </c>
      <c r="Q1092">
        <v>0</v>
      </c>
      <c r="R1092">
        <v>3</v>
      </c>
      <c r="S1092">
        <v>1</v>
      </c>
      <c r="U1092" t="s">
        <v>49</v>
      </c>
      <c r="V1092">
        <v>1</v>
      </c>
    </row>
    <row r="1093" spans="2:22" x14ac:dyDescent="0.25">
      <c r="B1093">
        <v>25</v>
      </c>
      <c r="C1093">
        <f>IF(Adecco_India[[#This Row],[Attrition]]="Yes",1,0)</f>
        <v>0</v>
      </c>
      <c r="F1093">
        <v>33</v>
      </c>
      <c r="G1093">
        <v>2</v>
      </c>
      <c r="J1093">
        <v>3</v>
      </c>
      <c r="K1093">
        <v>3</v>
      </c>
      <c r="N1093">
        <v>5</v>
      </c>
      <c r="O1093">
        <v>2</v>
      </c>
      <c r="Q1093">
        <v>0</v>
      </c>
      <c r="R1093">
        <v>3</v>
      </c>
      <c r="S1093">
        <v>1</v>
      </c>
      <c r="U1093" t="s">
        <v>38</v>
      </c>
      <c r="V1093">
        <v>1</v>
      </c>
    </row>
    <row r="1094" spans="2:22" x14ac:dyDescent="0.25">
      <c r="B1094">
        <v>28</v>
      </c>
      <c r="C1094">
        <f>IF(Adecco_India[[#This Row],[Attrition]]="Yes",1,0)</f>
        <v>0</v>
      </c>
      <c r="F1094">
        <v>45</v>
      </c>
      <c r="G1094">
        <v>4</v>
      </c>
      <c r="J1094">
        <v>3</v>
      </c>
      <c r="K1094">
        <v>4</v>
      </c>
      <c r="N1094">
        <v>5</v>
      </c>
      <c r="O1094">
        <v>4</v>
      </c>
      <c r="Q1094">
        <v>0</v>
      </c>
      <c r="R1094">
        <v>4</v>
      </c>
      <c r="S1094">
        <v>1</v>
      </c>
      <c r="U1094" t="s">
        <v>60</v>
      </c>
      <c r="V1094">
        <v>1</v>
      </c>
    </row>
    <row r="1095" spans="2:22" x14ac:dyDescent="0.25">
      <c r="B1095">
        <v>2</v>
      </c>
      <c r="C1095">
        <f>IF(Adecco_India[[#This Row],[Attrition]]="Yes",1,0)</f>
        <v>0</v>
      </c>
      <c r="F1095">
        <v>42</v>
      </c>
      <c r="G1095">
        <v>4</v>
      </c>
      <c r="J1095">
        <v>1</v>
      </c>
      <c r="K1095">
        <v>3</v>
      </c>
      <c r="N1095">
        <v>20</v>
      </c>
      <c r="O1095">
        <v>4</v>
      </c>
      <c r="Q1095">
        <v>13</v>
      </c>
      <c r="R1095">
        <v>3</v>
      </c>
      <c r="S1095">
        <v>1</v>
      </c>
      <c r="U1095" t="s">
        <v>38</v>
      </c>
      <c r="V1095">
        <v>1</v>
      </c>
    </row>
    <row r="1096" spans="2:22" x14ac:dyDescent="0.25">
      <c r="B1096">
        <v>9</v>
      </c>
      <c r="C1096">
        <f>IF(Adecco_India[[#This Row],[Attrition]]="Yes",1,0)</f>
        <v>0</v>
      </c>
      <c r="F1096">
        <v>40</v>
      </c>
      <c r="G1096">
        <v>1</v>
      </c>
      <c r="J1096">
        <v>4</v>
      </c>
      <c r="K1096">
        <v>3</v>
      </c>
      <c r="N1096">
        <v>8</v>
      </c>
      <c r="O1096">
        <v>1</v>
      </c>
      <c r="Q1096">
        <v>7</v>
      </c>
      <c r="R1096">
        <v>3</v>
      </c>
      <c r="S1096">
        <v>1</v>
      </c>
      <c r="U1096" t="s">
        <v>51</v>
      </c>
      <c r="V1096">
        <v>1</v>
      </c>
    </row>
    <row r="1097" spans="2:22" x14ac:dyDescent="0.25">
      <c r="B1097">
        <v>28</v>
      </c>
      <c r="C1097">
        <f>IF(Adecco_India[[#This Row],[Attrition]]="Yes",1,0)</f>
        <v>0</v>
      </c>
      <c r="F1097">
        <v>33</v>
      </c>
      <c r="G1097">
        <v>3</v>
      </c>
      <c r="J1097">
        <v>3</v>
      </c>
      <c r="K1097">
        <v>3</v>
      </c>
      <c r="N1097">
        <v>15</v>
      </c>
      <c r="O1097">
        <v>3</v>
      </c>
      <c r="Q1097">
        <v>5</v>
      </c>
      <c r="R1097">
        <v>3</v>
      </c>
      <c r="S1097">
        <v>1</v>
      </c>
      <c r="U1097" t="s">
        <v>38</v>
      </c>
      <c r="V1097">
        <v>1</v>
      </c>
    </row>
    <row r="1098" spans="2:22" x14ac:dyDescent="0.25">
      <c r="B1098">
        <v>6</v>
      </c>
      <c r="C1098">
        <f>IF(Adecco_India[[#This Row],[Attrition]]="Yes",1,0)</f>
        <v>0</v>
      </c>
      <c r="F1098">
        <v>40</v>
      </c>
      <c r="G1098">
        <v>4</v>
      </c>
      <c r="J1098">
        <v>3</v>
      </c>
      <c r="K1098">
        <v>4</v>
      </c>
      <c r="N1098">
        <v>21</v>
      </c>
      <c r="O1098">
        <v>4</v>
      </c>
      <c r="Q1098">
        <v>7</v>
      </c>
      <c r="R1098">
        <v>4</v>
      </c>
      <c r="S1098">
        <v>1</v>
      </c>
      <c r="U1098" t="s">
        <v>51</v>
      </c>
      <c r="V1098">
        <v>1</v>
      </c>
    </row>
    <row r="1099" spans="2:22" x14ac:dyDescent="0.25">
      <c r="B1099">
        <v>21</v>
      </c>
      <c r="C1099">
        <f>IF(Adecco_India[[#This Row],[Attrition]]="Yes",1,0)</f>
        <v>0</v>
      </c>
      <c r="F1099">
        <v>24</v>
      </c>
      <c r="G1099">
        <v>1</v>
      </c>
      <c r="J1099">
        <v>3</v>
      </c>
      <c r="K1099">
        <v>3</v>
      </c>
      <c r="N1099">
        <v>1</v>
      </c>
      <c r="O1099">
        <v>1</v>
      </c>
      <c r="Q1099">
        <v>0</v>
      </c>
      <c r="R1099">
        <v>3</v>
      </c>
      <c r="S1099">
        <v>1</v>
      </c>
      <c r="U1099" t="s">
        <v>60</v>
      </c>
      <c r="V1099">
        <v>1</v>
      </c>
    </row>
    <row r="1100" spans="2:22" x14ac:dyDescent="0.25">
      <c r="B1100">
        <v>8</v>
      </c>
      <c r="C1100">
        <f>IF(Adecco_India[[#This Row],[Attrition]]="Yes",1,0)</f>
        <v>0</v>
      </c>
      <c r="F1100">
        <v>40</v>
      </c>
      <c r="G1100">
        <v>4</v>
      </c>
      <c r="J1100">
        <v>3</v>
      </c>
      <c r="K1100">
        <v>3</v>
      </c>
      <c r="N1100">
        <v>2</v>
      </c>
      <c r="O1100">
        <v>4</v>
      </c>
      <c r="Q1100">
        <v>2</v>
      </c>
      <c r="R1100">
        <v>3</v>
      </c>
      <c r="S1100">
        <v>1</v>
      </c>
      <c r="U1100" t="s">
        <v>38</v>
      </c>
      <c r="V1100">
        <v>1</v>
      </c>
    </row>
    <row r="1101" spans="2:22" x14ac:dyDescent="0.25">
      <c r="B1101">
        <v>1</v>
      </c>
      <c r="C1101">
        <f>IF(Adecco_India[[#This Row],[Attrition]]="Yes",1,0)</f>
        <v>0</v>
      </c>
      <c r="F1101">
        <v>45</v>
      </c>
      <c r="G1101">
        <v>2</v>
      </c>
      <c r="J1101">
        <v>3</v>
      </c>
      <c r="K1101">
        <v>3</v>
      </c>
      <c r="N1101">
        <v>10</v>
      </c>
      <c r="O1101">
        <v>2</v>
      </c>
      <c r="Q1101">
        <v>7</v>
      </c>
      <c r="R1101">
        <v>3</v>
      </c>
      <c r="S1101">
        <v>1</v>
      </c>
      <c r="U1101" t="s">
        <v>60</v>
      </c>
      <c r="V1101">
        <v>1</v>
      </c>
    </row>
    <row r="1102" spans="2:22" x14ac:dyDescent="0.25">
      <c r="B1102">
        <v>28</v>
      </c>
      <c r="C1102">
        <f>IF(Adecco_India[[#This Row],[Attrition]]="Yes",1,0)</f>
        <v>0</v>
      </c>
      <c r="F1102">
        <v>35</v>
      </c>
      <c r="G1102">
        <v>3</v>
      </c>
      <c r="J1102">
        <v>3</v>
      </c>
      <c r="K1102">
        <v>4</v>
      </c>
      <c r="N1102">
        <v>5</v>
      </c>
      <c r="O1102">
        <v>3</v>
      </c>
      <c r="Q1102">
        <v>4</v>
      </c>
      <c r="R1102">
        <v>4</v>
      </c>
      <c r="S1102">
        <v>1</v>
      </c>
      <c r="U1102" t="s">
        <v>38</v>
      </c>
      <c r="V1102">
        <v>1</v>
      </c>
    </row>
    <row r="1103" spans="2:22" x14ac:dyDescent="0.25">
      <c r="B1103">
        <v>5</v>
      </c>
      <c r="C1103">
        <f>IF(Adecco_India[[#This Row],[Attrition]]="Yes",1,0)</f>
        <v>0</v>
      </c>
      <c r="F1103">
        <v>32</v>
      </c>
      <c r="G1103">
        <v>2</v>
      </c>
      <c r="J1103">
        <v>3</v>
      </c>
      <c r="K1103">
        <v>3</v>
      </c>
      <c r="N1103">
        <v>7</v>
      </c>
      <c r="O1103">
        <v>2</v>
      </c>
      <c r="Q1103">
        <v>2</v>
      </c>
      <c r="R1103">
        <v>3</v>
      </c>
      <c r="S1103">
        <v>1</v>
      </c>
      <c r="U1103" t="s">
        <v>38</v>
      </c>
      <c r="V1103">
        <v>1</v>
      </c>
    </row>
    <row r="1104" spans="2:22" x14ac:dyDescent="0.25">
      <c r="B1104">
        <v>2</v>
      </c>
      <c r="C1104">
        <f>IF(Adecco_India[[#This Row],[Attrition]]="Yes",1,0)</f>
        <v>0</v>
      </c>
      <c r="F1104">
        <v>36</v>
      </c>
      <c r="G1104">
        <v>4</v>
      </c>
      <c r="J1104">
        <v>2</v>
      </c>
      <c r="K1104">
        <v>4</v>
      </c>
      <c r="N1104">
        <v>3</v>
      </c>
      <c r="O1104">
        <v>4</v>
      </c>
      <c r="Q1104">
        <v>1</v>
      </c>
      <c r="R1104">
        <v>4</v>
      </c>
      <c r="S1104">
        <v>1</v>
      </c>
      <c r="U1104" t="s">
        <v>38</v>
      </c>
      <c r="V1104">
        <v>1</v>
      </c>
    </row>
    <row r="1105" spans="2:22" x14ac:dyDescent="0.25">
      <c r="B1105">
        <v>16</v>
      </c>
      <c r="C1105">
        <f>IF(Adecco_India[[#This Row],[Attrition]]="Yes",1,0)</f>
        <v>0</v>
      </c>
      <c r="F1105">
        <v>48</v>
      </c>
      <c r="G1105">
        <v>3</v>
      </c>
      <c r="J1105">
        <v>3</v>
      </c>
      <c r="K1105">
        <v>3</v>
      </c>
      <c r="N1105">
        <v>8</v>
      </c>
      <c r="O1105">
        <v>3</v>
      </c>
      <c r="Q1105">
        <v>7</v>
      </c>
      <c r="R1105">
        <v>3</v>
      </c>
      <c r="S1105">
        <v>1</v>
      </c>
      <c r="U1105" t="s">
        <v>38</v>
      </c>
      <c r="V1105">
        <v>1</v>
      </c>
    </row>
    <row r="1106" spans="2:22" x14ac:dyDescent="0.25">
      <c r="B1106">
        <v>9</v>
      </c>
      <c r="C1106">
        <f>IF(Adecco_India[[#This Row],[Attrition]]="Yes",1,0)</f>
        <v>0</v>
      </c>
      <c r="F1106">
        <v>29</v>
      </c>
      <c r="G1106">
        <v>3</v>
      </c>
      <c r="J1106">
        <v>2</v>
      </c>
      <c r="K1106">
        <v>3</v>
      </c>
      <c r="N1106">
        <v>1</v>
      </c>
      <c r="O1106">
        <v>3</v>
      </c>
      <c r="Q1106">
        <v>0</v>
      </c>
      <c r="R1106">
        <v>3</v>
      </c>
      <c r="S1106">
        <v>1</v>
      </c>
      <c r="U1106" t="s">
        <v>38</v>
      </c>
      <c r="V1106">
        <v>1</v>
      </c>
    </row>
    <row r="1107" spans="2:22" x14ac:dyDescent="0.25">
      <c r="B1107">
        <v>8</v>
      </c>
      <c r="C1107">
        <f>IF(Adecco_India[[#This Row],[Attrition]]="Yes",1,0)</f>
        <v>0</v>
      </c>
      <c r="F1107">
        <v>33</v>
      </c>
      <c r="G1107">
        <v>1</v>
      </c>
      <c r="J1107">
        <v>1</v>
      </c>
      <c r="K1107">
        <v>3</v>
      </c>
      <c r="N1107">
        <v>2</v>
      </c>
      <c r="O1107">
        <v>1</v>
      </c>
      <c r="Q1107">
        <v>2</v>
      </c>
      <c r="R1107">
        <v>3</v>
      </c>
      <c r="S1107">
        <v>1</v>
      </c>
      <c r="U1107" t="s">
        <v>38</v>
      </c>
      <c r="V1107">
        <v>1</v>
      </c>
    </row>
    <row r="1108" spans="2:22" x14ac:dyDescent="0.25">
      <c r="B1108">
        <v>1</v>
      </c>
      <c r="C1108">
        <f>IF(Adecco_India[[#This Row],[Attrition]]="Yes",1,0)</f>
        <v>1</v>
      </c>
      <c r="F1108">
        <v>30</v>
      </c>
      <c r="G1108">
        <v>1</v>
      </c>
      <c r="J1108">
        <v>3</v>
      </c>
      <c r="K1108">
        <v>3</v>
      </c>
      <c r="N1108">
        <v>10</v>
      </c>
      <c r="O1108">
        <v>1</v>
      </c>
      <c r="Q1108">
        <v>6</v>
      </c>
      <c r="R1108">
        <v>3</v>
      </c>
      <c r="S1108">
        <v>1</v>
      </c>
      <c r="U1108" t="s">
        <v>38</v>
      </c>
      <c r="V1108">
        <v>1</v>
      </c>
    </row>
    <row r="1109" spans="2:22" x14ac:dyDescent="0.25">
      <c r="B1109">
        <v>10</v>
      </c>
      <c r="C1109">
        <f>IF(Adecco_India[[#This Row],[Attrition]]="Yes",1,0)</f>
        <v>0</v>
      </c>
      <c r="F1109">
        <v>38</v>
      </c>
      <c r="G1109">
        <v>3</v>
      </c>
      <c r="J1109">
        <v>3</v>
      </c>
      <c r="K1109">
        <v>3</v>
      </c>
      <c r="N1109">
        <v>6</v>
      </c>
      <c r="O1109">
        <v>3</v>
      </c>
      <c r="Q1109">
        <v>1</v>
      </c>
      <c r="R1109">
        <v>3</v>
      </c>
      <c r="S1109">
        <v>1</v>
      </c>
      <c r="U1109" t="s">
        <v>61</v>
      </c>
      <c r="V1109">
        <v>1</v>
      </c>
    </row>
    <row r="1110" spans="2:22" x14ac:dyDescent="0.25">
      <c r="B1110">
        <v>1</v>
      </c>
      <c r="C1110">
        <f>IF(Adecco_India[[#This Row],[Attrition]]="Yes",1,0)</f>
        <v>0</v>
      </c>
      <c r="F1110">
        <v>35</v>
      </c>
      <c r="G1110">
        <v>1</v>
      </c>
      <c r="J1110">
        <v>3</v>
      </c>
      <c r="K1110">
        <v>3</v>
      </c>
      <c r="N1110">
        <v>3</v>
      </c>
      <c r="O1110">
        <v>1</v>
      </c>
      <c r="Q1110">
        <v>1</v>
      </c>
      <c r="R1110">
        <v>3</v>
      </c>
      <c r="S1110">
        <v>1</v>
      </c>
      <c r="U1110" t="s">
        <v>51</v>
      </c>
      <c r="V1110">
        <v>1</v>
      </c>
    </row>
    <row r="1111" spans="2:22" x14ac:dyDescent="0.25">
      <c r="B1111">
        <v>29</v>
      </c>
      <c r="C1111">
        <f>IF(Adecco_India[[#This Row],[Attrition]]="Yes",1,0)</f>
        <v>0</v>
      </c>
      <c r="F1111">
        <v>30</v>
      </c>
      <c r="G1111">
        <v>2</v>
      </c>
      <c r="J1111">
        <v>3</v>
      </c>
      <c r="K1111">
        <v>3</v>
      </c>
      <c r="N1111">
        <v>4</v>
      </c>
      <c r="O1111">
        <v>2</v>
      </c>
      <c r="Q1111">
        <v>1</v>
      </c>
      <c r="R1111">
        <v>3</v>
      </c>
      <c r="S1111">
        <v>1</v>
      </c>
      <c r="U1111" t="s">
        <v>60</v>
      </c>
      <c r="V1111">
        <v>1</v>
      </c>
    </row>
    <row r="1112" spans="2:22" x14ac:dyDescent="0.25">
      <c r="B1112">
        <v>2</v>
      </c>
      <c r="C1112">
        <f>IF(Adecco_India[[#This Row],[Attrition]]="Yes",1,0)</f>
        <v>1</v>
      </c>
      <c r="F1112">
        <v>35</v>
      </c>
      <c r="G1112">
        <v>1</v>
      </c>
      <c r="J1112">
        <v>3</v>
      </c>
      <c r="K1112">
        <v>3</v>
      </c>
      <c r="N1112">
        <v>1</v>
      </c>
      <c r="O1112">
        <v>1</v>
      </c>
      <c r="Q1112">
        <v>0</v>
      </c>
      <c r="R1112">
        <v>3</v>
      </c>
      <c r="S1112">
        <v>1</v>
      </c>
      <c r="U1112" t="s">
        <v>38</v>
      </c>
      <c r="V1112">
        <v>1</v>
      </c>
    </row>
    <row r="1113" spans="2:22" x14ac:dyDescent="0.25">
      <c r="B1113">
        <v>2</v>
      </c>
      <c r="C1113">
        <f>IF(Adecco_India[[#This Row],[Attrition]]="Yes",1,0)</f>
        <v>1</v>
      </c>
      <c r="F1113">
        <v>53</v>
      </c>
      <c r="G1113">
        <v>4</v>
      </c>
      <c r="J1113">
        <v>3</v>
      </c>
      <c r="K1113">
        <v>3</v>
      </c>
      <c r="N1113">
        <v>33</v>
      </c>
      <c r="O1113">
        <v>4</v>
      </c>
      <c r="Q1113">
        <v>1</v>
      </c>
      <c r="R1113">
        <v>3</v>
      </c>
      <c r="S1113">
        <v>1</v>
      </c>
      <c r="U1113" t="s">
        <v>60</v>
      </c>
      <c r="V1113">
        <v>1</v>
      </c>
    </row>
    <row r="1114" spans="2:22" x14ac:dyDescent="0.25">
      <c r="B1114">
        <v>2</v>
      </c>
      <c r="C1114">
        <f>IF(Adecco_India[[#This Row],[Attrition]]="Yes",1,0)</f>
        <v>1</v>
      </c>
      <c r="F1114">
        <v>38</v>
      </c>
      <c r="G1114">
        <v>2</v>
      </c>
      <c r="J1114">
        <v>3</v>
      </c>
      <c r="K1114">
        <v>3</v>
      </c>
      <c r="N1114">
        <v>5</v>
      </c>
      <c r="O1114">
        <v>2</v>
      </c>
      <c r="Q1114">
        <v>1</v>
      </c>
      <c r="R1114">
        <v>3</v>
      </c>
      <c r="S1114">
        <v>1</v>
      </c>
      <c r="U1114" t="s">
        <v>51</v>
      </c>
      <c r="V1114">
        <v>1</v>
      </c>
    </row>
    <row r="1115" spans="2:22" x14ac:dyDescent="0.25">
      <c r="B1115">
        <v>1</v>
      </c>
      <c r="C1115">
        <f>IF(Adecco_India[[#This Row],[Attrition]]="Yes",1,0)</f>
        <v>0</v>
      </c>
      <c r="F1115">
        <v>32</v>
      </c>
      <c r="G1115">
        <v>1</v>
      </c>
      <c r="J1115">
        <v>2</v>
      </c>
      <c r="K1115">
        <v>3</v>
      </c>
      <c r="N1115">
        <v>6</v>
      </c>
      <c r="O1115">
        <v>1</v>
      </c>
      <c r="Q1115">
        <v>1</v>
      </c>
      <c r="R1115">
        <v>3</v>
      </c>
      <c r="S1115">
        <v>1</v>
      </c>
      <c r="U1115" t="s">
        <v>60</v>
      </c>
      <c r="V1115">
        <v>1</v>
      </c>
    </row>
    <row r="1116" spans="2:22" x14ac:dyDescent="0.25">
      <c r="B1116">
        <v>15</v>
      </c>
      <c r="C1116">
        <f>IF(Adecco_India[[#This Row],[Attrition]]="Yes",1,0)</f>
        <v>0</v>
      </c>
      <c r="F1116">
        <v>48</v>
      </c>
      <c r="G1116">
        <v>1</v>
      </c>
      <c r="J1116">
        <v>2</v>
      </c>
      <c r="K1116">
        <v>3</v>
      </c>
      <c r="N1116">
        <v>8</v>
      </c>
      <c r="O1116">
        <v>1</v>
      </c>
      <c r="Q1116">
        <v>7</v>
      </c>
      <c r="R1116">
        <v>3</v>
      </c>
      <c r="S1116">
        <v>1</v>
      </c>
      <c r="U1116" t="s">
        <v>49</v>
      </c>
      <c r="V1116">
        <v>1</v>
      </c>
    </row>
    <row r="1117" spans="2:22" x14ac:dyDescent="0.25">
      <c r="B1117">
        <v>7</v>
      </c>
      <c r="C1117">
        <f>IF(Adecco_India[[#This Row],[Attrition]]="Yes",1,0)</f>
        <v>0</v>
      </c>
      <c r="F1117">
        <v>34</v>
      </c>
      <c r="G1117">
        <v>4</v>
      </c>
      <c r="J1117">
        <v>1</v>
      </c>
      <c r="K1117">
        <v>3</v>
      </c>
      <c r="N1117">
        <v>1</v>
      </c>
      <c r="O1117">
        <v>4</v>
      </c>
      <c r="Q1117">
        <v>0</v>
      </c>
      <c r="R1117">
        <v>3</v>
      </c>
      <c r="S1117">
        <v>1</v>
      </c>
      <c r="U1117" t="s">
        <v>51</v>
      </c>
      <c r="V1117">
        <v>1</v>
      </c>
    </row>
    <row r="1118" spans="2:22" x14ac:dyDescent="0.25">
      <c r="B1118">
        <v>26</v>
      </c>
      <c r="C1118">
        <f>IF(Adecco_India[[#This Row],[Attrition]]="Yes",1,0)</f>
        <v>0</v>
      </c>
      <c r="F1118">
        <v>55</v>
      </c>
      <c r="G1118">
        <v>4</v>
      </c>
      <c r="J1118">
        <v>3</v>
      </c>
      <c r="K1118">
        <v>4</v>
      </c>
      <c r="N1118">
        <v>36</v>
      </c>
      <c r="O1118">
        <v>4</v>
      </c>
      <c r="Q1118">
        <v>2</v>
      </c>
      <c r="R1118">
        <v>4</v>
      </c>
      <c r="S1118">
        <v>1</v>
      </c>
      <c r="U1118" t="s">
        <v>59</v>
      </c>
      <c r="V1118">
        <v>1</v>
      </c>
    </row>
    <row r="1119" spans="2:22" x14ac:dyDescent="0.25">
      <c r="B1119">
        <v>1</v>
      </c>
      <c r="C1119">
        <f>IF(Adecco_India[[#This Row],[Attrition]]="Yes",1,0)</f>
        <v>0</v>
      </c>
      <c r="F1119">
        <v>34</v>
      </c>
      <c r="G1119">
        <v>4</v>
      </c>
      <c r="J1119">
        <v>2</v>
      </c>
      <c r="K1119">
        <v>3</v>
      </c>
      <c r="N1119">
        <v>2</v>
      </c>
      <c r="O1119">
        <v>4</v>
      </c>
      <c r="Q1119">
        <v>2</v>
      </c>
      <c r="R1119">
        <v>3</v>
      </c>
      <c r="S1119">
        <v>1</v>
      </c>
      <c r="U1119" t="s">
        <v>38</v>
      </c>
      <c r="V1119">
        <v>1</v>
      </c>
    </row>
    <row r="1120" spans="2:22" x14ac:dyDescent="0.25">
      <c r="B1120">
        <v>3</v>
      </c>
      <c r="C1120">
        <f>IF(Adecco_India[[#This Row],[Attrition]]="Yes",1,0)</f>
        <v>0</v>
      </c>
      <c r="F1120">
        <v>26</v>
      </c>
      <c r="G1120">
        <v>4</v>
      </c>
      <c r="J1120">
        <v>3</v>
      </c>
      <c r="K1120">
        <v>4</v>
      </c>
      <c r="N1120">
        <v>1</v>
      </c>
      <c r="O1120">
        <v>4</v>
      </c>
      <c r="Q1120">
        <v>0</v>
      </c>
      <c r="R1120">
        <v>4</v>
      </c>
      <c r="S1120">
        <v>1</v>
      </c>
      <c r="U1120" t="s">
        <v>38</v>
      </c>
      <c r="V1120">
        <v>1</v>
      </c>
    </row>
    <row r="1121" spans="2:22" x14ac:dyDescent="0.25">
      <c r="B1121">
        <v>14</v>
      </c>
      <c r="C1121">
        <f>IF(Adecco_India[[#This Row],[Attrition]]="Yes",1,0)</f>
        <v>0</v>
      </c>
      <c r="F1121">
        <v>38</v>
      </c>
      <c r="G1121">
        <v>2</v>
      </c>
      <c r="J1121">
        <v>3</v>
      </c>
      <c r="K1121">
        <v>3</v>
      </c>
      <c r="N1121">
        <v>9</v>
      </c>
      <c r="O1121">
        <v>2</v>
      </c>
      <c r="Q1121">
        <v>7</v>
      </c>
      <c r="R1121">
        <v>3</v>
      </c>
      <c r="S1121">
        <v>1</v>
      </c>
      <c r="U1121" t="s">
        <v>38</v>
      </c>
      <c r="V1121">
        <v>1</v>
      </c>
    </row>
    <row r="1122" spans="2:22" x14ac:dyDescent="0.25">
      <c r="B1122">
        <v>16</v>
      </c>
      <c r="C1122">
        <f>IF(Adecco_India[[#This Row],[Attrition]]="Yes",1,0)</f>
        <v>0</v>
      </c>
      <c r="F1122">
        <v>38</v>
      </c>
      <c r="G1122">
        <v>2</v>
      </c>
      <c r="J1122">
        <v>4</v>
      </c>
      <c r="K1122">
        <v>3</v>
      </c>
      <c r="N1122">
        <v>3</v>
      </c>
      <c r="O1122">
        <v>2</v>
      </c>
      <c r="Q1122">
        <v>1</v>
      </c>
      <c r="R1122">
        <v>3</v>
      </c>
      <c r="S1122">
        <v>1</v>
      </c>
      <c r="U1122" t="s">
        <v>38</v>
      </c>
      <c r="V1122">
        <v>1</v>
      </c>
    </row>
    <row r="1123" spans="2:22" x14ac:dyDescent="0.25">
      <c r="B1123">
        <v>1</v>
      </c>
      <c r="C1123">
        <f>IF(Adecco_India[[#This Row],[Attrition]]="Yes",1,0)</f>
        <v>0</v>
      </c>
      <c r="F1123">
        <v>36</v>
      </c>
      <c r="G1123">
        <v>3</v>
      </c>
      <c r="J1123">
        <v>3</v>
      </c>
      <c r="K1123">
        <v>3</v>
      </c>
      <c r="N1123">
        <v>1</v>
      </c>
      <c r="O1123">
        <v>3</v>
      </c>
      <c r="Q1123">
        <v>0</v>
      </c>
      <c r="R1123">
        <v>3</v>
      </c>
      <c r="S1123">
        <v>1</v>
      </c>
      <c r="U1123" t="s">
        <v>38</v>
      </c>
      <c r="V1123">
        <v>1</v>
      </c>
    </row>
    <row r="1124" spans="2:22" x14ac:dyDescent="0.25">
      <c r="B1124">
        <v>3</v>
      </c>
      <c r="C1124">
        <f>IF(Adecco_India[[#This Row],[Attrition]]="Yes",1,0)</f>
        <v>0</v>
      </c>
      <c r="F1124">
        <v>29</v>
      </c>
      <c r="G1124">
        <v>1</v>
      </c>
      <c r="J1124">
        <v>3</v>
      </c>
      <c r="K1124">
        <v>3</v>
      </c>
      <c r="N1124">
        <v>10</v>
      </c>
      <c r="O1124">
        <v>1</v>
      </c>
      <c r="Q1124">
        <v>1</v>
      </c>
      <c r="R1124">
        <v>3</v>
      </c>
      <c r="S1124">
        <v>1</v>
      </c>
      <c r="U1124" t="s">
        <v>51</v>
      </c>
      <c r="V1124">
        <v>1</v>
      </c>
    </row>
    <row r="1125" spans="2:22" x14ac:dyDescent="0.25">
      <c r="B1125">
        <v>10</v>
      </c>
      <c r="C1125">
        <f>IF(Adecco_India[[#This Row],[Attrition]]="Yes",1,0)</f>
        <v>0</v>
      </c>
      <c r="F1125">
        <v>35</v>
      </c>
      <c r="G1125">
        <v>3</v>
      </c>
      <c r="J1125">
        <v>3</v>
      </c>
      <c r="K1125">
        <v>3</v>
      </c>
      <c r="N1125">
        <v>5</v>
      </c>
      <c r="O1125">
        <v>3</v>
      </c>
      <c r="Q1125">
        <v>0</v>
      </c>
      <c r="R1125">
        <v>3</v>
      </c>
      <c r="S1125">
        <v>1</v>
      </c>
      <c r="U1125" t="s">
        <v>51</v>
      </c>
      <c r="V1125">
        <v>1</v>
      </c>
    </row>
    <row r="1126" spans="2:22" x14ac:dyDescent="0.25">
      <c r="B1126">
        <v>6</v>
      </c>
      <c r="C1126">
        <f>IF(Adecco_India[[#This Row],[Attrition]]="Yes",1,0)</f>
        <v>0</v>
      </c>
      <c r="F1126">
        <v>39</v>
      </c>
      <c r="G1126">
        <v>3</v>
      </c>
      <c r="J1126">
        <v>3</v>
      </c>
      <c r="K1126">
        <v>3</v>
      </c>
      <c r="N1126">
        <v>7</v>
      </c>
      <c r="O1126">
        <v>3</v>
      </c>
      <c r="Q1126">
        <v>7</v>
      </c>
      <c r="R1126">
        <v>3</v>
      </c>
      <c r="S1126">
        <v>1</v>
      </c>
      <c r="U1126" t="s">
        <v>51</v>
      </c>
      <c r="V1126">
        <v>1</v>
      </c>
    </row>
    <row r="1127" spans="2:22" x14ac:dyDescent="0.25">
      <c r="B1127">
        <v>2</v>
      </c>
      <c r="C1127">
        <f>IF(Adecco_India[[#This Row],[Attrition]]="Yes",1,0)</f>
        <v>0</v>
      </c>
      <c r="F1127">
        <v>29</v>
      </c>
      <c r="G1127">
        <v>4</v>
      </c>
      <c r="J1127">
        <v>4</v>
      </c>
      <c r="K1127">
        <v>3</v>
      </c>
      <c r="N1127">
        <v>6</v>
      </c>
      <c r="O1127">
        <v>4</v>
      </c>
      <c r="Q1127">
        <v>1</v>
      </c>
      <c r="R1127">
        <v>3</v>
      </c>
      <c r="S1127">
        <v>1</v>
      </c>
      <c r="U1127" t="s">
        <v>38</v>
      </c>
      <c r="V1127">
        <v>1</v>
      </c>
    </row>
    <row r="1128" spans="2:22" x14ac:dyDescent="0.25">
      <c r="B1128">
        <v>9</v>
      </c>
      <c r="C1128">
        <f>IF(Adecco_India[[#This Row],[Attrition]]="Yes",1,0)</f>
        <v>0</v>
      </c>
      <c r="F1128">
        <v>50</v>
      </c>
      <c r="G1128">
        <v>3</v>
      </c>
      <c r="J1128">
        <v>3</v>
      </c>
      <c r="K1128">
        <v>3</v>
      </c>
      <c r="N1128">
        <v>1</v>
      </c>
      <c r="O1128">
        <v>3</v>
      </c>
      <c r="Q1128">
        <v>0</v>
      </c>
      <c r="R1128">
        <v>3</v>
      </c>
      <c r="S1128">
        <v>1</v>
      </c>
      <c r="U1128" t="s">
        <v>59</v>
      </c>
      <c r="V1128">
        <v>1</v>
      </c>
    </row>
    <row r="1129" spans="2:22" x14ac:dyDescent="0.25">
      <c r="B1129">
        <v>10</v>
      </c>
      <c r="C1129">
        <f>IF(Adecco_India[[#This Row],[Attrition]]="Yes",1,0)</f>
        <v>0</v>
      </c>
      <c r="F1129">
        <v>23</v>
      </c>
      <c r="G1129">
        <v>3</v>
      </c>
      <c r="J1129">
        <v>3</v>
      </c>
      <c r="K1129">
        <v>3</v>
      </c>
      <c r="N1129">
        <v>2</v>
      </c>
      <c r="O1129">
        <v>3</v>
      </c>
      <c r="Q1129">
        <v>2</v>
      </c>
      <c r="R1129">
        <v>3</v>
      </c>
      <c r="S1129">
        <v>1</v>
      </c>
      <c r="U1129" t="s">
        <v>60</v>
      </c>
      <c r="V1129">
        <v>1</v>
      </c>
    </row>
    <row r="1130" spans="2:22" x14ac:dyDescent="0.25">
      <c r="B1130">
        <v>6</v>
      </c>
      <c r="C1130">
        <f>IF(Adecco_India[[#This Row],[Attrition]]="Yes",1,0)</f>
        <v>0</v>
      </c>
      <c r="F1130">
        <v>36</v>
      </c>
      <c r="G1130">
        <v>1</v>
      </c>
      <c r="J1130">
        <v>3</v>
      </c>
      <c r="K1130">
        <v>3</v>
      </c>
      <c r="N1130">
        <v>3</v>
      </c>
      <c r="O1130">
        <v>1</v>
      </c>
      <c r="Q1130">
        <v>0</v>
      </c>
      <c r="R1130">
        <v>3</v>
      </c>
      <c r="S1130">
        <v>1</v>
      </c>
      <c r="U1130" t="s">
        <v>38</v>
      </c>
      <c r="V1130">
        <v>1</v>
      </c>
    </row>
    <row r="1131" spans="2:22" x14ac:dyDescent="0.25">
      <c r="B1131">
        <v>9</v>
      </c>
      <c r="C1131">
        <f>IF(Adecco_India[[#This Row],[Attrition]]="Yes",1,0)</f>
        <v>0</v>
      </c>
      <c r="F1131">
        <v>42</v>
      </c>
      <c r="G1131">
        <v>4</v>
      </c>
      <c r="J1131">
        <v>3</v>
      </c>
      <c r="K1131">
        <v>4</v>
      </c>
      <c r="N1131">
        <v>1</v>
      </c>
      <c r="O1131">
        <v>4</v>
      </c>
      <c r="Q1131">
        <v>0</v>
      </c>
      <c r="R1131">
        <v>4</v>
      </c>
      <c r="S1131">
        <v>1</v>
      </c>
      <c r="U1131" t="s">
        <v>49</v>
      </c>
      <c r="V1131">
        <v>1</v>
      </c>
    </row>
    <row r="1132" spans="2:22" x14ac:dyDescent="0.25">
      <c r="B1132">
        <v>28</v>
      </c>
      <c r="C1132">
        <f>IF(Adecco_India[[#This Row],[Attrition]]="Yes",1,0)</f>
        <v>0</v>
      </c>
      <c r="F1132">
        <v>35</v>
      </c>
      <c r="G1132">
        <v>3</v>
      </c>
      <c r="J1132">
        <v>2</v>
      </c>
      <c r="K1132">
        <v>3</v>
      </c>
      <c r="N1132">
        <v>10</v>
      </c>
      <c r="O1132">
        <v>3</v>
      </c>
      <c r="Q1132">
        <v>6</v>
      </c>
      <c r="R1132">
        <v>3</v>
      </c>
      <c r="S1132">
        <v>1</v>
      </c>
      <c r="U1132" t="s">
        <v>38</v>
      </c>
      <c r="V1132">
        <v>1</v>
      </c>
    </row>
    <row r="1133" spans="2:22" x14ac:dyDescent="0.25">
      <c r="B1133">
        <v>10</v>
      </c>
      <c r="C1133">
        <f>IF(Adecco_India[[#This Row],[Attrition]]="Yes",1,0)</f>
        <v>0</v>
      </c>
      <c r="F1133">
        <v>34</v>
      </c>
      <c r="G1133">
        <v>3</v>
      </c>
      <c r="J1133">
        <v>2</v>
      </c>
      <c r="K1133">
        <v>3</v>
      </c>
      <c r="N1133">
        <v>8</v>
      </c>
      <c r="O1133">
        <v>3</v>
      </c>
      <c r="Q1133">
        <v>7</v>
      </c>
      <c r="R1133">
        <v>3</v>
      </c>
      <c r="S1133">
        <v>1</v>
      </c>
      <c r="U1133" t="s">
        <v>60</v>
      </c>
      <c r="V1133">
        <v>1</v>
      </c>
    </row>
    <row r="1134" spans="2:22" x14ac:dyDescent="0.25">
      <c r="B1134">
        <v>14</v>
      </c>
      <c r="C1134">
        <f>IF(Adecco_India[[#This Row],[Attrition]]="Yes",1,0)</f>
        <v>0</v>
      </c>
      <c r="F1134">
        <v>40</v>
      </c>
      <c r="G1134">
        <v>1</v>
      </c>
      <c r="J1134">
        <v>3</v>
      </c>
      <c r="K1134">
        <v>3</v>
      </c>
      <c r="N1134">
        <v>5</v>
      </c>
      <c r="O1134">
        <v>1</v>
      </c>
      <c r="Q1134">
        <v>1</v>
      </c>
      <c r="R1134">
        <v>3</v>
      </c>
      <c r="S1134">
        <v>1</v>
      </c>
      <c r="U1134" t="s">
        <v>38</v>
      </c>
      <c r="V1134">
        <v>1</v>
      </c>
    </row>
    <row r="1135" spans="2:22" x14ac:dyDescent="0.25">
      <c r="B1135">
        <v>27</v>
      </c>
      <c r="C1135">
        <f>IF(Adecco_India[[#This Row],[Attrition]]="Yes",1,0)</f>
        <v>0</v>
      </c>
      <c r="F1135">
        <v>43</v>
      </c>
      <c r="G1135">
        <v>2</v>
      </c>
      <c r="J1135">
        <v>3</v>
      </c>
      <c r="K1135">
        <v>3</v>
      </c>
      <c r="N1135">
        <v>6</v>
      </c>
      <c r="O1135">
        <v>2</v>
      </c>
      <c r="Q1135">
        <v>0</v>
      </c>
      <c r="R1135">
        <v>3</v>
      </c>
      <c r="S1135">
        <v>1</v>
      </c>
      <c r="U1135" t="s">
        <v>60</v>
      </c>
      <c r="V1135">
        <v>1</v>
      </c>
    </row>
    <row r="1136" spans="2:22" x14ac:dyDescent="0.25">
      <c r="B1136">
        <v>7</v>
      </c>
      <c r="C1136">
        <f>IF(Adecco_India[[#This Row],[Attrition]]="Yes",1,0)</f>
        <v>0</v>
      </c>
      <c r="F1136">
        <v>35</v>
      </c>
      <c r="G1136">
        <v>4</v>
      </c>
      <c r="J1136">
        <v>2</v>
      </c>
      <c r="K1136">
        <v>3</v>
      </c>
      <c r="N1136">
        <v>1</v>
      </c>
      <c r="O1136">
        <v>4</v>
      </c>
      <c r="Q1136">
        <v>0</v>
      </c>
      <c r="R1136">
        <v>3</v>
      </c>
      <c r="S1136">
        <v>1</v>
      </c>
      <c r="U1136" t="s">
        <v>38</v>
      </c>
      <c r="V1136">
        <v>1</v>
      </c>
    </row>
    <row r="1137" spans="2:22" x14ac:dyDescent="0.25">
      <c r="B1137">
        <v>1</v>
      </c>
      <c r="C1137">
        <f>IF(Adecco_India[[#This Row],[Attrition]]="Yes",1,0)</f>
        <v>0</v>
      </c>
      <c r="F1137">
        <v>46</v>
      </c>
      <c r="G1137">
        <v>1</v>
      </c>
      <c r="J1137">
        <v>1</v>
      </c>
      <c r="K1137">
        <v>3</v>
      </c>
      <c r="N1137">
        <v>26</v>
      </c>
      <c r="O1137">
        <v>1</v>
      </c>
      <c r="Q1137">
        <v>0</v>
      </c>
      <c r="R1137">
        <v>3</v>
      </c>
      <c r="S1137">
        <v>1</v>
      </c>
      <c r="U1137" t="s">
        <v>38</v>
      </c>
      <c r="V1137">
        <v>1</v>
      </c>
    </row>
    <row r="1138" spans="2:22" x14ac:dyDescent="0.25">
      <c r="B1138">
        <v>24</v>
      </c>
      <c r="C1138">
        <f>IF(Adecco_India[[#This Row],[Attrition]]="Yes",1,0)</f>
        <v>1</v>
      </c>
      <c r="F1138">
        <v>28</v>
      </c>
      <c r="G1138">
        <v>2</v>
      </c>
      <c r="J1138">
        <v>3</v>
      </c>
      <c r="K1138">
        <v>3</v>
      </c>
      <c r="N1138">
        <v>1</v>
      </c>
      <c r="O1138">
        <v>2</v>
      </c>
      <c r="Q1138">
        <v>0</v>
      </c>
      <c r="R1138">
        <v>3</v>
      </c>
      <c r="S1138">
        <v>1</v>
      </c>
      <c r="U1138" t="s">
        <v>51</v>
      </c>
      <c r="V1138">
        <v>1</v>
      </c>
    </row>
    <row r="1139" spans="2:22" x14ac:dyDescent="0.25">
      <c r="B1139">
        <v>26</v>
      </c>
      <c r="C1139">
        <f>IF(Adecco_India[[#This Row],[Attrition]]="Yes",1,0)</f>
        <v>0</v>
      </c>
      <c r="F1139">
        <v>22</v>
      </c>
      <c r="G1139">
        <v>3</v>
      </c>
      <c r="J1139">
        <v>2</v>
      </c>
      <c r="K1139">
        <v>3</v>
      </c>
      <c r="N1139">
        <v>4</v>
      </c>
      <c r="O1139">
        <v>3</v>
      </c>
      <c r="Q1139">
        <v>1</v>
      </c>
      <c r="R1139">
        <v>3</v>
      </c>
      <c r="S1139">
        <v>1</v>
      </c>
      <c r="U1139" t="s">
        <v>49</v>
      </c>
      <c r="V1139">
        <v>1</v>
      </c>
    </row>
    <row r="1140" spans="2:22" x14ac:dyDescent="0.25">
      <c r="B1140">
        <v>20</v>
      </c>
      <c r="C1140">
        <f>IF(Adecco_India[[#This Row],[Attrition]]="Yes",1,0)</f>
        <v>0</v>
      </c>
      <c r="F1140">
        <v>50</v>
      </c>
      <c r="G1140">
        <v>3</v>
      </c>
      <c r="J1140">
        <v>3</v>
      </c>
      <c r="K1140">
        <v>3</v>
      </c>
      <c r="N1140">
        <v>30</v>
      </c>
      <c r="O1140">
        <v>3</v>
      </c>
      <c r="Q1140">
        <v>12</v>
      </c>
      <c r="R1140">
        <v>3</v>
      </c>
      <c r="S1140">
        <v>1</v>
      </c>
      <c r="U1140" t="s">
        <v>51</v>
      </c>
      <c r="V1140">
        <v>1</v>
      </c>
    </row>
    <row r="1141" spans="2:22" x14ac:dyDescent="0.25">
      <c r="B1141">
        <v>5</v>
      </c>
      <c r="C1141">
        <f>IF(Adecco_India[[#This Row],[Attrition]]="Yes",1,0)</f>
        <v>0</v>
      </c>
      <c r="F1141">
        <v>32</v>
      </c>
      <c r="G1141">
        <v>4</v>
      </c>
      <c r="J1141">
        <v>3</v>
      </c>
      <c r="K1141">
        <v>3</v>
      </c>
      <c r="N1141">
        <v>3</v>
      </c>
      <c r="O1141">
        <v>4</v>
      </c>
      <c r="Q1141">
        <v>0</v>
      </c>
      <c r="R1141">
        <v>3</v>
      </c>
      <c r="S1141">
        <v>1</v>
      </c>
      <c r="U1141" t="s">
        <v>49</v>
      </c>
      <c r="V1141">
        <v>1</v>
      </c>
    </row>
    <row r="1142" spans="2:22" x14ac:dyDescent="0.25">
      <c r="B1142">
        <v>7</v>
      </c>
      <c r="C1142">
        <f>IF(Adecco_India[[#This Row],[Attrition]]="Yes",1,0)</f>
        <v>0</v>
      </c>
      <c r="F1142">
        <v>44</v>
      </c>
      <c r="G1142">
        <v>4</v>
      </c>
      <c r="J1142">
        <v>2</v>
      </c>
      <c r="K1142">
        <v>3</v>
      </c>
      <c r="N1142">
        <v>22</v>
      </c>
      <c r="O1142">
        <v>4</v>
      </c>
      <c r="Q1142">
        <v>1</v>
      </c>
      <c r="R1142">
        <v>3</v>
      </c>
      <c r="S1142">
        <v>1</v>
      </c>
      <c r="U1142" t="s">
        <v>51</v>
      </c>
      <c r="V1142">
        <v>1</v>
      </c>
    </row>
    <row r="1143" spans="2:22" x14ac:dyDescent="0.25">
      <c r="B1143">
        <v>7</v>
      </c>
      <c r="C1143">
        <f>IF(Adecco_India[[#This Row],[Attrition]]="Yes",1,0)</f>
        <v>0</v>
      </c>
      <c r="F1143">
        <v>30</v>
      </c>
      <c r="G1143">
        <v>2</v>
      </c>
      <c r="J1143">
        <v>2</v>
      </c>
      <c r="K1143">
        <v>3</v>
      </c>
      <c r="N1143">
        <v>6</v>
      </c>
      <c r="O1143">
        <v>2</v>
      </c>
      <c r="Q1143">
        <v>1</v>
      </c>
      <c r="R1143">
        <v>3</v>
      </c>
      <c r="S1143">
        <v>1</v>
      </c>
      <c r="U1143" t="s">
        <v>51</v>
      </c>
      <c r="V1143">
        <v>1</v>
      </c>
    </row>
    <row r="1144" spans="2:22" x14ac:dyDescent="0.25">
      <c r="B1144">
        <v>5</v>
      </c>
      <c r="C1144">
        <f>IF(Adecco_India[[#This Row],[Attrition]]="Yes",1,0)</f>
        <v>0</v>
      </c>
      <c r="F1144">
        <v>45</v>
      </c>
      <c r="G1144">
        <v>1</v>
      </c>
      <c r="J1144">
        <v>3</v>
      </c>
      <c r="K1144">
        <v>3</v>
      </c>
      <c r="N1144">
        <v>10</v>
      </c>
      <c r="O1144">
        <v>1</v>
      </c>
      <c r="Q1144">
        <v>1</v>
      </c>
      <c r="R1144">
        <v>3</v>
      </c>
      <c r="S1144">
        <v>1</v>
      </c>
      <c r="U1144" t="s">
        <v>51</v>
      </c>
      <c r="V1144">
        <v>1</v>
      </c>
    </row>
    <row r="1145" spans="2:22" x14ac:dyDescent="0.25">
      <c r="B1145">
        <v>26</v>
      </c>
      <c r="C1145">
        <f>IF(Adecco_India[[#This Row],[Attrition]]="Yes",1,0)</f>
        <v>0</v>
      </c>
      <c r="F1145">
        <v>45</v>
      </c>
      <c r="G1145">
        <v>1</v>
      </c>
      <c r="J1145">
        <v>3</v>
      </c>
      <c r="K1145">
        <v>3</v>
      </c>
      <c r="N1145">
        <v>10</v>
      </c>
      <c r="O1145">
        <v>1</v>
      </c>
      <c r="Q1145">
        <v>4</v>
      </c>
      <c r="R1145">
        <v>3</v>
      </c>
      <c r="S1145">
        <v>1</v>
      </c>
      <c r="U1145" t="s">
        <v>59</v>
      </c>
      <c r="V1145">
        <v>1</v>
      </c>
    </row>
    <row r="1146" spans="2:22" x14ac:dyDescent="0.25">
      <c r="B1146">
        <v>2</v>
      </c>
      <c r="C1146">
        <f>IF(Adecco_India[[#This Row],[Attrition]]="Yes",1,0)</f>
        <v>0</v>
      </c>
      <c r="F1146">
        <v>31</v>
      </c>
      <c r="G1146">
        <v>1</v>
      </c>
      <c r="J1146">
        <v>3</v>
      </c>
      <c r="K1146">
        <v>3</v>
      </c>
      <c r="N1146">
        <v>5</v>
      </c>
      <c r="O1146">
        <v>1</v>
      </c>
      <c r="Q1146">
        <v>0</v>
      </c>
      <c r="R1146">
        <v>3</v>
      </c>
      <c r="S1146">
        <v>1</v>
      </c>
      <c r="U1146" t="s">
        <v>49</v>
      </c>
      <c r="V1146">
        <v>1</v>
      </c>
    </row>
    <row r="1147" spans="2:22" x14ac:dyDescent="0.25">
      <c r="B1147">
        <v>12</v>
      </c>
      <c r="C1147">
        <f>IF(Adecco_India[[#This Row],[Attrition]]="Yes",1,0)</f>
        <v>0</v>
      </c>
      <c r="F1147">
        <v>36</v>
      </c>
      <c r="G1147">
        <v>3</v>
      </c>
      <c r="J1147">
        <v>3</v>
      </c>
      <c r="K1147">
        <v>3</v>
      </c>
      <c r="N1147">
        <v>3</v>
      </c>
      <c r="O1147">
        <v>3</v>
      </c>
      <c r="Q1147">
        <v>1</v>
      </c>
      <c r="R1147">
        <v>3</v>
      </c>
      <c r="S1147">
        <v>1</v>
      </c>
      <c r="U1147" t="s">
        <v>38</v>
      </c>
      <c r="V1147">
        <v>1</v>
      </c>
    </row>
    <row r="1148" spans="2:22" x14ac:dyDescent="0.25">
      <c r="B1148">
        <v>10</v>
      </c>
      <c r="C1148">
        <f>IF(Adecco_India[[#This Row],[Attrition]]="Yes",1,0)</f>
        <v>0</v>
      </c>
      <c r="F1148">
        <v>34</v>
      </c>
      <c r="G1148">
        <v>4</v>
      </c>
      <c r="J1148">
        <v>3</v>
      </c>
      <c r="K1148">
        <v>3</v>
      </c>
      <c r="N1148">
        <v>9</v>
      </c>
      <c r="O1148">
        <v>4</v>
      </c>
      <c r="Q1148">
        <v>7</v>
      </c>
      <c r="R1148">
        <v>3</v>
      </c>
      <c r="S1148">
        <v>1</v>
      </c>
      <c r="U1148" t="s">
        <v>38</v>
      </c>
      <c r="V1148">
        <v>1</v>
      </c>
    </row>
    <row r="1149" spans="2:22" x14ac:dyDescent="0.25">
      <c r="B1149">
        <v>25</v>
      </c>
      <c r="C1149">
        <f>IF(Adecco_India[[#This Row],[Attrition]]="Yes",1,0)</f>
        <v>0</v>
      </c>
      <c r="F1149">
        <v>49</v>
      </c>
      <c r="G1149">
        <v>1</v>
      </c>
      <c r="J1149">
        <v>2</v>
      </c>
      <c r="K1149">
        <v>3</v>
      </c>
      <c r="N1149">
        <v>9</v>
      </c>
      <c r="O1149">
        <v>1</v>
      </c>
      <c r="Q1149">
        <v>1</v>
      </c>
      <c r="R1149">
        <v>3</v>
      </c>
      <c r="S1149">
        <v>1</v>
      </c>
      <c r="U1149" t="s">
        <v>38</v>
      </c>
      <c r="V1149">
        <v>1</v>
      </c>
    </row>
    <row r="1150" spans="2:22" x14ac:dyDescent="0.25">
      <c r="B1150">
        <v>10</v>
      </c>
      <c r="C1150">
        <f>IF(Adecco_India[[#This Row],[Attrition]]="Yes",1,0)</f>
        <v>0</v>
      </c>
      <c r="F1150">
        <v>39</v>
      </c>
      <c r="G1150">
        <v>1</v>
      </c>
      <c r="J1150">
        <v>3</v>
      </c>
      <c r="K1150">
        <v>3</v>
      </c>
      <c r="N1150">
        <v>7</v>
      </c>
      <c r="O1150">
        <v>1</v>
      </c>
      <c r="Q1150">
        <v>7</v>
      </c>
      <c r="R1150">
        <v>3</v>
      </c>
      <c r="S1150">
        <v>1</v>
      </c>
      <c r="U1150" t="s">
        <v>51</v>
      </c>
      <c r="V1150">
        <v>1</v>
      </c>
    </row>
    <row r="1151" spans="2:22" x14ac:dyDescent="0.25">
      <c r="B1151">
        <v>19</v>
      </c>
      <c r="C1151">
        <f>IF(Adecco_India[[#This Row],[Attrition]]="Yes",1,0)</f>
        <v>0</v>
      </c>
      <c r="F1151">
        <v>27</v>
      </c>
      <c r="G1151">
        <v>1</v>
      </c>
      <c r="J1151">
        <v>3</v>
      </c>
      <c r="K1151">
        <v>3</v>
      </c>
      <c r="N1151">
        <v>7</v>
      </c>
      <c r="O1151">
        <v>1</v>
      </c>
      <c r="Q1151">
        <v>0</v>
      </c>
      <c r="R1151">
        <v>3</v>
      </c>
      <c r="S1151">
        <v>1</v>
      </c>
      <c r="U1151" t="s">
        <v>49</v>
      </c>
      <c r="V1151">
        <v>1</v>
      </c>
    </row>
    <row r="1152" spans="2:22" x14ac:dyDescent="0.25">
      <c r="B1152">
        <v>18</v>
      </c>
      <c r="C1152">
        <f>IF(Adecco_India[[#This Row],[Attrition]]="Yes",1,0)</f>
        <v>0</v>
      </c>
      <c r="F1152">
        <v>35</v>
      </c>
      <c r="G1152">
        <v>1</v>
      </c>
      <c r="J1152">
        <v>3</v>
      </c>
      <c r="K1152">
        <v>3</v>
      </c>
      <c r="N1152">
        <v>16</v>
      </c>
      <c r="O1152">
        <v>1</v>
      </c>
      <c r="Q1152">
        <v>1</v>
      </c>
      <c r="R1152">
        <v>3</v>
      </c>
      <c r="S1152">
        <v>1</v>
      </c>
      <c r="U1152" t="s">
        <v>38</v>
      </c>
      <c r="V1152">
        <v>1</v>
      </c>
    </row>
    <row r="1153" spans="2:22" x14ac:dyDescent="0.25">
      <c r="B1153">
        <v>27</v>
      </c>
      <c r="C1153">
        <f>IF(Adecco_India[[#This Row],[Attrition]]="Yes",1,0)</f>
        <v>0</v>
      </c>
      <c r="F1153">
        <v>28</v>
      </c>
      <c r="G1153">
        <v>1</v>
      </c>
      <c r="J1153">
        <v>2</v>
      </c>
      <c r="K1153">
        <v>4</v>
      </c>
      <c r="N1153">
        <v>5</v>
      </c>
      <c r="O1153">
        <v>1</v>
      </c>
      <c r="Q1153">
        <v>0</v>
      </c>
      <c r="R1153">
        <v>4</v>
      </c>
      <c r="S1153">
        <v>1</v>
      </c>
      <c r="U1153" t="s">
        <v>51</v>
      </c>
      <c r="V1153">
        <v>1</v>
      </c>
    </row>
    <row r="1154" spans="2:22" x14ac:dyDescent="0.25">
      <c r="B1154">
        <v>5</v>
      </c>
      <c r="C1154">
        <f>IF(Adecco_India[[#This Row],[Attrition]]="Yes",1,0)</f>
        <v>0</v>
      </c>
      <c r="F1154">
        <v>21</v>
      </c>
      <c r="G1154">
        <v>4</v>
      </c>
      <c r="J1154">
        <v>3</v>
      </c>
      <c r="K1154">
        <v>3</v>
      </c>
      <c r="N1154">
        <v>2</v>
      </c>
      <c r="O1154">
        <v>4</v>
      </c>
      <c r="Q1154">
        <v>2</v>
      </c>
      <c r="R1154">
        <v>3</v>
      </c>
      <c r="S1154">
        <v>1</v>
      </c>
      <c r="U1154" t="s">
        <v>51</v>
      </c>
      <c r="V1154">
        <v>1</v>
      </c>
    </row>
    <row r="1155" spans="2:22" x14ac:dyDescent="0.25">
      <c r="B1155">
        <v>3</v>
      </c>
      <c r="C1155">
        <f>IF(Adecco_India[[#This Row],[Attrition]]="Yes",1,0)</f>
        <v>1</v>
      </c>
      <c r="F1155">
        <v>18</v>
      </c>
      <c r="G1155">
        <v>4</v>
      </c>
      <c r="J1155">
        <v>4</v>
      </c>
      <c r="K1155">
        <v>3</v>
      </c>
      <c r="N1155">
        <v>0</v>
      </c>
      <c r="O1155">
        <v>4</v>
      </c>
      <c r="Q1155">
        <v>0</v>
      </c>
      <c r="R1155">
        <v>3</v>
      </c>
      <c r="S1155">
        <v>1</v>
      </c>
      <c r="U1155" t="s">
        <v>51</v>
      </c>
      <c r="V1155">
        <v>1</v>
      </c>
    </row>
    <row r="1156" spans="2:22" x14ac:dyDescent="0.25">
      <c r="B1156">
        <v>26</v>
      </c>
      <c r="C1156">
        <f>IF(Adecco_India[[#This Row],[Attrition]]="Yes",1,0)</f>
        <v>0</v>
      </c>
      <c r="F1156">
        <v>47</v>
      </c>
      <c r="G1156">
        <v>3</v>
      </c>
      <c r="J1156">
        <v>3</v>
      </c>
      <c r="K1156">
        <v>3</v>
      </c>
      <c r="N1156">
        <v>5</v>
      </c>
      <c r="O1156">
        <v>3</v>
      </c>
      <c r="Q1156">
        <v>1</v>
      </c>
      <c r="R1156">
        <v>3</v>
      </c>
      <c r="S1156">
        <v>1</v>
      </c>
      <c r="U1156" t="s">
        <v>38</v>
      </c>
      <c r="V1156">
        <v>1</v>
      </c>
    </row>
    <row r="1157" spans="2:22" x14ac:dyDescent="0.25">
      <c r="B1157">
        <v>3</v>
      </c>
      <c r="C1157">
        <f>IF(Adecco_India[[#This Row],[Attrition]]="Yes",1,0)</f>
        <v>0</v>
      </c>
      <c r="F1157">
        <v>39</v>
      </c>
      <c r="G1157">
        <v>3</v>
      </c>
      <c r="J1157">
        <v>3</v>
      </c>
      <c r="K1157">
        <v>3</v>
      </c>
      <c r="N1157">
        <v>10</v>
      </c>
      <c r="O1157">
        <v>3</v>
      </c>
      <c r="Q1157">
        <v>0</v>
      </c>
      <c r="R1157">
        <v>3</v>
      </c>
      <c r="S1157">
        <v>1</v>
      </c>
      <c r="U1157" t="s">
        <v>51</v>
      </c>
      <c r="V1157">
        <v>1</v>
      </c>
    </row>
    <row r="1158" spans="2:22" x14ac:dyDescent="0.25">
      <c r="B1158">
        <v>15</v>
      </c>
      <c r="C1158">
        <f>IF(Adecco_India[[#This Row],[Attrition]]="Yes",1,0)</f>
        <v>0</v>
      </c>
      <c r="F1158">
        <v>40</v>
      </c>
      <c r="G1158">
        <v>3</v>
      </c>
      <c r="J1158">
        <v>3</v>
      </c>
      <c r="K1158">
        <v>3</v>
      </c>
      <c r="N1158">
        <v>18</v>
      </c>
      <c r="O1158">
        <v>3</v>
      </c>
      <c r="Q1158">
        <v>14</v>
      </c>
      <c r="R1158">
        <v>3</v>
      </c>
      <c r="S1158">
        <v>1</v>
      </c>
      <c r="U1158" t="s">
        <v>38</v>
      </c>
      <c r="V1158">
        <v>1</v>
      </c>
    </row>
    <row r="1159" spans="2:22" x14ac:dyDescent="0.25">
      <c r="B1159">
        <v>8</v>
      </c>
      <c r="C1159">
        <f>IF(Adecco_India[[#This Row],[Attrition]]="Yes",1,0)</f>
        <v>0</v>
      </c>
      <c r="F1159">
        <v>35</v>
      </c>
      <c r="G1159">
        <v>3</v>
      </c>
      <c r="J1159">
        <v>3</v>
      </c>
      <c r="K1159">
        <v>3</v>
      </c>
      <c r="N1159">
        <v>14</v>
      </c>
      <c r="O1159">
        <v>3</v>
      </c>
      <c r="Q1159">
        <v>2</v>
      </c>
      <c r="R1159">
        <v>3</v>
      </c>
      <c r="S1159">
        <v>1</v>
      </c>
      <c r="U1159" t="s">
        <v>38</v>
      </c>
      <c r="V1159">
        <v>1</v>
      </c>
    </row>
    <row r="1160" spans="2:22" x14ac:dyDescent="0.25">
      <c r="B1160">
        <v>19</v>
      </c>
      <c r="C1160">
        <f>IF(Adecco_India[[#This Row],[Attrition]]="Yes",1,0)</f>
        <v>0</v>
      </c>
      <c r="F1160">
        <v>37</v>
      </c>
      <c r="G1160">
        <v>3</v>
      </c>
      <c r="J1160">
        <v>2</v>
      </c>
      <c r="K1160">
        <v>3</v>
      </c>
      <c r="N1160">
        <v>4</v>
      </c>
      <c r="O1160">
        <v>3</v>
      </c>
      <c r="Q1160">
        <v>0</v>
      </c>
      <c r="R1160">
        <v>3</v>
      </c>
      <c r="S1160">
        <v>1</v>
      </c>
      <c r="U1160" t="s">
        <v>38</v>
      </c>
      <c r="V1160">
        <v>1</v>
      </c>
    </row>
    <row r="1161" spans="2:22" x14ac:dyDescent="0.25">
      <c r="B1161">
        <v>4</v>
      </c>
      <c r="C1161">
        <f>IF(Adecco_India[[#This Row],[Attrition]]="Yes",1,0)</f>
        <v>0</v>
      </c>
      <c r="F1161">
        <v>39</v>
      </c>
      <c r="G1161">
        <v>3</v>
      </c>
      <c r="J1161">
        <v>1</v>
      </c>
      <c r="K1161">
        <v>3</v>
      </c>
      <c r="N1161">
        <v>9</v>
      </c>
      <c r="O1161">
        <v>3</v>
      </c>
      <c r="Q1161">
        <v>3</v>
      </c>
      <c r="R1161">
        <v>3</v>
      </c>
      <c r="S1161">
        <v>1</v>
      </c>
      <c r="U1161" t="s">
        <v>51</v>
      </c>
      <c r="V1161">
        <v>1</v>
      </c>
    </row>
    <row r="1162" spans="2:22" x14ac:dyDescent="0.25">
      <c r="B1162">
        <v>2</v>
      </c>
      <c r="C1162">
        <f>IF(Adecco_India[[#This Row],[Attrition]]="Yes",1,0)</f>
        <v>0</v>
      </c>
      <c r="F1162">
        <v>45</v>
      </c>
      <c r="G1162">
        <v>4</v>
      </c>
      <c r="J1162">
        <v>3</v>
      </c>
      <c r="K1162">
        <v>3</v>
      </c>
      <c r="N1162">
        <v>10</v>
      </c>
      <c r="O1162">
        <v>4</v>
      </c>
      <c r="Q1162">
        <v>3</v>
      </c>
      <c r="R1162">
        <v>3</v>
      </c>
      <c r="S1162">
        <v>1</v>
      </c>
      <c r="U1162" t="s">
        <v>49</v>
      </c>
      <c r="V1162">
        <v>1</v>
      </c>
    </row>
    <row r="1163" spans="2:22" x14ac:dyDescent="0.25">
      <c r="B1163">
        <v>2</v>
      </c>
      <c r="C1163">
        <f>IF(Adecco_India[[#This Row],[Attrition]]="Yes",1,0)</f>
        <v>0</v>
      </c>
      <c r="F1163">
        <v>38</v>
      </c>
      <c r="G1163">
        <v>3</v>
      </c>
      <c r="J1163">
        <v>4</v>
      </c>
      <c r="K1163">
        <v>3</v>
      </c>
      <c r="N1163">
        <v>5</v>
      </c>
      <c r="O1163">
        <v>3</v>
      </c>
      <c r="Q1163">
        <v>0</v>
      </c>
      <c r="R1163">
        <v>3</v>
      </c>
      <c r="S1163">
        <v>1</v>
      </c>
      <c r="U1163" t="s">
        <v>51</v>
      </c>
      <c r="V1163">
        <v>1</v>
      </c>
    </row>
    <row r="1164" spans="2:22" x14ac:dyDescent="0.25">
      <c r="B1164">
        <v>10</v>
      </c>
      <c r="C1164">
        <f>IF(Adecco_India[[#This Row],[Attrition]]="Yes",1,0)</f>
        <v>1</v>
      </c>
      <c r="F1164">
        <v>35</v>
      </c>
      <c r="G1164">
        <v>1</v>
      </c>
      <c r="J1164">
        <v>3</v>
      </c>
      <c r="K1164">
        <v>3</v>
      </c>
      <c r="N1164">
        <v>13</v>
      </c>
      <c r="O1164">
        <v>1</v>
      </c>
      <c r="Q1164">
        <v>6</v>
      </c>
      <c r="R1164">
        <v>3</v>
      </c>
      <c r="S1164">
        <v>1</v>
      </c>
      <c r="U1164" t="s">
        <v>51</v>
      </c>
      <c r="V1164">
        <v>1</v>
      </c>
    </row>
    <row r="1165" spans="2:22" x14ac:dyDescent="0.25">
      <c r="B1165">
        <v>10</v>
      </c>
      <c r="C1165">
        <f>IF(Adecco_India[[#This Row],[Attrition]]="Yes",1,0)</f>
        <v>0</v>
      </c>
      <c r="F1165">
        <v>37</v>
      </c>
      <c r="G1165">
        <v>2</v>
      </c>
      <c r="J1165">
        <v>1</v>
      </c>
      <c r="K1165">
        <v>3</v>
      </c>
      <c r="N1165">
        <v>8</v>
      </c>
      <c r="O1165">
        <v>2</v>
      </c>
      <c r="Q1165">
        <v>7</v>
      </c>
      <c r="R1165">
        <v>3</v>
      </c>
      <c r="S1165">
        <v>1</v>
      </c>
      <c r="U1165" t="s">
        <v>51</v>
      </c>
      <c r="V1165">
        <v>1</v>
      </c>
    </row>
    <row r="1166" spans="2:22" x14ac:dyDescent="0.25">
      <c r="B1166">
        <v>16</v>
      </c>
      <c r="C1166">
        <f>IF(Adecco_India[[#This Row],[Attrition]]="Yes",1,0)</f>
        <v>0</v>
      </c>
      <c r="F1166">
        <v>40</v>
      </c>
      <c r="G1166">
        <v>4</v>
      </c>
      <c r="J1166">
        <v>2</v>
      </c>
      <c r="K1166">
        <v>3</v>
      </c>
      <c r="N1166">
        <v>4</v>
      </c>
      <c r="O1166">
        <v>4</v>
      </c>
      <c r="Q1166">
        <v>3</v>
      </c>
      <c r="R1166">
        <v>3</v>
      </c>
      <c r="S1166">
        <v>1</v>
      </c>
      <c r="U1166" t="s">
        <v>38</v>
      </c>
      <c r="V1166">
        <v>1</v>
      </c>
    </row>
    <row r="1167" spans="2:22" x14ac:dyDescent="0.25">
      <c r="B1167">
        <v>1</v>
      </c>
      <c r="C1167">
        <f>IF(Adecco_India[[#This Row],[Attrition]]="Yes",1,0)</f>
        <v>0</v>
      </c>
      <c r="F1167">
        <v>44</v>
      </c>
      <c r="G1167">
        <v>4</v>
      </c>
      <c r="J1167">
        <v>3</v>
      </c>
      <c r="K1167">
        <v>3</v>
      </c>
      <c r="N1167">
        <v>10</v>
      </c>
      <c r="O1167">
        <v>4</v>
      </c>
      <c r="Q1167">
        <v>0</v>
      </c>
      <c r="R1167">
        <v>3</v>
      </c>
      <c r="S1167">
        <v>1</v>
      </c>
      <c r="U1167" t="s">
        <v>61</v>
      </c>
      <c r="V1167">
        <v>1</v>
      </c>
    </row>
    <row r="1168" spans="2:22" x14ac:dyDescent="0.25">
      <c r="B1168">
        <v>4</v>
      </c>
      <c r="C1168">
        <f>IF(Adecco_India[[#This Row],[Attrition]]="Yes",1,0)</f>
        <v>0</v>
      </c>
      <c r="F1168">
        <v>48</v>
      </c>
      <c r="G1168">
        <v>4</v>
      </c>
      <c r="J1168">
        <v>3</v>
      </c>
      <c r="K1168">
        <v>4</v>
      </c>
      <c r="N1168">
        <v>2</v>
      </c>
      <c r="O1168">
        <v>4</v>
      </c>
      <c r="Q1168">
        <v>2</v>
      </c>
      <c r="R1168">
        <v>4</v>
      </c>
      <c r="S1168">
        <v>1</v>
      </c>
      <c r="U1168" t="s">
        <v>51</v>
      </c>
      <c r="V1168">
        <v>1</v>
      </c>
    </row>
    <row r="1169" spans="2:22" x14ac:dyDescent="0.25">
      <c r="B1169">
        <v>15</v>
      </c>
      <c r="C1169">
        <f>IF(Adecco_India[[#This Row],[Attrition]]="Yes",1,0)</f>
        <v>1</v>
      </c>
      <c r="F1169">
        <v>35</v>
      </c>
      <c r="G1169">
        <v>4</v>
      </c>
      <c r="J1169">
        <v>2</v>
      </c>
      <c r="K1169">
        <v>3</v>
      </c>
      <c r="N1169">
        <v>2</v>
      </c>
      <c r="O1169">
        <v>4</v>
      </c>
      <c r="Q1169">
        <v>2</v>
      </c>
      <c r="R1169">
        <v>3</v>
      </c>
      <c r="S1169">
        <v>1</v>
      </c>
      <c r="U1169" t="s">
        <v>51</v>
      </c>
      <c r="V1169">
        <v>1</v>
      </c>
    </row>
    <row r="1170" spans="2:22" x14ac:dyDescent="0.25">
      <c r="B1170">
        <v>2</v>
      </c>
      <c r="C1170">
        <f>IF(Adecco_India[[#This Row],[Attrition]]="Yes",1,0)</f>
        <v>0</v>
      </c>
      <c r="F1170">
        <v>24</v>
      </c>
      <c r="G1170">
        <v>4</v>
      </c>
      <c r="J1170">
        <v>3</v>
      </c>
      <c r="K1170">
        <v>3</v>
      </c>
      <c r="N1170">
        <v>6</v>
      </c>
      <c r="O1170">
        <v>4</v>
      </c>
      <c r="Q1170">
        <v>1</v>
      </c>
      <c r="R1170">
        <v>3</v>
      </c>
      <c r="S1170">
        <v>1</v>
      </c>
      <c r="U1170" t="s">
        <v>60</v>
      </c>
      <c r="V1170">
        <v>1</v>
      </c>
    </row>
    <row r="1171" spans="2:22" x14ac:dyDescent="0.25">
      <c r="B1171">
        <v>8</v>
      </c>
      <c r="C1171">
        <f>IF(Adecco_India[[#This Row],[Attrition]]="Yes",1,0)</f>
        <v>0</v>
      </c>
      <c r="F1171">
        <v>27</v>
      </c>
      <c r="G1171">
        <v>3</v>
      </c>
      <c r="J1171">
        <v>3</v>
      </c>
      <c r="K1171">
        <v>3</v>
      </c>
      <c r="N1171">
        <v>3</v>
      </c>
      <c r="O1171">
        <v>3</v>
      </c>
      <c r="Q1171">
        <v>0</v>
      </c>
      <c r="R1171">
        <v>3</v>
      </c>
      <c r="S1171">
        <v>1</v>
      </c>
      <c r="U1171" t="s">
        <v>51</v>
      </c>
      <c r="V1171">
        <v>1</v>
      </c>
    </row>
    <row r="1172" spans="2:22" x14ac:dyDescent="0.25">
      <c r="B1172">
        <v>2</v>
      </c>
      <c r="C1172">
        <f>IF(Adecco_India[[#This Row],[Attrition]]="Yes",1,0)</f>
        <v>0</v>
      </c>
      <c r="F1172">
        <v>27</v>
      </c>
      <c r="G1172">
        <v>4</v>
      </c>
      <c r="J1172">
        <v>2</v>
      </c>
      <c r="K1172">
        <v>3</v>
      </c>
      <c r="N1172">
        <v>4</v>
      </c>
      <c r="O1172">
        <v>4</v>
      </c>
      <c r="Q1172">
        <v>1</v>
      </c>
      <c r="R1172">
        <v>3</v>
      </c>
      <c r="S1172">
        <v>1</v>
      </c>
      <c r="U1172" t="s">
        <v>51</v>
      </c>
      <c r="V1172">
        <v>1</v>
      </c>
    </row>
    <row r="1173" spans="2:22" x14ac:dyDescent="0.25">
      <c r="B1173">
        <v>7</v>
      </c>
      <c r="C1173">
        <f>IF(Adecco_India[[#This Row],[Attrition]]="Yes",1,0)</f>
        <v>1</v>
      </c>
      <c r="F1173">
        <v>40</v>
      </c>
      <c r="G1173">
        <v>1</v>
      </c>
      <c r="J1173">
        <v>1</v>
      </c>
      <c r="K1173">
        <v>3</v>
      </c>
      <c r="N1173">
        <v>4</v>
      </c>
      <c r="O1173">
        <v>1</v>
      </c>
      <c r="Q1173">
        <v>0</v>
      </c>
      <c r="R1173">
        <v>3</v>
      </c>
      <c r="S1173">
        <v>1</v>
      </c>
      <c r="U1173" t="s">
        <v>38</v>
      </c>
      <c r="V1173">
        <v>1</v>
      </c>
    </row>
    <row r="1174" spans="2:22" x14ac:dyDescent="0.25">
      <c r="B1174">
        <v>10</v>
      </c>
      <c r="C1174">
        <f>IF(Adecco_India[[#This Row],[Attrition]]="Yes",1,0)</f>
        <v>0</v>
      </c>
      <c r="F1174">
        <v>29</v>
      </c>
      <c r="G1174">
        <v>3</v>
      </c>
      <c r="J1174">
        <v>3</v>
      </c>
      <c r="K1174">
        <v>3</v>
      </c>
      <c r="N1174">
        <v>5</v>
      </c>
      <c r="O1174">
        <v>3</v>
      </c>
      <c r="Q1174">
        <v>1</v>
      </c>
      <c r="R1174">
        <v>3</v>
      </c>
      <c r="S1174">
        <v>1</v>
      </c>
      <c r="U1174" t="s">
        <v>51</v>
      </c>
      <c r="V1174">
        <v>1</v>
      </c>
    </row>
    <row r="1175" spans="2:22" x14ac:dyDescent="0.25">
      <c r="B1175">
        <v>5</v>
      </c>
      <c r="C1175">
        <f>IF(Adecco_India[[#This Row],[Attrition]]="Yes",1,0)</f>
        <v>0</v>
      </c>
      <c r="F1175">
        <v>36</v>
      </c>
      <c r="G1175">
        <v>1</v>
      </c>
      <c r="J1175">
        <v>3</v>
      </c>
      <c r="K1175">
        <v>3</v>
      </c>
      <c r="N1175">
        <v>3</v>
      </c>
      <c r="O1175">
        <v>1</v>
      </c>
      <c r="Q1175">
        <v>0</v>
      </c>
      <c r="R1175">
        <v>3</v>
      </c>
      <c r="S1175">
        <v>1</v>
      </c>
      <c r="U1175" t="s">
        <v>38</v>
      </c>
      <c r="V1175">
        <v>1</v>
      </c>
    </row>
    <row r="1176" spans="2:22" x14ac:dyDescent="0.25">
      <c r="B1176">
        <v>2</v>
      </c>
      <c r="C1176">
        <f>IF(Adecco_India[[#This Row],[Attrition]]="Yes",1,0)</f>
        <v>0</v>
      </c>
      <c r="F1176">
        <v>25</v>
      </c>
      <c r="G1176">
        <v>3</v>
      </c>
      <c r="J1176">
        <v>3</v>
      </c>
      <c r="K1176">
        <v>3</v>
      </c>
      <c r="N1176">
        <v>7</v>
      </c>
      <c r="O1176">
        <v>3</v>
      </c>
      <c r="Q1176">
        <v>0</v>
      </c>
      <c r="R1176">
        <v>3</v>
      </c>
      <c r="S1176">
        <v>1</v>
      </c>
      <c r="U1176" t="s">
        <v>38</v>
      </c>
      <c r="V1176">
        <v>1</v>
      </c>
    </row>
    <row r="1177" spans="2:22" x14ac:dyDescent="0.25">
      <c r="B1177">
        <v>12</v>
      </c>
      <c r="C1177">
        <f>IF(Adecco_India[[#This Row],[Attrition]]="Yes",1,0)</f>
        <v>0</v>
      </c>
      <c r="F1177">
        <v>39</v>
      </c>
      <c r="G1177">
        <v>2</v>
      </c>
      <c r="J1177">
        <v>3</v>
      </c>
      <c r="K1177">
        <v>4</v>
      </c>
      <c r="N1177">
        <v>5</v>
      </c>
      <c r="O1177">
        <v>2</v>
      </c>
      <c r="Q1177">
        <v>1</v>
      </c>
      <c r="R1177">
        <v>4</v>
      </c>
      <c r="S1177">
        <v>1</v>
      </c>
      <c r="U1177" t="s">
        <v>51</v>
      </c>
      <c r="V1177">
        <v>1</v>
      </c>
    </row>
    <row r="1178" spans="2:22" x14ac:dyDescent="0.25">
      <c r="B1178">
        <v>22</v>
      </c>
      <c r="C1178">
        <f>IF(Adecco_India[[#This Row],[Attrition]]="Yes",1,0)</f>
        <v>0</v>
      </c>
      <c r="F1178">
        <v>49</v>
      </c>
      <c r="G1178">
        <v>2</v>
      </c>
      <c r="J1178">
        <v>3</v>
      </c>
      <c r="K1178">
        <v>3</v>
      </c>
      <c r="N1178">
        <v>4</v>
      </c>
      <c r="O1178">
        <v>2</v>
      </c>
      <c r="Q1178">
        <v>1</v>
      </c>
      <c r="R1178">
        <v>3</v>
      </c>
      <c r="S1178">
        <v>1</v>
      </c>
      <c r="U1178" t="s">
        <v>49</v>
      </c>
      <c r="V1178">
        <v>1</v>
      </c>
    </row>
    <row r="1179" spans="2:22" x14ac:dyDescent="0.25">
      <c r="B1179">
        <v>17</v>
      </c>
      <c r="C1179">
        <f>IF(Adecco_India[[#This Row],[Attrition]]="Yes",1,0)</f>
        <v>0</v>
      </c>
      <c r="F1179">
        <v>50</v>
      </c>
      <c r="G1179">
        <v>1</v>
      </c>
      <c r="J1179">
        <v>3</v>
      </c>
      <c r="K1179">
        <v>3</v>
      </c>
      <c r="N1179">
        <v>14</v>
      </c>
      <c r="O1179">
        <v>1</v>
      </c>
      <c r="Q1179">
        <v>1</v>
      </c>
      <c r="R1179">
        <v>3</v>
      </c>
      <c r="S1179">
        <v>1</v>
      </c>
      <c r="U1179" t="s">
        <v>38</v>
      </c>
      <c r="V1179">
        <v>1</v>
      </c>
    </row>
    <row r="1180" spans="2:22" x14ac:dyDescent="0.25">
      <c r="B1180">
        <v>2</v>
      </c>
      <c r="C1180">
        <f>IF(Adecco_India[[#This Row],[Attrition]]="Yes",1,0)</f>
        <v>0</v>
      </c>
      <c r="F1180">
        <v>20</v>
      </c>
      <c r="G1180">
        <v>3</v>
      </c>
      <c r="J1180">
        <v>3</v>
      </c>
      <c r="K1180">
        <v>3</v>
      </c>
      <c r="N1180">
        <v>2</v>
      </c>
      <c r="O1180">
        <v>3</v>
      </c>
      <c r="Q1180">
        <v>2</v>
      </c>
      <c r="R1180">
        <v>3</v>
      </c>
      <c r="S1180">
        <v>1</v>
      </c>
      <c r="U1180" t="s">
        <v>51</v>
      </c>
      <c r="V1180">
        <v>1</v>
      </c>
    </row>
    <row r="1181" spans="2:22" x14ac:dyDescent="0.25">
      <c r="B1181">
        <v>3</v>
      </c>
      <c r="C1181">
        <f>IF(Adecco_India[[#This Row],[Attrition]]="Yes",1,0)</f>
        <v>0</v>
      </c>
      <c r="F1181">
        <v>34</v>
      </c>
      <c r="G1181">
        <v>2</v>
      </c>
      <c r="J1181">
        <v>3</v>
      </c>
      <c r="K1181">
        <v>3</v>
      </c>
      <c r="N1181">
        <v>11</v>
      </c>
      <c r="O1181">
        <v>2</v>
      </c>
      <c r="Q1181">
        <v>7</v>
      </c>
      <c r="R1181">
        <v>3</v>
      </c>
      <c r="S1181">
        <v>1</v>
      </c>
      <c r="U1181" t="s">
        <v>38</v>
      </c>
      <c r="V1181">
        <v>1</v>
      </c>
    </row>
    <row r="1182" spans="2:22" x14ac:dyDescent="0.25">
      <c r="B1182">
        <v>7</v>
      </c>
      <c r="C1182">
        <f>IF(Adecco_India[[#This Row],[Attrition]]="Yes",1,0)</f>
        <v>0</v>
      </c>
      <c r="F1182">
        <v>36</v>
      </c>
      <c r="G1182">
        <v>2</v>
      </c>
      <c r="J1182">
        <v>3</v>
      </c>
      <c r="K1182">
        <v>3</v>
      </c>
      <c r="N1182">
        <v>4</v>
      </c>
      <c r="O1182">
        <v>2</v>
      </c>
      <c r="Q1182">
        <v>1</v>
      </c>
      <c r="R1182">
        <v>3</v>
      </c>
      <c r="S1182">
        <v>1</v>
      </c>
      <c r="U1182" t="s">
        <v>38</v>
      </c>
      <c r="V1182">
        <v>1</v>
      </c>
    </row>
    <row r="1183" spans="2:22" x14ac:dyDescent="0.25">
      <c r="B1183">
        <v>6</v>
      </c>
      <c r="C1183">
        <f>IF(Adecco_India[[#This Row],[Attrition]]="Yes",1,0)</f>
        <v>0</v>
      </c>
      <c r="F1183">
        <v>49</v>
      </c>
      <c r="G1183">
        <v>3</v>
      </c>
      <c r="J1183">
        <v>3</v>
      </c>
      <c r="K1183">
        <v>3</v>
      </c>
      <c r="N1183">
        <v>15</v>
      </c>
      <c r="O1183">
        <v>3</v>
      </c>
      <c r="Q1183">
        <v>2</v>
      </c>
      <c r="R1183">
        <v>3</v>
      </c>
      <c r="S1183">
        <v>1</v>
      </c>
      <c r="U1183" t="s">
        <v>38</v>
      </c>
      <c r="V1183">
        <v>1</v>
      </c>
    </row>
    <row r="1184" spans="2:22" x14ac:dyDescent="0.25">
      <c r="B1184">
        <v>1</v>
      </c>
      <c r="C1184">
        <f>IF(Adecco_India[[#This Row],[Attrition]]="Yes",1,0)</f>
        <v>0</v>
      </c>
      <c r="F1184">
        <v>36</v>
      </c>
      <c r="G1184">
        <v>3</v>
      </c>
      <c r="J1184">
        <v>3</v>
      </c>
      <c r="K1184">
        <v>3</v>
      </c>
      <c r="N1184">
        <v>3</v>
      </c>
      <c r="O1184">
        <v>3</v>
      </c>
      <c r="Q1184">
        <v>1</v>
      </c>
      <c r="R1184">
        <v>3</v>
      </c>
      <c r="S1184">
        <v>1</v>
      </c>
      <c r="U1184" t="s">
        <v>51</v>
      </c>
      <c r="V1184">
        <v>1</v>
      </c>
    </row>
    <row r="1185" spans="2:22" x14ac:dyDescent="0.25">
      <c r="B1185">
        <v>3</v>
      </c>
      <c r="C1185">
        <f>IF(Adecco_India[[#This Row],[Attrition]]="Yes",1,0)</f>
        <v>0</v>
      </c>
      <c r="F1185">
        <v>36</v>
      </c>
      <c r="G1185">
        <v>1</v>
      </c>
      <c r="J1185">
        <v>3</v>
      </c>
      <c r="K1185">
        <v>4</v>
      </c>
      <c r="N1185">
        <v>5</v>
      </c>
      <c r="O1185">
        <v>1</v>
      </c>
      <c r="Q1185">
        <v>0</v>
      </c>
      <c r="R1185">
        <v>4</v>
      </c>
      <c r="S1185">
        <v>1</v>
      </c>
      <c r="U1185" t="s">
        <v>38</v>
      </c>
      <c r="V1185">
        <v>1</v>
      </c>
    </row>
    <row r="1186" spans="2:22" x14ac:dyDescent="0.25">
      <c r="B1186">
        <v>22</v>
      </c>
      <c r="C1186">
        <f>IF(Adecco_India[[#This Row],[Attrition]]="Yes",1,0)</f>
        <v>0</v>
      </c>
      <c r="F1186">
        <v>54</v>
      </c>
      <c r="G1186">
        <v>3</v>
      </c>
      <c r="J1186">
        <v>3</v>
      </c>
      <c r="K1186">
        <v>4</v>
      </c>
      <c r="N1186">
        <v>10</v>
      </c>
      <c r="O1186">
        <v>3</v>
      </c>
      <c r="Q1186">
        <v>4</v>
      </c>
      <c r="R1186">
        <v>4</v>
      </c>
      <c r="S1186">
        <v>1</v>
      </c>
      <c r="U1186" t="s">
        <v>51</v>
      </c>
      <c r="V1186">
        <v>1</v>
      </c>
    </row>
    <row r="1187" spans="2:22" x14ac:dyDescent="0.25">
      <c r="B1187">
        <v>15</v>
      </c>
      <c r="C1187">
        <f>IF(Adecco_India[[#This Row],[Attrition]]="Yes",1,0)</f>
        <v>0</v>
      </c>
      <c r="F1187">
        <v>43</v>
      </c>
      <c r="G1187">
        <v>3</v>
      </c>
      <c r="J1187">
        <v>3</v>
      </c>
      <c r="K1187">
        <v>4</v>
      </c>
      <c r="N1187">
        <v>14</v>
      </c>
      <c r="O1187">
        <v>3</v>
      </c>
      <c r="Q1187">
        <v>6</v>
      </c>
      <c r="R1187">
        <v>4</v>
      </c>
      <c r="S1187">
        <v>1</v>
      </c>
      <c r="U1187" t="s">
        <v>38</v>
      </c>
      <c r="V1187">
        <v>1</v>
      </c>
    </row>
    <row r="1188" spans="2:22" x14ac:dyDescent="0.25">
      <c r="B1188">
        <v>12</v>
      </c>
      <c r="C1188">
        <f>IF(Adecco_India[[#This Row],[Attrition]]="Yes",1,0)</f>
        <v>1</v>
      </c>
      <c r="F1188">
        <v>35</v>
      </c>
      <c r="G1188">
        <v>4</v>
      </c>
      <c r="J1188">
        <v>4</v>
      </c>
      <c r="K1188">
        <v>4</v>
      </c>
      <c r="N1188">
        <v>11</v>
      </c>
      <c r="O1188">
        <v>4</v>
      </c>
      <c r="Q1188">
        <v>6</v>
      </c>
      <c r="R1188">
        <v>4</v>
      </c>
      <c r="S1188">
        <v>1</v>
      </c>
      <c r="U1188" t="s">
        <v>49</v>
      </c>
      <c r="V1188">
        <v>1</v>
      </c>
    </row>
    <row r="1189" spans="2:22" x14ac:dyDescent="0.25">
      <c r="B1189">
        <v>1</v>
      </c>
      <c r="C1189">
        <f>IF(Adecco_India[[#This Row],[Attrition]]="Yes",1,0)</f>
        <v>0</v>
      </c>
      <c r="F1189">
        <v>38</v>
      </c>
      <c r="G1189">
        <v>4</v>
      </c>
      <c r="J1189">
        <v>4</v>
      </c>
      <c r="K1189">
        <v>3</v>
      </c>
      <c r="N1189">
        <v>13</v>
      </c>
      <c r="O1189">
        <v>4</v>
      </c>
      <c r="Q1189">
        <v>2</v>
      </c>
      <c r="R1189">
        <v>3</v>
      </c>
      <c r="S1189">
        <v>1</v>
      </c>
      <c r="U1189" t="s">
        <v>38</v>
      </c>
      <c r="V1189">
        <v>1</v>
      </c>
    </row>
    <row r="1190" spans="2:22" x14ac:dyDescent="0.25">
      <c r="B1190">
        <v>5</v>
      </c>
      <c r="C1190">
        <f>IF(Adecco_India[[#This Row],[Attrition]]="Yes",1,0)</f>
        <v>0</v>
      </c>
      <c r="F1190">
        <v>29</v>
      </c>
      <c r="G1190">
        <v>2</v>
      </c>
      <c r="J1190">
        <v>2</v>
      </c>
      <c r="K1190">
        <v>3</v>
      </c>
      <c r="N1190">
        <v>10</v>
      </c>
      <c r="O1190">
        <v>2</v>
      </c>
      <c r="Q1190">
        <v>0</v>
      </c>
      <c r="R1190">
        <v>3</v>
      </c>
      <c r="S1190">
        <v>1</v>
      </c>
      <c r="U1190" t="s">
        <v>51</v>
      </c>
      <c r="V1190">
        <v>1</v>
      </c>
    </row>
    <row r="1191" spans="2:22" x14ac:dyDescent="0.25">
      <c r="B1191">
        <v>2</v>
      </c>
      <c r="C1191">
        <f>IF(Adecco_India[[#This Row],[Attrition]]="Yes",1,0)</f>
        <v>0</v>
      </c>
      <c r="F1191">
        <v>33</v>
      </c>
      <c r="G1191">
        <v>4</v>
      </c>
      <c r="J1191">
        <v>3</v>
      </c>
      <c r="K1191">
        <v>3</v>
      </c>
      <c r="N1191">
        <v>6</v>
      </c>
      <c r="O1191">
        <v>4</v>
      </c>
      <c r="Q1191">
        <v>0</v>
      </c>
      <c r="R1191">
        <v>3</v>
      </c>
      <c r="S1191">
        <v>1</v>
      </c>
      <c r="U1191" t="s">
        <v>51</v>
      </c>
      <c r="V1191">
        <v>1</v>
      </c>
    </row>
    <row r="1192" spans="2:22" x14ac:dyDescent="0.25">
      <c r="B1192">
        <v>2</v>
      </c>
      <c r="C1192">
        <f>IF(Adecco_India[[#This Row],[Attrition]]="Yes",1,0)</f>
        <v>0</v>
      </c>
      <c r="F1192">
        <v>32</v>
      </c>
      <c r="G1192">
        <v>2</v>
      </c>
      <c r="J1192">
        <v>2</v>
      </c>
      <c r="K1192">
        <v>3</v>
      </c>
      <c r="N1192">
        <v>9</v>
      </c>
      <c r="O1192">
        <v>2</v>
      </c>
      <c r="Q1192">
        <v>1</v>
      </c>
      <c r="R1192">
        <v>3</v>
      </c>
      <c r="S1192">
        <v>1</v>
      </c>
      <c r="U1192" t="s">
        <v>51</v>
      </c>
      <c r="V1192">
        <v>1</v>
      </c>
    </row>
    <row r="1193" spans="2:22" x14ac:dyDescent="0.25">
      <c r="B1193">
        <v>5</v>
      </c>
      <c r="C1193">
        <f>IF(Adecco_India[[#This Row],[Attrition]]="Yes",1,0)</f>
        <v>0</v>
      </c>
      <c r="F1193">
        <v>31</v>
      </c>
      <c r="G1193">
        <v>4</v>
      </c>
      <c r="J1193">
        <v>3</v>
      </c>
      <c r="K1193">
        <v>3</v>
      </c>
      <c r="N1193">
        <v>10</v>
      </c>
      <c r="O1193">
        <v>4</v>
      </c>
      <c r="Q1193">
        <v>0</v>
      </c>
      <c r="R1193">
        <v>3</v>
      </c>
      <c r="S1193">
        <v>1</v>
      </c>
      <c r="U1193" t="s">
        <v>38</v>
      </c>
      <c r="V1193">
        <v>1</v>
      </c>
    </row>
    <row r="1194" spans="2:22" x14ac:dyDescent="0.25">
      <c r="B1194">
        <v>16</v>
      </c>
      <c r="C1194">
        <f>IF(Adecco_India[[#This Row],[Attrition]]="Yes",1,0)</f>
        <v>0</v>
      </c>
      <c r="F1194">
        <v>49</v>
      </c>
      <c r="G1194">
        <v>1</v>
      </c>
      <c r="J1194">
        <v>2</v>
      </c>
      <c r="K1194">
        <v>3</v>
      </c>
      <c r="N1194">
        <v>2</v>
      </c>
      <c r="O1194">
        <v>1</v>
      </c>
      <c r="Q1194">
        <v>2</v>
      </c>
      <c r="R1194">
        <v>3</v>
      </c>
      <c r="S1194">
        <v>1</v>
      </c>
      <c r="U1194" t="s">
        <v>51</v>
      </c>
      <c r="V1194">
        <v>1</v>
      </c>
    </row>
    <row r="1195" spans="2:22" x14ac:dyDescent="0.25">
      <c r="B1195">
        <v>2</v>
      </c>
      <c r="C1195">
        <f>IF(Adecco_India[[#This Row],[Attrition]]="Yes",1,0)</f>
        <v>0</v>
      </c>
      <c r="F1195">
        <v>38</v>
      </c>
      <c r="G1195">
        <v>2</v>
      </c>
      <c r="J1195">
        <v>3</v>
      </c>
      <c r="K1195">
        <v>4</v>
      </c>
      <c r="N1195">
        <v>4</v>
      </c>
      <c r="O1195">
        <v>2</v>
      </c>
      <c r="Q1195">
        <v>3</v>
      </c>
      <c r="R1195">
        <v>4</v>
      </c>
      <c r="S1195">
        <v>1</v>
      </c>
      <c r="U1195" t="s">
        <v>51</v>
      </c>
      <c r="V1195">
        <v>1</v>
      </c>
    </row>
    <row r="1196" spans="2:22" x14ac:dyDescent="0.25">
      <c r="B1196">
        <v>2</v>
      </c>
      <c r="C1196">
        <f>IF(Adecco_India[[#This Row],[Attrition]]="Yes",1,0)</f>
        <v>0</v>
      </c>
      <c r="F1196">
        <v>47</v>
      </c>
      <c r="G1196">
        <v>2</v>
      </c>
      <c r="J1196">
        <v>3</v>
      </c>
      <c r="K1196">
        <v>3</v>
      </c>
      <c r="N1196">
        <v>3</v>
      </c>
      <c r="O1196">
        <v>2</v>
      </c>
      <c r="Q1196">
        <v>1</v>
      </c>
      <c r="R1196">
        <v>3</v>
      </c>
      <c r="S1196">
        <v>1</v>
      </c>
      <c r="U1196" t="s">
        <v>38</v>
      </c>
      <c r="V1196">
        <v>1</v>
      </c>
    </row>
    <row r="1197" spans="2:22" x14ac:dyDescent="0.25">
      <c r="B1197">
        <v>1</v>
      </c>
      <c r="C1197">
        <f>IF(Adecco_India[[#This Row],[Attrition]]="Yes",1,0)</f>
        <v>0</v>
      </c>
      <c r="F1197">
        <v>49</v>
      </c>
      <c r="G1197">
        <v>3</v>
      </c>
      <c r="J1197">
        <v>3</v>
      </c>
      <c r="K1197">
        <v>3</v>
      </c>
      <c r="N1197">
        <v>8</v>
      </c>
      <c r="O1197">
        <v>3</v>
      </c>
      <c r="Q1197">
        <v>0</v>
      </c>
      <c r="R1197">
        <v>3</v>
      </c>
      <c r="S1197">
        <v>1</v>
      </c>
      <c r="U1197" t="s">
        <v>38</v>
      </c>
      <c r="V1197">
        <v>1</v>
      </c>
    </row>
    <row r="1198" spans="2:22" x14ac:dyDescent="0.25">
      <c r="B1198">
        <v>23</v>
      </c>
      <c r="C1198">
        <f>IF(Adecco_India[[#This Row],[Attrition]]="Yes",1,0)</f>
        <v>0</v>
      </c>
      <c r="F1198">
        <v>41</v>
      </c>
      <c r="G1198">
        <v>3</v>
      </c>
      <c r="J1198">
        <v>3</v>
      </c>
      <c r="K1198">
        <v>3</v>
      </c>
      <c r="N1198">
        <v>2</v>
      </c>
      <c r="O1198">
        <v>3</v>
      </c>
      <c r="Q1198">
        <v>0</v>
      </c>
      <c r="R1198">
        <v>3</v>
      </c>
      <c r="S1198">
        <v>1</v>
      </c>
      <c r="U1198" t="s">
        <v>38</v>
      </c>
      <c r="V1198">
        <v>1</v>
      </c>
    </row>
    <row r="1199" spans="2:22" x14ac:dyDescent="0.25">
      <c r="B1199">
        <v>9</v>
      </c>
      <c r="C1199">
        <f>IF(Adecco_India[[#This Row],[Attrition]]="Yes",1,0)</f>
        <v>0</v>
      </c>
      <c r="F1199">
        <v>20</v>
      </c>
      <c r="G1199">
        <v>1</v>
      </c>
      <c r="J1199">
        <v>3</v>
      </c>
      <c r="K1199">
        <v>3</v>
      </c>
      <c r="N1199">
        <v>2</v>
      </c>
      <c r="O1199">
        <v>1</v>
      </c>
      <c r="Q1199">
        <v>0</v>
      </c>
      <c r="R1199">
        <v>3</v>
      </c>
      <c r="S1199">
        <v>1</v>
      </c>
      <c r="U1199" t="s">
        <v>38</v>
      </c>
      <c r="V1199">
        <v>1</v>
      </c>
    </row>
    <row r="1200" spans="2:22" x14ac:dyDescent="0.25">
      <c r="B1200">
        <v>16</v>
      </c>
      <c r="C1200">
        <f>IF(Adecco_India[[#This Row],[Attrition]]="Yes",1,0)</f>
        <v>0</v>
      </c>
      <c r="F1200">
        <v>33</v>
      </c>
      <c r="G1200">
        <v>4</v>
      </c>
      <c r="J1200">
        <v>3</v>
      </c>
      <c r="K1200">
        <v>4</v>
      </c>
      <c r="N1200">
        <v>6</v>
      </c>
      <c r="O1200">
        <v>4</v>
      </c>
      <c r="Q1200">
        <v>1</v>
      </c>
      <c r="R1200">
        <v>4</v>
      </c>
      <c r="S1200">
        <v>1</v>
      </c>
      <c r="U1200" t="s">
        <v>38</v>
      </c>
      <c r="V1200">
        <v>1</v>
      </c>
    </row>
    <row r="1201" spans="2:22" x14ac:dyDescent="0.25">
      <c r="B1201">
        <v>26</v>
      </c>
      <c r="C1201">
        <f>IF(Adecco_India[[#This Row],[Attrition]]="Yes",1,0)</f>
        <v>0</v>
      </c>
      <c r="F1201">
        <v>36</v>
      </c>
      <c r="G1201">
        <v>3</v>
      </c>
      <c r="J1201">
        <v>2</v>
      </c>
      <c r="K1201">
        <v>3</v>
      </c>
      <c r="N1201">
        <v>3</v>
      </c>
      <c r="O1201">
        <v>3</v>
      </c>
      <c r="Q1201">
        <v>0</v>
      </c>
      <c r="R1201">
        <v>3</v>
      </c>
      <c r="S1201">
        <v>1</v>
      </c>
      <c r="U1201" t="s">
        <v>38</v>
      </c>
      <c r="V1201">
        <v>1</v>
      </c>
    </row>
    <row r="1202" spans="2:22" x14ac:dyDescent="0.25">
      <c r="B1202">
        <v>1</v>
      </c>
      <c r="C1202">
        <f>IF(Adecco_India[[#This Row],[Attrition]]="Yes",1,0)</f>
        <v>0</v>
      </c>
      <c r="F1202">
        <v>44</v>
      </c>
      <c r="G1202">
        <v>4</v>
      </c>
      <c r="J1202">
        <v>3</v>
      </c>
      <c r="K1202">
        <v>3</v>
      </c>
      <c r="N1202">
        <v>2</v>
      </c>
      <c r="O1202">
        <v>4</v>
      </c>
      <c r="Q1202">
        <v>2</v>
      </c>
      <c r="R1202">
        <v>3</v>
      </c>
      <c r="S1202">
        <v>1</v>
      </c>
      <c r="U1202" t="s">
        <v>38</v>
      </c>
      <c r="V1202">
        <v>1</v>
      </c>
    </row>
    <row r="1203" spans="2:22" x14ac:dyDescent="0.25">
      <c r="B1203">
        <v>8</v>
      </c>
      <c r="C1203">
        <f>IF(Adecco_India[[#This Row],[Attrition]]="Yes",1,0)</f>
        <v>1</v>
      </c>
      <c r="F1203">
        <v>23</v>
      </c>
      <c r="G1203">
        <v>3</v>
      </c>
      <c r="J1203">
        <v>3</v>
      </c>
      <c r="K1203">
        <v>3</v>
      </c>
      <c r="N1203">
        <v>5</v>
      </c>
      <c r="O1203">
        <v>3</v>
      </c>
      <c r="Q1203">
        <v>1</v>
      </c>
      <c r="R1203">
        <v>3</v>
      </c>
      <c r="S1203">
        <v>1</v>
      </c>
      <c r="U1203" t="s">
        <v>51</v>
      </c>
      <c r="V1203">
        <v>1</v>
      </c>
    </row>
    <row r="1204" spans="2:22" x14ac:dyDescent="0.25">
      <c r="B1204">
        <v>4</v>
      </c>
      <c r="C1204">
        <f>IF(Adecco_India[[#This Row],[Attrition]]="Yes",1,0)</f>
        <v>0</v>
      </c>
      <c r="F1204">
        <v>38</v>
      </c>
      <c r="G1204">
        <v>3</v>
      </c>
      <c r="J1204">
        <v>2</v>
      </c>
      <c r="K1204">
        <v>3</v>
      </c>
      <c r="N1204">
        <v>0</v>
      </c>
      <c r="O1204">
        <v>3</v>
      </c>
      <c r="Q1204">
        <v>0</v>
      </c>
      <c r="R1204">
        <v>3</v>
      </c>
      <c r="S1204">
        <v>1</v>
      </c>
      <c r="U1204" t="s">
        <v>51</v>
      </c>
      <c r="V1204">
        <v>1</v>
      </c>
    </row>
    <row r="1205" spans="2:22" x14ac:dyDescent="0.25">
      <c r="B1205">
        <v>24</v>
      </c>
      <c r="C1205">
        <f>IF(Adecco_India[[#This Row],[Attrition]]="Yes",1,0)</f>
        <v>0</v>
      </c>
      <c r="F1205">
        <v>53</v>
      </c>
      <c r="G1205">
        <v>4</v>
      </c>
      <c r="J1205">
        <v>3</v>
      </c>
      <c r="K1205">
        <v>3</v>
      </c>
      <c r="N1205">
        <v>4</v>
      </c>
      <c r="O1205">
        <v>4</v>
      </c>
      <c r="Q1205">
        <v>1</v>
      </c>
      <c r="R1205">
        <v>3</v>
      </c>
      <c r="S1205">
        <v>1</v>
      </c>
      <c r="U1205" t="s">
        <v>51</v>
      </c>
      <c r="V1205">
        <v>1</v>
      </c>
    </row>
    <row r="1206" spans="2:22" x14ac:dyDescent="0.25">
      <c r="B1206">
        <v>7</v>
      </c>
      <c r="C1206">
        <f>IF(Adecco_India[[#This Row],[Attrition]]="Yes",1,0)</f>
        <v>1</v>
      </c>
      <c r="F1206">
        <v>48</v>
      </c>
      <c r="G1206">
        <v>3</v>
      </c>
      <c r="J1206">
        <v>3</v>
      </c>
      <c r="K1206">
        <v>3</v>
      </c>
      <c r="N1206">
        <v>9</v>
      </c>
      <c r="O1206">
        <v>3</v>
      </c>
      <c r="Q1206">
        <v>7</v>
      </c>
      <c r="R1206">
        <v>3</v>
      </c>
      <c r="S1206">
        <v>1</v>
      </c>
      <c r="U1206" t="s">
        <v>51</v>
      </c>
      <c r="V1206">
        <v>1</v>
      </c>
    </row>
    <row r="1207" spans="2:22" x14ac:dyDescent="0.25">
      <c r="B1207">
        <v>2</v>
      </c>
      <c r="C1207">
        <f>IF(Adecco_India[[#This Row],[Attrition]]="Yes",1,0)</f>
        <v>1</v>
      </c>
      <c r="F1207">
        <v>32</v>
      </c>
      <c r="G1207">
        <v>2</v>
      </c>
      <c r="J1207">
        <v>3</v>
      </c>
      <c r="K1207">
        <v>3</v>
      </c>
      <c r="N1207">
        <v>1</v>
      </c>
      <c r="O1207">
        <v>2</v>
      </c>
      <c r="Q1207">
        <v>0</v>
      </c>
      <c r="R1207">
        <v>3</v>
      </c>
      <c r="S1207">
        <v>1</v>
      </c>
      <c r="U1207" t="s">
        <v>38</v>
      </c>
      <c r="V1207">
        <v>1</v>
      </c>
    </row>
    <row r="1208" spans="2:22" x14ac:dyDescent="0.25">
      <c r="B1208">
        <v>7</v>
      </c>
      <c r="C1208">
        <f>IF(Adecco_India[[#This Row],[Attrition]]="Yes",1,0)</f>
        <v>0</v>
      </c>
      <c r="F1208">
        <v>26</v>
      </c>
      <c r="G1208">
        <v>4</v>
      </c>
      <c r="J1208">
        <v>3</v>
      </c>
      <c r="K1208">
        <v>4</v>
      </c>
      <c r="N1208">
        <v>7</v>
      </c>
      <c r="O1208">
        <v>4</v>
      </c>
      <c r="Q1208">
        <v>5</v>
      </c>
      <c r="R1208">
        <v>4</v>
      </c>
      <c r="S1208">
        <v>1</v>
      </c>
      <c r="U1208" t="s">
        <v>51</v>
      </c>
      <c r="V1208">
        <v>1</v>
      </c>
    </row>
    <row r="1209" spans="2:22" x14ac:dyDescent="0.25">
      <c r="B1209">
        <v>22</v>
      </c>
      <c r="C1209">
        <f>IF(Adecco_India[[#This Row],[Attrition]]="Yes",1,0)</f>
        <v>0</v>
      </c>
      <c r="F1209">
        <v>55</v>
      </c>
      <c r="G1209">
        <v>2</v>
      </c>
      <c r="J1209">
        <v>3</v>
      </c>
      <c r="K1209">
        <v>3</v>
      </c>
      <c r="N1209">
        <v>4</v>
      </c>
      <c r="O1209">
        <v>2</v>
      </c>
      <c r="Q1209">
        <v>1</v>
      </c>
      <c r="R1209">
        <v>3</v>
      </c>
      <c r="S1209">
        <v>1</v>
      </c>
      <c r="U1209" t="s">
        <v>60</v>
      </c>
      <c r="V1209">
        <v>1</v>
      </c>
    </row>
    <row r="1210" spans="2:22" x14ac:dyDescent="0.25">
      <c r="B1210">
        <v>5</v>
      </c>
      <c r="C1210">
        <f>IF(Adecco_India[[#This Row],[Attrition]]="Yes",1,0)</f>
        <v>0</v>
      </c>
      <c r="F1210">
        <v>34</v>
      </c>
      <c r="G1210">
        <v>4</v>
      </c>
      <c r="J1210">
        <v>4</v>
      </c>
      <c r="K1210">
        <v>3</v>
      </c>
      <c r="N1210">
        <v>15</v>
      </c>
      <c r="O1210">
        <v>4</v>
      </c>
      <c r="Q1210">
        <v>4</v>
      </c>
      <c r="R1210">
        <v>3</v>
      </c>
      <c r="S1210">
        <v>1</v>
      </c>
      <c r="U1210" t="s">
        <v>51</v>
      </c>
      <c r="V1210">
        <v>1</v>
      </c>
    </row>
    <row r="1211" spans="2:22" x14ac:dyDescent="0.25">
      <c r="B1211">
        <v>1</v>
      </c>
      <c r="C1211">
        <f>IF(Adecco_India[[#This Row],[Attrition]]="Yes",1,0)</f>
        <v>0</v>
      </c>
      <c r="F1211">
        <v>60</v>
      </c>
      <c r="G1211">
        <v>4</v>
      </c>
      <c r="J1211">
        <v>4</v>
      </c>
      <c r="K1211">
        <v>4</v>
      </c>
      <c r="N1211">
        <v>1</v>
      </c>
      <c r="O1211">
        <v>4</v>
      </c>
      <c r="Q1211">
        <v>0</v>
      </c>
      <c r="R1211">
        <v>4</v>
      </c>
      <c r="S1211">
        <v>1</v>
      </c>
      <c r="U1211" t="s">
        <v>51</v>
      </c>
      <c r="V1211">
        <v>1</v>
      </c>
    </row>
    <row r="1212" spans="2:22" x14ac:dyDescent="0.25">
      <c r="B1212">
        <v>21</v>
      </c>
      <c r="C1212">
        <f>IF(Adecco_India[[#This Row],[Attrition]]="Yes",1,0)</f>
        <v>0</v>
      </c>
      <c r="F1212">
        <v>33</v>
      </c>
      <c r="G1212">
        <v>2</v>
      </c>
      <c r="J1212">
        <v>3</v>
      </c>
      <c r="K1212">
        <v>3</v>
      </c>
      <c r="N1212">
        <v>14</v>
      </c>
      <c r="O1212">
        <v>2</v>
      </c>
      <c r="Q1212">
        <v>2</v>
      </c>
      <c r="R1212">
        <v>3</v>
      </c>
      <c r="S1212">
        <v>1</v>
      </c>
      <c r="U1212" t="s">
        <v>51</v>
      </c>
      <c r="V1212">
        <v>1</v>
      </c>
    </row>
    <row r="1213" spans="2:22" x14ac:dyDescent="0.25">
      <c r="B1213">
        <v>1</v>
      </c>
      <c r="C1213">
        <f>IF(Adecco_India[[#This Row],[Attrition]]="Yes",1,0)</f>
        <v>0</v>
      </c>
      <c r="F1213">
        <v>37</v>
      </c>
      <c r="G1213">
        <v>4</v>
      </c>
      <c r="J1213">
        <v>2</v>
      </c>
      <c r="K1213">
        <v>3</v>
      </c>
      <c r="N1213">
        <v>6</v>
      </c>
      <c r="O1213">
        <v>4</v>
      </c>
      <c r="Q1213">
        <v>1</v>
      </c>
      <c r="R1213">
        <v>3</v>
      </c>
      <c r="S1213">
        <v>1</v>
      </c>
      <c r="U1213" t="s">
        <v>51</v>
      </c>
      <c r="V1213">
        <v>1</v>
      </c>
    </row>
    <row r="1214" spans="2:22" x14ac:dyDescent="0.25">
      <c r="B1214">
        <v>19</v>
      </c>
      <c r="C1214">
        <f>IF(Adecco_India[[#This Row],[Attrition]]="Yes",1,0)</f>
        <v>0</v>
      </c>
      <c r="F1214">
        <v>34</v>
      </c>
      <c r="G1214">
        <v>4</v>
      </c>
      <c r="J1214">
        <v>3</v>
      </c>
      <c r="K1214">
        <v>3</v>
      </c>
      <c r="N1214">
        <v>10</v>
      </c>
      <c r="O1214">
        <v>4</v>
      </c>
      <c r="Q1214">
        <v>8</v>
      </c>
      <c r="R1214">
        <v>3</v>
      </c>
      <c r="S1214">
        <v>1</v>
      </c>
      <c r="U1214" t="s">
        <v>38</v>
      </c>
      <c r="V1214">
        <v>1</v>
      </c>
    </row>
    <row r="1215" spans="2:22" x14ac:dyDescent="0.25">
      <c r="B1215">
        <v>7</v>
      </c>
      <c r="C1215">
        <f>IF(Adecco_India[[#This Row],[Attrition]]="Yes",1,0)</f>
        <v>1</v>
      </c>
      <c r="F1215">
        <v>23</v>
      </c>
      <c r="G1215">
        <v>4</v>
      </c>
      <c r="J1215">
        <v>3</v>
      </c>
      <c r="K1215">
        <v>4</v>
      </c>
      <c r="N1215">
        <v>3</v>
      </c>
      <c r="O1215">
        <v>4</v>
      </c>
      <c r="Q1215">
        <v>0</v>
      </c>
      <c r="R1215">
        <v>4</v>
      </c>
      <c r="S1215">
        <v>1</v>
      </c>
      <c r="U1215" t="s">
        <v>38</v>
      </c>
      <c r="V1215">
        <v>1</v>
      </c>
    </row>
    <row r="1216" spans="2:22" x14ac:dyDescent="0.25">
      <c r="B1216">
        <v>2</v>
      </c>
      <c r="C1216">
        <f>IF(Adecco_India[[#This Row],[Attrition]]="Yes",1,0)</f>
        <v>0</v>
      </c>
      <c r="F1216">
        <v>44</v>
      </c>
      <c r="G1216">
        <v>4</v>
      </c>
      <c r="J1216">
        <v>3</v>
      </c>
      <c r="K1216">
        <v>3</v>
      </c>
      <c r="N1216">
        <v>8</v>
      </c>
      <c r="O1216">
        <v>4</v>
      </c>
      <c r="Q1216">
        <v>6</v>
      </c>
      <c r="R1216">
        <v>3</v>
      </c>
      <c r="S1216">
        <v>1</v>
      </c>
      <c r="U1216" t="s">
        <v>38</v>
      </c>
      <c r="V1216">
        <v>1</v>
      </c>
    </row>
    <row r="1217" spans="2:22" x14ac:dyDescent="0.25">
      <c r="B1217">
        <v>2</v>
      </c>
      <c r="C1217">
        <f>IF(Adecco_India[[#This Row],[Attrition]]="Yes",1,0)</f>
        <v>0</v>
      </c>
      <c r="F1217">
        <v>35</v>
      </c>
      <c r="G1217">
        <v>4</v>
      </c>
      <c r="J1217">
        <v>4</v>
      </c>
      <c r="K1217">
        <v>3</v>
      </c>
      <c r="N1217">
        <v>5</v>
      </c>
      <c r="O1217">
        <v>4</v>
      </c>
      <c r="Q1217">
        <v>1</v>
      </c>
      <c r="R1217">
        <v>3</v>
      </c>
      <c r="S1217">
        <v>1</v>
      </c>
      <c r="U1217" t="s">
        <v>51</v>
      </c>
      <c r="V1217">
        <v>1</v>
      </c>
    </row>
    <row r="1218" spans="2:22" x14ac:dyDescent="0.25">
      <c r="B1218">
        <v>2</v>
      </c>
      <c r="C1218">
        <f>IF(Adecco_India[[#This Row],[Attrition]]="Yes",1,0)</f>
        <v>0</v>
      </c>
      <c r="F1218">
        <v>43</v>
      </c>
      <c r="G1218">
        <v>4</v>
      </c>
      <c r="J1218">
        <v>3</v>
      </c>
      <c r="K1218">
        <v>3</v>
      </c>
      <c r="N1218">
        <v>10</v>
      </c>
      <c r="O1218">
        <v>4</v>
      </c>
      <c r="Q1218">
        <v>8</v>
      </c>
      <c r="R1218">
        <v>3</v>
      </c>
      <c r="S1218">
        <v>1</v>
      </c>
      <c r="U1218" t="s">
        <v>51</v>
      </c>
      <c r="V1218">
        <v>1</v>
      </c>
    </row>
    <row r="1219" spans="2:22" x14ac:dyDescent="0.25">
      <c r="B1219">
        <v>9</v>
      </c>
      <c r="C1219">
        <f>IF(Adecco_India[[#This Row],[Attrition]]="Yes",1,0)</f>
        <v>0</v>
      </c>
      <c r="F1219">
        <v>24</v>
      </c>
      <c r="G1219">
        <v>3</v>
      </c>
      <c r="J1219">
        <v>3</v>
      </c>
      <c r="K1219">
        <v>3</v>
      </c>
      <c r="N1219">
        <v>5</v>
      </c>
      <c r="O1219">
        <v>3</v>
      </c>
      <c r="Q1219">
        <v>0</v>
      </c>
      <c r="R1219">
        <v>3</v>
      </c>
      <c r="S1219">
        <v>1</v>
      </c>
      <c r="U1219" t="s">
        <v>51</v>
      </c>
      <c r="V1219">
        <v>1</v>
      </c>
    </row>
    <row r="1220" spans="2:22" x14ac:dyDescent="0.25">
      <c r="B1220">
        <v>6</v>
      </c>
      <c r="C1220">
        <f>IF(Adecco_India[[#This Row],[Attrition]]="Yes",1,0)</f>
        <v>0</v>
      </c>
      <c r="F1220">
        <v>41</v>
      </c>
      <c r="G1220">
        <v>3</v>
      </c>
      <c r="J1220">
        <v>3</v>
      </c>
      <c r="K1220">
        <v>3</v>
      </c>
      <c r="N1220">
        <v>10</v>
      </c>
      <c r="O1220">
        <v>3</v>
      </c>
      <c r="Q1220">
        <v>8</v>
      </c>
      <c r="R1220">
        <v>3</v>
      </c>
      <c r="S1220">
        <v>1</v>
      </c>
      <c r="U1220" t="s">
        <v>59</v>
      </c>
      <c r="V1220">
        <v>1</v>
      </c>
    </row>
    <row r="1221" spans="2:22" x14ac:dyDescent="0.25">
      <c r="B1221">
        <v>9</v>
      </c>
      <c r="C1221">
        <f>IF(Adecco_India[[#This Row],[Attrition]]="Yes",1,0)</f>
        <v>0</v>
      </c>
      <c r="F1221">
        <v>29</v>
      </c>
      <c r="G1221">
        <v>3</v>
      </c>
      <c r="J1221">
        <v>3</v>
      </c>
      <c r="K1221">
        <v>3</v>
      </c>
      <c r="N1221">
        <v>5</v>
      </c>
      <c r="O1221">
        <v>3</v>
      </c>
      <c r="Q1221">
        <v>1</v>
      </c>
      <c r="R1221">
        <v>3</v>
      </c>
      <c r="S1221">
        <v>1</v>
      </c>
      <c r="U1221" t="s">
        <v>51</v>
      </c>
      <c r="V1221">
        <v>1</v>
      </c>
    </row>
    <row r="1222" spans="2:22" x14ac:dyDescent="0.25">
      <c r="B1222">
        <v>2</v>
      </c>
      <c r="C1222">
        <f>IF(Adecco_India[[#This Row],[Attrition]]="Yes",1,0)</f>
        <v>0</v>
      </c>
      <c r="F1222">
        <v>36</v>
      </c>
      <c r="G1222">
        <v>4</v>
      </c>
      <c r="J1222">
        <v>2</v>
      </c>
      <c r="K1222">
        <v>3</v>
      </c>
      <c r="N1222">
        <v>13</v>
      </c>
      <c r="O1222">
        <v>4</v>
      </c>
      <c r="Q1222">
        <v>6</v>
      </c>
      <c r="R1222">
        <v>3</v>
      </c>
      <c r="S1222">
        <v>1</v>
      </c>
      <c r="U1222" t="s">
        <v>38</v>
      </c>
      <c r="V1222">
        <v>1</v>
      </c>
    </row>
    <row r="1223" spans="2:22" x14ac:dyDescent="0.25">
      <c r="B1223">
        <v>1</v>
      </c>
      <c r="C1223">
        <f>IF(Adecco_India[[#This Row],[Attrition]]="Yes",1,0)</f>
        <v>0</v>
      </c>
      <c r="F1223">
        <v>45</v>
      </c>
      <c r="G1223">
        <v>3</v>
      </c>
      <c r="J1223">
        <v>2</v>
      </c>
      <c r="K1223">
        <v>4</v>
      </c>
      <c r="N1223">
        <v>23</v>
      </c>
      <c r="O1223">
        <v>3</v>
      </c>
      <c r="Q1223">
        <v>14</v>
      </c>
      <c r="R1223">
        <v>4</v>
      </c>
      <c r="S1223">
        <v>1</v>
      </c>
      <c r="U1223" t="s">
        <v>38</v>
      </c>
      <c r="V1223">
        <v>1</v>
      </c>
    </row>
    <row r="1224" spans="2:22" x14ac:dyDescent="0.25">
      <c r="B1224">
        <v>22</v>
      </c>
      <c r="C1224">
        <f>IF(Adecco_India[[#This Row],[Attrition]]="Yes",1,0)</f>
        <v>1</v>
      </c>
      <c r="F1224">
        <v>24</v>
      </c>
      <c r="G1224">
        <v>3</v>
      </c>
      <c r="J1224">
        <v>3</v>
      </c>
      <c r="K1224">
        <v>3</v>
      </c>
      <c r="N1224">
        <v>1</v>
      </c>
      <c r="O1224">
        <v>3</v>
      </c>
      <c r="Q1224">
        <v>0</v>
      </c>
      <c r="R1224">
        <v>3</v>
      </c>
      <c r="S1224">
        <v>1</v>
      </c>
      <c r="U1224" t="s">
        <v>61</v>
      </c>
      <c r="V1224">
        <v>1</v>
      </c>
    </row>
    <row r="1225" spans="2:22" x14ac:dyDescent="0.25">
      <c r="B1225">
        <v>9</v>
      </c>
      <c r="C1225">
        <f>IF(Adecco_India[[#This Row],[Attrition]]="Yes",1,0)</f>
        <v>1</v>
      </c>
      <c r="F1225">
        <v>47</v>
      </c>
      <c r="G1225">
        <v>3</v>
      </c>
      <c r="J1225">
        <v>1</v>
      </c>
      <c r="K1225">
        <v>3</v>
      </c>
      <c r="N1225">
        <v>23</v>
      </c>
      <c r="O1225">
        <v>3</v>
      </c>
      <c r="Q1225">
        <v>14</v>
      </c>
      <c r="R1225">
        <v>3</v>
      </c>
      <c r="S1225">
        <v>1</v>
      </c>
      <c r="U1225" t="s">
        <v>38</v>
      </c>
      <c r="V1225">
        <v>1</v>
      </c>
    </row>
    <row r="1226" spans="2:22" x14ac:dyDescent="0.25">
      <c r="B1226">
        <v>17</v>
      </c>
      <c r="C1226">
        <f>IF(Adecco_India[[#This Row],[Attrition]]="Yes",1,0)</f>
        <v>0</v>
      </c>
      <c r="F1226">
        <v>26</v>
      </c>
      <c r="G1226">
        <v>3</v>
      </c>
      <c r="J1226">
        <v>4</v>
      </c>
      <c r="K1226">
        <v>3</v>
      </c>
      <c r="N1226">
        <v>3</v>
      </c>
      <c r="O1226">
        <v>3</v>
      </c>
      <c r="Q1226">
        <v>0</v>
      </c>
      <c r="R1226">
        <v>3</v>
      </c>
      <c r="S1226">
        <v>1</v>
      </c>
      <c r="U1226" t="s">
        <v>51</v>
      </c>
      <c r="V1226">
        <v>1</v>
      </c>
    </row>
    <row r="1227" spans="2:22" x14ac:dyDescent="0.25">
      <c r="B1227">
        <v>28</v>
      </c>
      <c r="C1227">
        <f>IF(Adecco_India[[#This Row],[Attrition]]="Yes",1,0)</f>
        <v>0</v>
      </c>
      <c r="F1227">
        <v>45</v>
      </c>
      <c r="G1227">
        <v>2</v>
      </c>
      <c r="J1227">
        <v>3</v>
      </c>
      <c r="K1227">
        <v>3</v>
      </c>
      <c r="N1227">
        <v>21</v>
      </c>
      <c r="O1227">
        <v>2</v>
      </c>
      <c r="Q1227">
        <v>8</v>
      </c>
      <c r="R1227">
        <v>3</v>
      </c>
      <c r="S1227">
        <v>1</v>
      </c>
      <c r="U1227" t="s">
        <v>60</v>
      </c>
      <c r="V1227">
        <v>1</v>
      </c>
    </row>
    <row r="1228" spans="2:22" x14ac:dyDescent="0.25">
      <c r="B1228">
        <v>10</v>
      </c>
      <c r="C1228">
        <f>IF(Adecco_India[[#This Row],[Attrition]]="Yes",1,0)</f>
        <v>0</v>
      </c>
      <c r="F1228">
        <v>32</v>
      </c>
      <c r="G1228">
        <v>3</v>
      </c>
      <c r="J1228">
        <v>2</v>
      </c>
      <c r="K1228">
        <v>3</v>
      </c>
      <c r="N1228">
        <v>5</v>
      </c>
      <c r="O1228">
        <v>3</v>
      </c>
      <c r="Q1228">
        <v>1</v>
      </c>
      <c r="R1228">
        <v>3</v>
      </c>
      <c r="S1228">
        <v>1</v>
      </c>
      <c r="U1228" t="s">
        <v>38</v>
      </c>
      <c r="V1228">
        <v>1</v>
      </c>
    </row>
    <row r="1229" spans="2:22" x14ac:dyDescent="0.25">
      <c r="B1229">
        <v>2</v>
      </c>
      <c r="C1229">
        <f>IF(Adecco_India[[#This Row],[Attrition]]="Yes",1,0)</f>
        <v>0</v>
      </c>
      <c r="F1229">
        <v>31</v>
      </c>
      <c r="G1229">
        <v>3</v>
      </c>
      <c r="J1229">
        <v>4</v>
      </c>
      <c r="K1229">
        <v>3</v>
      </c>
      <c r="N1229">
        <v>5</v>
      </c>
      <c r="O1229">
        <v>3</v>
      </c>
      <c r="Q1229">
        <v>0</v>
      </c>
      <c r="R1229">
        <v>3</v>
      </c>
      <c r="S1229">
        <v>1</v>
      </c>
      <c r="U1229" t="s">
        <v>38</v>
      </c>
      <c r="V1229">
        <v>1</v>
      </c>
    </row>
    <row r="1230" spans="2:22" x14ac:dyDescent="0.25">
      <c r="B1230">
        <v>4</v>
      </c>
      <c r="C1230">
        <f>IF(Adecco_India[[#This Row],[Attrition]]="Yes",1,0)</f>
        <v>0</v>
      </c>
      <c r="F1230">
        <v>41</v>
      </c>
      <c r="G1230">
        <v>2</v>
      </c>
      <c r="J1230">
        <v>3</v>
      </c>
      <c r="K1230">
        <v>3</v>
      </c>
      <c r="N1230">
        <v>3</v>
      </c>
      <c r="O1230">
        <v>2</v>
      </c>
      <c r="Q1230">
        <v>1</v>
      </c>
      <c r="R1230">
        <v>3</v>
      </c>
      <c r="S1230">
        <v>1</v>
      </c>
      <c r="U1230" t="s">
        <v>61</v>
      </c>
      <c r="V1230">
        <v>1</v>
      </c>
    </row>
    <row r="1231" spans="2:22" x14ac:dyDescent="0.25">
      <c r="B1231">
        <v>8</v>
      </c>
      <c r="C1231">
        <f>IF(Adecco_India[[#This Row],[Attrition]]="Yes",1,0)</f>
        <v>0</v>
      </c>
      <c r="F1231">
        <v>40</v>
      </c>
      <c r="G1231">
        <v>1</v>
      </c>
      <c r="J1231">
        <v>3</v>
      </c>
      <c r="K1231">
        <v>3</v>
      </c>
      <c r="N1231">
        <v>1</v>
      </c>
      <c r="O1231">
        <v>1</v>
      </c>
      <c r="Q1231">
        <v>0</v>
      </c>
      <c r="R1231">
        <v>3</v>
      </c>
      <c r="S1231">
        <v>1</v>
      </c>
      <c r="U1231" t="s">
        <v>38</v>
      </c>
      <c r="V1231">
        <v>1</v>
      </c>
    </row>
    <row r="1232" spans="2:22" x14ac:dyDescent="0.25">
      <c r="B1232">
        <v>29</v>
      </c>
      <c r="C1232">
        <f>IF(Adecco_India[[#This Row],[Attrition]]="Yes",1,0)</f>
        <v>0</v>
      </c>
      <c r="F1232">
        <v>24</v>
      </c>
      <c r="G1232">
        <v>1</v>
      </c>
      <c r="J1232">
        <v>4</v>
      </c>
      <c r="K1232">
        <v>3</v>
      </c>
      <c r="N1232">
        <v>6</v>
      </c>
      <c r="O1232">
        <v>1</v>
      </c>
      <c r="Q1232">
        <v>1</v>
      </c>
      <c r="R1232">
        <v>3</v>
      </c>
      <c r="S1232">
        <v>1</v>
      </c>
      <c r="U1232" t="s">
        <v>51</v>
      </c>
      <c r="V1232">
        <v>1</v>
      </c>
    </row>
    <row r="1233" spans="2:22" x14ac:dyDescent="0.25">
      <c r="B1233">
        <v>13</v>
      </c>
      <c r="C1233">
        <f>IF(Adecco_India[[#This Row],[Attrition]]="Yes",1,0)</f>
        <v>0</v>
      </c>
      <c r="F1233">
        <v>46</v>
      </c>
      <c r="G1233">
        <v>2</v>
      </c>
      <c r="J1233">
        <v>3</v>
      </c>
      <c r="K1233">
        <v>3</v>
      </c>
      <c r="N1233">
        <v>10</v>
      </c>
      <c r="O1233">
        <v>2</v>
      </c>
      <c r="Q1233">
        <v>0</v>
      </c>
      <c r="R1233">
        <v>3</v>
      </c>
      <c r="S1233">
        <v>1</v>
      </c>
      <c r="U1233" t="s">
        <v>38</v>
      </c>
      <c r="V1233">
        <v>1</v>
      </c>
    </row>
    <row r="1234" spans="2:22" x14ac:dyDescent="0.25">
      <c r="B1234">
        <v>27</v>
      </c>
      <c r="C1234">
        <f>IF(Adecco_India[[#This Row],[Attrition]]="Yes",1,0)</f>
        <v>0</v>
      </c>
      <c r="F1234">
        <v>35</v>
      </c>
      <c r="G1234">
        <v>3</v>
      </c>
      <c r="J1234">
        <v>3</v>
      </c>
      <c r="K1234">
        <v>3</v>
      </c>
      <c r="N1234">
        <v>7</v>
      </c>
      <c r="O1234">
        <v>3</v>
      </c>
      <c r="Q1234">
        <v>0</v>
      </c>
      <c r="R1234">
        <v>3</v>
      </c>
      <c r="S1234">
        <v>1</v>
      </c>
      <c r="U1234" t="s">
        <v>38</v>
      </c>
      <c r="V1234">
        <v>1</v>
      </c>
    </row>
    <row r="1235" spans="2:22" x14ac:dyDescent="0.25">
      <c r="B1235">
        <v>16</v>
      </c>
      <c r="C1235">
        <f>IF(Adecco_India[[#This Row],[Attrition]]="Yes",1,0)</f>
        <v>0</v>
      </c>
      <c r="F1235">
        <v>30</v>
      </c>
      <c r="G1235">
        <v>4</v>
      </c>
      <c r="J1235">
        <v>2</v>
      </c>
      <c r="K1235">
        <v>3</v>
      </c>
      <c r="N1235">
        <v>10</v>
      </c>
      <c r="O1235">
        <v>4</v>
      </c>
      <c r="Q1235">
        <v>0</v>
      </c>
      <c r="R1235">
        <v>3</v>
      </c>
      <c r="S1235">
        <v>1</v>
      </c>
      <c r="U1235" t="s">
        <v>38</v>
      </c>
      <c r="V1235">
        <v>1</v>
      </c>
    </row>
    <row r="1236" spans="2:22" x14ac:dyDescent="0.25">
      <c r="B1236">
        <v>2</v>
      </c>
      <c r="C1236">
        <f>IF(Adecco_India[[#This Row],[Attrition]]="Yes",1,0)</f>
        <v>0</v>
      </c>
      <c r="F1236">
        <v>47</v>
      </c>
      <c r="G1236">
        <v>2</v>
      </c>
      <c r="J1236">
        <v>1</v>
      </c>
      <c r="K1236">
        <v>3</v>
      </c>
      <c r="N1236">
        <v>1</v>
      </c>
      <c r="O1236">
        <v>2</v>
      </c>
      <c r="Q1236">
        <v>0</v>
      </c>
      <c r="R1236">
        <v>3</v>
      </c>
      <c r="S1236">
        <v>1</v>
      </c>
      <c r="U1236" t="s">
        <v>59</v>
      </c>
      <c r="V1236">
        <v>1</v>
      </c>
    </row>
    <row r="1237" spans="2:22" x14ac:dyDescent="0.25">
      <c r="B1237">
        <v>2</v>
      </c>
      <c r="C1237">
        <f>IF(Adecco_India[[#This Row],[Attrition]]="Yes",1,0)</f>
        <v>0</v>
      </c>
      <c r="F1237">
        <v>46</v>
      </c>
      <c r="G1237">
        <v>4</v>
      </c>
      <c r="J1237">
        <v>2</v>
      </c>
      <c r="K1237">
        <v>3</v>
      </c>
      <c r="N1237">
        <v>10</v>
      </c>
      <c r="O1237">
        <v>4</v>
      </c>
      <c r="Q1237">
        <v>0</v>
      </c>
      <c r="R1237">
        <v>3</v>
      </c>
      <c r="S1237">
        <v>1</v>
      </c>
      <c r="U1237" t="s">
        <v>38</v>
      </c>
      <c r="V1237">
        <v>1</v>
      </c>
    </row>
    <row r="1238" spans="2:22" x14ac:dyDescent="0.25">
      <c r="B1238">
        <v>13</v>
      </c>
      <c r="C1238">
        <f>IF(Adecco_India[[#This Row],[Attrition]]="Yes",1,0)</f>
        <v>1</v>
      </c>
      <c r="F1238">
        <v>36</v>
      </c>
      <c r="G1238">
        <v>1</v>
      </c>
      <c r="J1238">
        <v>3</v>
      </c>
      <c r="K1238">
        <v>3</v>
      </c>
      <c r="N1238">
        <v>2</v>
      </c>
      <c r="O1238">
        <v>1</v>
      </c>
      <c r="Q1238">
        <v>2</v>
      </c>
      <c r="R1238">
        <v>3</v>
      </c>
      <c r="S1238">
        <v>1</v>
      </c>
      <c r="U1238" t="s">
        <v>59</v>
      </c>
      <c r="V1238">
        <v>1</v>
      </c>
    </row>
    <row r="1239" spans="2:22" x14ac:dyDescent="0.25">
      <c r="B1239">
        <v>1</v>
      </c>
      <c r="C1239">
        <f>IF(Adecco_India[[#This Row],[Attrition]]="Yes",1,0)</f>
        <v>1</v>
      </c>
      <c r="F1239">
        <v>32</v>
      </c>
      <c r="G1239">
        <v>2</v>
      </c>
      <c r="J1239">
        <v>3</v>
      </c>
      <c r="K1239">
        <v>3</v>
      </c>
      <c r="N1239">
        <v>0</v>
      </c>
      <c r="O1239">
        <v>2</v>
      </c>
      <c r="Q1239">
        <v>0</v>
      </c>
      <c r="R1239">
        <v>3</v>
      </c>
      <c r="S1239">
        <v>1</v>
      </c>
      <c r="U1239" t="s">
        <v>38</v>
      </c>
      <c r="V1239">
        <v>1</v>
      </c>
    </row>
    <row r="1240" spans="2:22" x14ac:dyDescent="0.25">
      <c r="B1240">
        <v>4</v>
      </c>
      <c r="C1240">
        <f>IF(Adecco_India[[#This Row],[Attrition]]="Yes",1,0)</f>
        <v>0</v>
      </c>
      <c r="F1240">
        <v>23</v>
      </c>
      <c r="G1240">
        <v>2</v>
      </c>
      <c r="J1240">
        <v>1</v>
      </c>
      <c r="K1240">
        <v>3</v>
      </c>
      <c r="N1240">
        <v>3</v>
      </c>
      <c r="O1240">
        <v>2</v>
      </c>
      <c r="Q1240">
        <v>1</v>
      </c>
      <c r="R1240">
        <v>3</v>
      </c>
      <c r="S1240">
        <v>1</v>
      </c>
      <c r="U1240" t="s">
        <v>51</v>
      </c>
      <c r="V1240">
        <v>1</v>
      </c>
    </row>
    <row r="1241" spans="2:22" x14ac:dyDescent="0.25">
      <c r="B1241">
        <v>24</v>
      </c>
      <c r="C1241">
        <f>IF(Adecco_India[[#This Row],[Attrition]]="Yes",1,0)</f>
        <v>0</v>
      </c>
      <c r="F1241">
        <v>31</v>
      </c>
      <c r="G1241">
        <v>4</v>
      </c>
      <c r="J1241">
        <v>2</v>
      </c>
      <c r="K1241">
        <v>4</v>
      </c>
      <c r="N1241">
        <v>5</v>
      </c>
      <c r="O1241">
        <v>4</v>
      </c>
      <c r="Q1241">
        <v>1</v>
      </c>
      <c r="R1241">
        <v>4</v>
      </c>
      <c r="S1241">
        <v>1</v>
      </c>
      <c r="U1241" t="s">
        <v>60</v>
      </c>
      <c r="V1241">
        <v>1</v>
      </c>
    </row>
    <row r="1242" spans="2:22" x14ac:dyDescent="0.25">
      <c r="B1242">
        <v>1</v>
      </c>
      <c r="C1242">
        <f>IF(Adecco_India[[#This Row],[Attrition]]="Yes",1,0)</f>
        <v>0</v>
      </c>
      <c r="F1242">
        <v>39</v>
      </c>
      <c r="G1242">
        <v>4</v>
      </c>
      <c r="J1242">
        <v>3</v>
      </c>
      <c r="K1242">
        <v>3</v>
      </c>
      <c r="N1242">
        <v>9</v>
      </c>
      <c r="O1242">
        <v>4</v>
      </c>
      <c r="Q1242">
        <v>5</v>
      </c>
      <c r="R1242">
        <v>3</v>
      </c>
      <c r="S1242">
        <v>1</v>
      </c>
      <c r="U1242" t="s">
        <v>38</v>
      </c>
      <c r="V1242">
        <v>1</v>
      </c>
    </row>
    <row r="1243" spans="2:22" x14ac:dyDescent="0.25">
      <c r="B1243">
        <v>19</v>
      </c>
      <c r="C1243">
        <f>IF(Adecco_India[[#This Row],[Attrition]]="Yes",1,0)</f>
        <v>0</v>
      </c>
      <c r="F1243">
        <v>32</v>
      </c>
      <c r="G1243">
        <v>3</v>
      </c>
      <c r="J1243">
        <v>1</v>
      </c>
      <c r="K1243">
        <v>3</v>
      </c>
      <c r="N1243">
        <v>4</v>
      </c>
      <c r="O1243">
        <v>3</v>
      </c>
      <c r="Q1243">
        <v>0</v>
      </c>
      <c r="R1243">
        <v>3</v>
      </c>
      <c r="S1243">
        <v>1</v>
      </c>
      <c r="U1243" t="s">
        <v>38</v>
      </c>
      <c r="V1243">
        <v>1</v>
      </c>
    </row>
    <row r="1244" spans="2:22" x14ac:dyDescent="0.25">
      <c r="B1244">
        <v>7</v>
      </c>
      <c r="C1244">
        <f>IF(Adecco_India[[#This Row],[Attrition]]="Yes",1,0)</f>
        <v>0</v>
      </c>
      <c r="F1244">
        <v>40</v>
      </c>
      <c r="G1244">
        <v>2</v>
      </c>
      <c r="J1244">
        <v>2</v>
      </c>
      <c r="K1244">
        <v>3</v>
      </c>
      <c r="N1244">
        <v>21</v>
      </c>
      <c r="O1244">
        <v>2</v>
      </c>
      <c r="Q1244">
        <v>12</v>
      </c>
      <c r="R1244">
        <v>3</v>
      </c>
      <c r="S1244">
        <v>1</v>
      </c>
      <c r="U1244" t="s">
        <v>51</v>
      </c>
      <c r="V1244">
        <v>1</v>
      </c>
    </row>
    <row r="1245" spans="2:22" x14ac:dyDescent="0.25">
      <c r="B1245">
        <v>4</v>
      </c>
      <c r="C1245">
        <f>IF(Adecco_India[[#This Row],[Attrition]]="Yes",1,0)</f>
        <v>0</v>
      </c>
      <c r="F1245">
        <v>45</v>
      </c>
      <c r="G1245">
        <v>3</v>
      </c>
      <c r="J1245">
        <v>4</v>
      </c>
      <c r="K1245">
        <v>4</v>
      </c>
      <c r="N1245">
        <v>5</v>
      </c>
      <c r="O1245">
        <v>3</v>
      </c>
      <c r="Q1245">
        <v>0</v>
      </c>
      <c r="R1245">
        <v>4</v>
      </c>
      <c r="S1245">
        <v>1</v>
      </c>
      <c r="U1245" t="s">
        <v>38</v>
      </c>
      <c r="V1245">
        <v>1</v>
      </c>
    </row>
    <row r="1246" spans="2:22" x14ac:dyDescent="0.25">
      <c r="B1246">
        <v>2</v>
      </c>
      <c r="C1246">
        <f>IF(Adecco_India[[#This Row],[Attrition]]="Yes",1,0)</f>
        <v>0</v>
      </c>
      <c r="F1246">
        <v>30</v>
      </c>
      <c r="G1246">
        <v>1</v>
      </c>
      <c r="J1246">
        <v>3</v>
      </c>
      <c r="K1246">
        <v>3</v>
      </c>
      <c r="N1246">
        <v>9</v>
      </c>
      <c r="O1246">
        <v>1</v>
      </c>
      <c r="Q1246">
        <v>0</v>
      </c>
      <c r="R1246">
        <v>3</v>
      </c>
      <c r="S1246">
        <v>1</v>
      </c>
      <c r="U1246" t="s">
        <v>60</v>
      </c>
      <c r="V1246">
        <v>1</v>
      </c>
    </row>
    <row r="1247" spans="2:22" x14ac:dyDescent="0.25">
      <c r="B1247">
        <v>10</v>
      </c>
      <c r="C1247">
        <f>IF(Adecco_India[[#This Row],[Attrition]]="Yes",1,0)</f>
        <v>0</v>
      </c>
      <c r="F1247">
        <v>24</v>
      </c>
      <c r="G1247">
        <v>4</v>
      </c>
      <c r="J1247">
        <v>3</v>
      </c>
      <c r="K1247">
        <v>3</v>
      </c>
      <c r="N1247">
        <v>2</v>
      </c>
      <c r="O1247">
        <v>4</v>
      </c>
      <c r="Q1247">
        <v>2</v>
      </c>
      <c r="R1247">
        <v>3</v>
      </c>
      <c r="S1247">
        <v>1</v>
      </c>
      <c r="U1247" t="s">
        <v>51</v>
      </c>
      <c r="V1247">
        <v>1</v>
      </c>
    </row>
    <row r="1248" spans="2:22" x14ac:dyDescent="0.25">
      <c r="B1248">
        <v>8</v>
      </c>
      <c r="C1248">
        <f>IF(Adecco_India[[#This Row],[Attrition]]="Yes",1,0)</f>
        <v>1</v>
      </c>
      <c r="F1248">
        <v>30</v>
      </c>
      <c r="G1248">
        <v>4</v>
      </c>
      <c r="J1248">
        <v>2</v>
      </c>
      <c r="K1248">
        <v>3</v>
      </c>
      <c r="N1248">
        <v>4</v>
      </c>
      <c r="O1248">
        <v>4</v>
      </c>
      <c r="Q1248">
        <v>1</v>
      </c>
      <c r="R1248">
        <v>3</v>
      </c>
      <c r="S1248">
        <v>1</v>
      </c>
      <c r="U1248" t="s">
        <v>61</v>
      </c>
      <c r="V1248">
        <v>1</v>
      </c>
    </row>
    <row r="1249" spans="2:22" x14ac:dyDescent="0.25">
      <c r="B1249">
        <v>5</v>
      </c>
      <c r="C1249">
        <f>IF(Adecco_India[[#This Row],[Attrition]]="Yes",1,0)</f>
        <v>0</v>
      </c>
      <c r="F1249">
        <v>31</v>
      </c>
      <c r="G1249">
        <v>3</v>
      </c>
      <c r="J1249">
        <v>3</v>
      </c>
      <c r="K1249">
        <v>3</v>
      </c>
      <c r="N1249">
        <v>5</v>
      </c>
      <c r="O1249">
        <v>3</v>
      </c>
      <c r="Q1249">
        <v>0</v>
      </c>
      <c r="R1249">
        <v>3</v>
      </c>
      <c r="S1249">
        <v>1</v>
      </c>
      <c r="U1249" t="s">
        <v>60</v>
      </c>
      <c r="V1249">
        <v>1</v>
      </c>
    </row>
    <row r="1250" spans="2:22" x14ac:dyDescent="0.25">
      <c r="B1250">
        <v>8</v>
      </c>
      <c r="C1250">
        <f>IF(Adecco_India[[#This Row],[Attrition]]="Yes",1,0)</f>
        <v>0</v>
      </c>
      <c r="F1250">
        <v>27</v>
      </c>
      <c r="G1250">
        <v>4</v>
      </c>
      <c r="J1250">
        <v>2</v>
      </c>
      <c r="K1250">
        <v>3</v>
      </c>
      <c r="N1250">
        <v>6</v>
      </c>
      <c r="O1250">
        <v>4</v>
      </c>
      <c r="Q1250">
        <v>1</v>
      </c>
      <c r="R1250">
        <v>3</v>
      </c>
      <c r="S1250">
        <v>1</v>
      </c>
      <c r="U1250" t="s">
        <v>51</v>
      </c>
      <c r="V1250">
        <v>1</v>
      </c>
    </row>
    <row r="1251" spans="2:22" x14ac:dyDescent="0.25">
      <c r="B1251">
        <v>9</v>
      </c>
      <c r="C1251">
        <f>IF(Adecco_India[[#This Row],[Attrition]]="Yes",1,0)</f>
        <v>1</v>
      </c>
      <c r="F1251">
        <v>29</v>
      </c>
      <c r="G1251">
        <v>2</v>
      </c>
      <c r="J1251">
        <v>3</v>
      </c>
      <c r="K1251">
        <v>3</v>
      </c>
      <c r="N1251">
        <v>2</v>
      </c>
      <c r="O1251">
        <v>2</v>
      </c>
      <c r="Q1251">
        <v>2</v>
      </c>
      <c r="R1251">
        <v>3</v>
      </c>
      <c r="S1251">
        <v>1</v>
      </c>
      <c r="U1251" t="s">
        <v>59</v>
      </c>
      <c r="V1251">
        <v>1</v>
      </c>
    </row>
    <row r="1252" spans="2:22" x14ac:dyDescent="0.25">
      <c r="B1252">
        <v>1</v>
      </c>
      <c r="C1252">
        <f>IF(Adecco_India[[#This Row],[Attrition]]="Yes",1,0)</f>
        <v>0</v>
      </c>
      <c r="F1252">
        <v>29</v>
      </c>
      <c r="G1252">
        <v>3</v>
      </c>
      <c r="J1252">
        <v>4</v>
      </c>
      <c r="K1252">
        <v>3</v>
      </c>
      <c r="N1252">
        <v>3</v>
      </c>
      <c r="O1252">
        <v>3</v>
      </c>
      <c r="Q1252">
        <v>0</v>
      </c>
      <c r="R1252">
        <v>3</v>
      </c>
      <c r="S1252">
        <v>1</v>
      </c>
      <c r="U1252" t="s">
        <v>38</v>
      </c>
      <c r="V1252">
        <v>1</v>
      </c>
    </row>
    <row r="1253" spans="2:22" x14ac:dyDescent="0.25">
      <c r="B1253">
        <v>15</v>
      </c>
      <c r="C1253">
        <f>IF(Adecco_India[[#This Row],[Attrition]]="Yes",1,0)</f>
        <v>0</v>
      </c>
      <c r="F1253">
        <v>30</v>
      </c>
      <c r="G1253">
        <v>1</v>
      </c>
      <c r="J1253">
        <v>3</v>
      </c>
      <c r="K1253">
        <v>3</v>
      </c>
      <c r="N1253">
        <v>7</v>
      </c>
      <c r="O1253">
        <v>1</v>
      </c>
      <c r="Q1253">
        <v>1</v>
      </c>
      <c r="R1253">
        <v>3</v>
      </c>
      <c r="S1253">
        <v>1</v>
      </c>
      <c r="U1253" t="s">
        <v>59</v>
      </c>
      <c r="V1253">
        <v>1</v>
      </c>
    </row>
    <row r="1254" spans="2:22" x14ac:dyDescent="0.25">
      <c r="B1254">
        <v>2</v>
      </c>
      <c r="C1254">
        <f>IF(Adecco_India[[#This Row],[Attrition]]="Yes",1,0)</f>
        <v>0</v>
      </c>
      <c r="F1254">
        <v>34</v>
      </c>
      <c r="G1254">
        <v>4</v>
      </c>
      <c r="J1254">
        <v>3</v>
      </c>
      <c r="K1254">
        <v>3</v>
      </c>
      <c r="N1254">
        <v>5</v>
      </c>
      <c r="O1254">
        <v>4</v>
      </c>
      <c r="Q1254">
        <v>1</v>
      </c>
      <c r="R1254">
        <v>3</v>
      </c>
      <c r="S1254">
        <v>1</v>
      </c>
      <c r="U1254" t="s">
        <v>51</v>
      </c>
      <c r="V1254">
        <v>1</v>
      </c>
    </row>
    <row r="1255" spans="2:22" x14ac:dyDescent="0.25">
      <c r="B1255">
        <v>2</v>
      </c>
      <c r="C1255">
        <f>IF(Adecco_India[[#This Row],[Attrition]]="Yes",1,0)</f>
        <v>0</v>
      </c>
      <c r="F1255">
        <v>33</v>
      </c>
      <c r="G1255">
        <v>2</v>
      </c>
      <c r="J1255">
        <v>2</v>
      </c>
      <c r="K1255">
        <v>3</v>
      </c>
      <c r="N1255">
        <v>11</v>
      </c>
      <c r="O1255">
        <v>2</v>
      </c>
      <c r="Q1255">
        <v>1</v>
      </c>
      <c r="R1255">
        <v>3</v>
      </c>
      <c r="S1255">
        <v>1</v>
      </c>
      <c r="U1255" t="s">
        <v>59</v>
      </c>
      <c r="V1255">
        <v>1</v>
      </c>
    </row>
    <row r="1256" spans="2:22" x14ac:dyDescent="0.25">
      <c r="B1256">
        <v>11</v>
      </c>
      <c r="C1256">
        <f>IF(Adecco_India[[#This Row],[Attrition]]="Yes",1,0)</f>
        <v>0</v>
      </c>
      <c r="F1256">
        <v>49</v>
      </c>
      <c r="G1256">
        <v>4</v>
      </c>
      <c r="J1256">
        <v>4</v>
      </c>
      <c r="K1256">
        <v>3</v>
      </c>
      <c r="N1256">
        <v>5</v>
      </c>
      <c r="O1256">
        <v>4</v>
      </c>
      <c r="Q1256">
        <v>0</v>
      </c>
      <c r="R1256">
        <v>3</v>
      </c>
      <c r="S1256">
        <v>1</v>
      </c>
      <c r="U1256" t="s">
        <v>59</v>
      </c>
      <c r="V1256">
        <v>1</v>
      </c>
    </row>
    <row r="1257" spans="2:22" x14ac:dyDescent="0.25">
      <c r="B1257">
        <v>16</v>
      </c>
      <c r="C1257">
        <f>IF(Adecco_India[[#This Row],[Attrition]]="Yes",1,0)</f>
        <v>1</v>
      </c>
      <c r="F1257">
        <v>33</v>
      </c>
      <c r="G1257">
        <v>1</v>
      </c>
      <c r="J1257">
        <v>2</v>
      </c>
      <c r="K1257">
        <v>4</v>
      </c>
      <c r="N1257">
        <v>0</v>
      </c>
      <c r="O1257">
        <v>1</v>
      </c>
      <c r="Q1257">
        <v>0</v>
      </c>
      <c r="R1257">
        <v>4</v>
      </c>
      <c r="S1257">
        <v>1</v>
      </c>
      <c r="U1257" t="s">
        <v>38</v>
      </c>
      <c r="V1257">
        <v>1</v>
      </c>
    </row>
    <row r="1258" spans="2:22" x14ac:dyDescent="0.25">
      <c r="B1258">
        <v>2</v>
      </c>
      <c r="C1258">
        <f>IF(Adecco_India[[#This Row],[Attrition]]="Yes",1,0)</f>
        <v>0</v>
      </c>
      <c r="F1258">
        <v>38</v>
      </c>
      <c r="G1258">
        <v>2</v>
      </c>
      <c r="J1258">
        <v>2</v>
      </c>
      <c r="K1258">
        <v>3</v>
      </c>
      <c r="N1258">
        <v>6</v>
      </c>
      <c r="O1258">
        <v>2</v>
      </c>
      <c r="Q1258">
        <v>0</v>
      </c>
      <c r="R1258">
        <v>3</v>
      </c>
      <c r="S1258">
        <v>1</v>
      </c>
      <c r="U1258" t="s">
        <v>51</v>
      </c>
      <c r="V1258">
        <v>1</v>
      </c>
    </row>
    <row r="1259" spans="2:22" x14ac:dyDescent="0.25">
      <c r="B1259">
        <v>16</v>
      </c>
      <c r="C1259">
        <f>IF(Adecco_India[[#This Row],[Attrition]]="Yes",1,0)</f>
        <v>1</v>
      </c>
      <c r="F1259">
        <v>31</v>
      </c>
      <c r="G1259">
        <v>3</v>
      </c>
      <c r="J1259">
        <v>3</v>
      </c>
      <c r="K1259">
        <v>3</v>
      </c>
      <c r="N1259">
        <v>1</v>
      </c>
      <c r="O1259">
        <v>3</v>
      </c>
      <c r="Q1259">
        <v>0</v>
      </c>
      <c r="R1259">
        <v>3</v>
      </c>
      <c r="S1259">
        <v>1</v>
      </c>
      <c r="U1259" t="s">
        <v>59</v>
      </c>
      <c r="V1259">
        <v>1</v>
      </c>
    </row>
    <row r="1260" spans="2:22" x14ac:dyDescent="0.25">
      <c r="B1260">
        <v>4</v>
      </c>
      <c r="C1260">
        <f>IF(Adecco_India[[#This Row],[Attrition]]="Yes",1,0)</f>
        <v>0</v>
      </c>
      <c r="F1260">
        <v>29</v>
      </c>
      <c r="G1260">
        <v>1</v>
      </c>
      <c r="J1260">
        <v>3</v>
      </c>
      <c r="K1260">
        <v>3</v>
      </c>
      <c r="N1260">
        <v>1</v>
      </c>
      <c r="O1260">
        <v>1</v>
      </c>
      <c r="Q1260">
        <v>0</v>
      </c>
      <c r="R1260">
        <v>3</v>
      </c>
      <c r="S1260">
        <v>1</v>
      </c>
      <c r="U1260" t="s">
        <v>60</v>
      </c>
      <c r="V1260">
        <v>1</v>
      </c>
    </row>
    <row r="1261" spans="2:22" x14ac:dyDescent="0.25">
      <c r="B1261">
        <v>16</v>
      </c>
      <c r="C1261">
        <f>IF(Adecco_India[[#This Row],[Attrition]]="Yes",1,0)</f>
        <v>0</v>
      </c>
      <c r="F1261">
        <v>30</v>
      </c>
      <c r="G1261">
        <v>3</v>
      </c>
      <c r="J1261">
        <v>3</v>
      </c>
      <c r="K1261">
        <v>3</v>
      </c>
      <c r="N1261">
        <v>7</v>
      </c>
      <c r="O1261">
        <v>3</v>
      </c>
      <c r="Q1261">
        <v>1</v>
      </c>
      <c r="R1261">
        <v>3</v>
      </c>
      <c r="S1261">
        <v>1</v>
      </c>
      <c r="U1261" t="s">
        <v>38</v>
      </c>
      <c r="V1261">
        <v>1</v>
      </c>
    </row>
    <row r="1262" spans="2:22" x14ac:dyDescent="0.25">
      <c r="B1262">
        <v>5</v>
      </c>
      <c r="C1262">
        <f>IF(Adecco_India[[#This Row],[Attrition]]="Yes",1,0)</f>
        <v>0</v>
      </c>
      <c r="F1262">
        <v>32</v>
      </c>
      <c r="G1262">
        <v>2</v>
      </c>
      <c r="J1262">
        <v>3</v>
      </c>
      <c r="K1262">
        <v>3</v>
      </c>
      <c r="N1262">
        <v>7</v>
      </c>
      <c r="O1262">
        <v>2</v>
      </c>
      <c r="Q1262">
        <v>0</v>
      </c>
      <c r="R1262">
        <v>3</v>
      </c>
      <c r="S1262">
        <v>1</v>
      </c>
      <c r="U1262" t="s">
        <v>60</v>
      </c>
      <c r="V1262">
        <v>1</v>
      </c>
    </row>
    <row r="1263" spans="2:22" x14ac:dyDescent="0.25">
      <c r="B1263">
        <v>18</v>
      </c>
      <c r="C1263">
        <f>IF(Adecco_India[[#This Row],[Attrition]]="Yes",1,0)</f>
        <v>0</v>
      </c>
      <c r="F1263">
        <v>38</v>
      </c>
      <c r="G1263">
        <v>4</v>
      </c>
      <c r="J1263">
        <v>3</v>
      </c>
      <c r="K1263">
        <v>3</v>
      </c>
      <c r="N1263">
        <v>1</v>
      </c>
      <c r="O1263">
        <v>4</v>
      </c>
      <c r="Q1263">
        <v>1</v>
      </c>
      <c r="R1263">
        <v>3</v>
      </c>
      <c r="S1263">
        <v>1</v>
      </c>
      <c r="U1263" t="s">
        <v>51</v>
      </c>
      <c r="V1263">
        <v>1</v>
      </c>
    </row>
    <row r="1264" spans="2:22" x14ac:dyDescent="0.25">
      <c r="B1264">
        <v>17</v>
      </c>
      <c r="C1264">
        <f>IF(Adecco_India[[#This Row],[Attrition]]="Yes",1,0)</f>
        <v>1</v>
      </c>
      <c r="F1264">
        <v>43</v>
      </c>
      <c r="G1264">
        <v>3</v>
      </c>
      <c r="J1264">
        <v>3</v>
      </c>
      <c r="K1264">
        <v>3</v>
      </c>
      <c r="N1264">
        <v>1</v>
      </c>
      <c r="O1264">
        <v>3</v>
      </c>
      <c r="Q1264">
        <v>0</v>
      </c>
      <c r="R1264">
        <v>3</v>
      </c>
      <c r="S1264">
        <v>1</v>
      </c>
      <c r="U1264" t="s">
        <v>60</v>
      </c>
      <c r="V1264">
        <v>1</v>
      </c>
    </row>
    <row r="1265" spans="2:22" x14ac:dyDescent="0.25">
      <c r="B1265">
        <v>12</v>
      </c>
      <c r="C1265">
        <f>IF(Adecco_India[[#This Row],[Attrition]]="Yes",1,0)</f>
        <v>0</v>
      </c>
      <c r="F1265">
        <v>42</v>
      </c>
      <c r="G1265">
        <v>2</v>
      </c>
      <c r="J1265">
        <v>2</v>
      </c>
      <c r="K1265">
        <v>4</v>
      </c>
      <c r="N1265">
        <v>5</v>
      </c>
      <c r="O1265">
        <v>2</v>
      </c>
      <c r="Q1265">
        <v>0</v>
      </c>
      <c r="R1265">
        <v>4</v>
      </c>
      <c r="S1265">
        <v>1</v>
      </c>
      <c r="U1265" t="s">
        <v>51</v>
      </c>
      <c r="V1265">
        <v>1</v>
      </c>
    </row>
    <row r="1266" spans="2:22" x14ac:dyDescent="0.25">
      <c r="B1266">
        <v>2</v>
      </c>
      <c r="C1266">
        <f>IF(Adecco_India[[#This Row],[Attrition]]="Yes",1,0)</f>
        <v>0</v>
      </c>
      <c r="F1266">
        <v>55</v>
      </c>
      <c r="G1266">
        <v>1</v>
      </c>
      <c r="J1266">
        <v>3</v>
      </c>
      <c r="K1266">
        <v>3</v>
      </c>
      <c r="N1266">
        <v>1</v>
      </c>
      <c r="O1266">
        <v>1</v>
      </c>
      <c r="Q1266">
        <v>0</v>
      </c>
      <c r="R1266">
        <v>3</v>
      </c>
      <c r="S1266">
        <v>1</v>
      </c>
      <c r="U1266" t="s">
        <v>51</v>
      </c>
      <c r="V1266">
        <v>1</v>
      </c>
    </row>
    <row r="1267" spans="2:22" x14ac:dyDescent="0.25">
      <c r="B1267">
        <v>4</v>
      </c>
      <c r="C1267">
        <f>IF(Adecco_India[[#This Row],[Attrition]]="Yes",1,0)</f>
        <v>0</v>
      </c>
      <c r="F1267">
        <v>33</v>
      </c>
      <c r="G1267">
        <v>2</v>
      </c>
      <c r="J1267">
        <v>2</v>
      </c>
      <c r="K1267">
        <v>3</v>
      </c>
      <c r="N1267">
        <v>9</v>
      </c>
      <c r="O1267">
        <v>2</v>
      </c>
      <c r="Q1267">
        <v>1</v>
      </c>
      <c r="R1267">
        <v>3</v>
      </c>
      <c r="S1267">
        <v>1</v>
      </c>
      <c r="U1267" t="s">
        <v>60</v>
      </c>
      <c r="V1267">
        <v>1</v>
      </c>
    </row>
    <row r="1268" spans="2:22" x14ac:dyDescent="0.25">
      <c r="B1268">
        <v>9</v>
      </c>
      <c r="C1268">
        <f>IF(Adecco_India[[#This Row],[Attrition]]="Yes",1,0)</f>
        <v>0</v>
      </c>
      <c r="F1268">
        <v>41</v>
      </c>
      <c r="G1268">
        <v>1</v>
      </c>
      <c r="J1268">
        <v>3</v>
      </c>
      <c r="K1268">
        <v>4</v>
      </c>
      <c r="N1268">
        <v>5</v>
      </c>
      <c r="O1268">
        <v>1</v>
      </c>
      <c r="Q1268">
        <v>0</v>
      </c>
      <c r="R1268">
        <v>4</v>
      </c>
      <c r="S1268">
        <v>1</v>
      </c>
      <c r="U1268" t="s">
        <v>38</v>
      </c>
      <c r="V1268">
        <v>1</v>
      </c>
    </row>
    <row r="1269" spans="2:22" x14ac:dyDescent="0.25">
      <c r="B1269">
        <v>10</v>
      </c>
      <c r="C1269">
        <f>IF(Adecco_India[[#This Row],[Attrition]]="Yes",1,0)</f>
        <v>0</v>
      </c>
      <c r="F1269">
        <v>34</v>
      </c>
      <c r="G1269">
        <v>3</v>
      </c>
      <c r="J1269">
        <v>3</v>
      </c>
      <c r="K1269">
        <v>3</v>
      </c>
      <c r="N1269">
        <v>15</v>
      </c>
      <c r="O1269">
        <v>3</v>
      </c>
      <c r="Q1269">
        <v>0</v>
      </c>
      <c r="R1269">
        <v>3</v>
      </c>
      <c r="S1269">
        <v>1</v>
      </c>
      <c r="U1269" t="s">
        <v>38</v>
      </c>
      <c r="V1269">
        <v>1</v>
      </c>
    </row>
    <row r="1270" spans="2:22" x14ac:dyDescent="0.25">
      <c r="B1270">
        <v>1</v>
      </c>
      <c r="C1270">
        <f>IF(Adecco_India[[#This Row],[Attrition]]="Yes",1,0)</f>
        <v>0</v>
      </c>
      <c r="F1270">
        <v>53</v>
      </c>
      <c r="G1270">
        <v>3</v>
      </c>
      <c r="J1270">
        <v>2</v>
      </c>
      <c r="K1270">
        <v>4</v>
      </c>
      <c r="N1270">
        <v>3</v>
      </c>
      <c r="O1270">
        <v>3</v>
      </c>
      <c r="Q1270">
        <v>0</v>
      </c>
      <c r="R1270">
        <v>4</v>
      </c>
      <c r="S1270">
        <v>1</v>
      </c>
      <c r="U1270" t="s">
        <v>51</v>
      </c>
      <c r="V1270">
        <v>1</v>
      </c>
    </row>
    <row r="1271" spans="2:22" x14ac:dyDescent="0.25">
      <c r="B1271">
        <v>2</v>
      </c>
      <c r="C1271">
        <f>IF(Adecco_India[[#This Row],[Attrition]]="Yes",1,0)</f>
        <v>0</v>
      </c>
      <c r="F1271">
        <v>43</v>
      </c>
      <c r="G1271">
        <v>4</v>
      </c>
      <c r="J1271">
        <v>3</v>
      </c>
      <c r="K1271">
        <v>3</v>
      </c>
      <c r="N1271">
        <v>9</v>
      </c>
      <c r="O1271">
        <v>4</v>
      </c>
      <c r="Q1271">
        <v>1</v>
      </c>
      <c r="R1271">
        <v>3</v>
      </c>
      <c r="S1271">
        <v>1</v>
      </c>
      <c r="U1271" t="s">
        <v>38</v>
      </c>
      <c r="V1271">
        <v>1</v>
      </c>
    </row>
    <row r="1272" spans="2:22" x14ac:dyDescent="0.25">
      <c r="B1272">
        <v>3</v>
      </c>
      <c r="C1272">
        <f>IF(Adecco_India[[#This Row],[Attrition]]="Yes",1,0)</f>
        <v>0</v>
      </c>
      <c r="F1272">
        <v>34</v>
      </c>
      <c r="G1272">
        <v>4</v>
      </c>
      <c r="J1272">
        <v>3</v>
      </c>
      <c r="K1272">
        <v>3</v>
      </c>
      <c r="N1272">
        <v>2</v>
      </c>
      <c r="O1272">
        <v>4</v>
      </c>
      <c r="Q1272">
        <v>2</v>
      </c>
      <c r="R1272">
        <v>3</v>
      </c>
      <c r="S1272">
        <v>1</v>
      </c>
      <c r="U1272" t="s">
        <v>38</v>
      </c>
      <c r="V1272">
        <v>1</v>
      </c>
    </row>
    <row r="1273" spans="2:22" x14ac:dyDescent="0.25">
      <c r="B1273">
        <v>7</v>
      </c>
      <c r="C1273">
        <f>IF(Adecco_India[[#This Row],[Attrition]]="Yes",1,0)</f>
        <v>1</v>
      </c>
      <c r="F1273">
        <v>21</v>
      </c>
      <c r="G1273">
        <v>2</v>
      </c>
      <c r="J1273">
        <v>3</v>
      </c>
      <c r="K1273">
        <v>3</v>
      </c>
      <c r="N1273">
        <v>1</v>
      </c>
      <c r="O1273">
        <v>2</v>
      </c>
      <c r="Q1273">
        <v>1</v>
      </c>
      <c r="R1273">
        <v>3</v>
      </c>
      <c r="S1273">
        <v>1</v>
      </c>
      <c r="U1273" t="s">
        <v>59</v>
      </c>
      <c r="V1273">
        <v>1</v>
      </c>
    </row>
    <row r="1274" spans="2:22" x14ac:dyDescent="0.25">
      <c r="B1274">
        <v>6</v>
      </c>
      <c r="C1274">
        <f>IF(Adecco_India[[#This Row],[Attrition]]="Yes",1,0)</f>
        <v>0</v>
      </c>
      <c r="F1274">
        <v>38</v>
      </c>
      <c r="G1274">
        <v>3</v>
      </c>
      <c r="J1274">
        <v>3</v>
      </c>
      <c r="K1274">
        <v>3</v>
      </c>
      <c r="N1274">
        <v>5</v>
      </c>
      <c r="O1274">
        <v>3</v>
      </c>
      <c r="Q1274">
        <v>0</v>
      </c>
      <c r="R1274">
        <v>3</v>
      </c>
      <c r="S1274">
        <v>1</v>
      </c>
      <c r="U1274" t="s">
        <v>49</v>
      </c>
      <c r="V1274">
        <v>1</v>
      </c>
    </row>
    <row r="1275" spans="2:22" x14ac:dyDescent="0.25">
      <c r="B1275">
        <v>8</v>
      </c>
      <c r="C1275">
        <f>IF(Adecco_India[[#This Row],[Attrition]]="Yes",1,0)</f>
        <v>1</v>
      </c>
      <c r="F1275">
        <v>22</v>
      </c>
      <c r="G1275">
        <v>1</v>
      </c>
      <c r="J1275">
        <v>3</v>
      </c>
      <c r="K1275">
        <v>3</v>
      </c>
      <c r="N1275">
        <v>1</v>
      </c>
      <c r="O1275">
        <v>1</v>
      </c>
      <c r="Q1275">
        <v>0</v>
      </c>
      <c r="R1275">
        <v>3</v>
      </c>
      <c r="S1275">
        <v>1</v>
      </c>
      <c r="U1275" t="s">
        <v>51</v>
      </c>
      <c r="V1275">
        <v>1</v>
      </c>
    </row>
    <row r="1276" spans="2:22" x14ac:dyDescent="0.25">
      <c r="B1276">
        <v>29</v>
      </c>
      <c r="C1276">
        <f>IF(Adecco_India[[#This Row],[Attrition]]="Yes",1,0)</f>
        <v>0</v>
      </c>
      <c r="F1276">
        <v>31</v>
      </c>
      <c r="G1276">
        <v>4</v>
      </c>
      <c r="J1276">
        <v>3</v>
      </c>
      <c r="K1276">
        <v>3</v>
      </c>
      <c r="N1276">
        <v>12</v>
      </c>
      <c r="O1276">
        <v>4</v>
      </c>
      <c r="Q1276">
        <v>5</v>
      </c>
      <c r="R1276">
        <v>3</v>
      </c>
      <c r="S1276">
        <v>1</v>
      </c>
      <c r="U1276" t="s">
        <v>59</v>
      </c>
      <c r="V1276">
        <v>1</v>
      </c>
    </row>
    <row r="1277" spans="2:22" x14ac:dyDescent="0.25">
      <c r="B1277">
        <v>3</v>
      </c>
      <c r="C1277">
        <f>IF(Adecco_India[[#This Row],[Attrition]]="Yes",1,0)</f>
        <v>0</v>
      </c>
      <c r="F1277">
        <v>51</v>
      </c>
      <c r="G1277">
        <v>3</v>
      </c>
      <c r="J1277">
        <v>3</v>
      </c>
      <c r="K1277">
        <v>3</v>
      </c>
      <c r="N1277">
        <v>2</v>
      </c>
      <c r="O1277">
        <v>3</v>
      </c>
      <c r="Q1277">
        <v>2</v>
      </c>
      <c r="R1277">
        <v>3</v>
      </c>
      <c r="S1277">
        <v>1</v>
      </c>
      <c r="U1277" t="s">
        <v>60</v>
      </c>
      <c r="V1277">
        <v>1</v>
      </c>
    </row>
    <row r="1278" spans="2:22" x14ac:dyDescent="0.25">
      <c r="B1278">
        <v>9</v>
      </c>
      <c r="C1278">
        <f>IF(Adecco_India[[#This Row],[Attrition]]="Yes",1,0)</f>
        <v>0</v>
      </c>
      <c r="F1278">
        <v>37</v>
      </c>
      <c r="G1278">
        <v>2</v>
      </c>
      <c r="J1278">
        <v>3</v>
      </c>
      <c r="K1278">
        <v>3</v>
      </c>
      <c r="N1278">
        <v>5</v>
      </c>
      <c r="O1278">
        <v>2</v>
      </c>
      <c r="Q1278">
        <v>0</v>
      </c>
      <c r="R1278">
        <v>3</v>
      </c>
      <c r="S1278">
        <v>1</v>
      </c>
      <c r="U1278" t="s">
        <v>59</v>
      </c>
      <c r="V1278">
        <v>1</v>
      </c>
    </row>
    <row r="1279" spans="2:22" x14ac:dyDescent="0.25">
      <c r="B1279">
        <v>2</v>
      </c>
      <c r="C1279">
        <f>IF(Adecco_India[[#This Row],[Attrition]]="Yes",1,0)</f>
        <v>0</v>
      </c>
      <c r="F1279">
        <v>46</v>
      </c>
      <c r="G1279">
        <v>4</v>
      </c>
      <c r="J1279">
        <v>3</v>
      </c>
      <c r="K1279">
        <v>3</v>
      </c>
      <c r="N1279">
        <v>2</v>
      </c>
      <c r="O1279">
        <v>4</v>
      </c>
      <c r="Q1279">
        <v>2</v>
      </c>
      <c r="R1279">
        <v>3</v>
      </c>
      <c r="S1279">
        <v>1</v>
      </c>
      <c r="U1279" t="s">
        <v>51</v>
      </c>
      <c r="V1279">
        <v>1</v>
      </c>
    </row>
    <row r="1280" spans="2:22" x14ac:dyDescent="0.25">
      <c r="B1280">
        <v>10</v>
      </c>
      <c r="C1280">
        <f>IF(Adecco_India[[#This Row],[Attrition]]="Yes",1,0)</f>
        <v>0</v>
      </c>
      <c r="F1280">
        <v>36</v>
      </c>
      <c r="G1280">
        <v>1</v>
      </c>
      <c r="J1280">
        <v>3</v>
      </c>
      <c r="K1280">
        <v>3</v>
      </c>
      <c r="N1280">
        <v>12</v>
      </c>
      <c r="O1280">
        <v>1</v>
      </c>
      <c r="Q1280">
        <v>5</v>
      </c>
      <c r="R1280">
        <v>3</v>
      </c>
      <c r="S1280">
        <v>1</v>
      </c>
      <c r="U1280" t="s">
        <v>38</v>
      </c>
      <c r="V1280">
        <v>1</v>
      </c>
    </row>
    <row r="1281" spans="2:22" x14ac:dyDescent="0.25">
      <c r="B1281">
        <v>1</v>
      </c>
      <c r="C1281">
        <f>IF(Adecco_India[[#This Row],[Attrition]]="Yes",1,0)</f>
        <v>1</v>
      </c>
      <c r="F1281">
        <v>44</v>
      </c>
      <c r="G1281">
        <v>2</v>
      </c>
      <c r="J1281">
        <v>2</v>
      </c>
      <c r="K1281">
        <v>3</v>
      </c>
      <c r="N1281">
        <v>5</v>
      </c>
      <c r="O1281">
        <v>2</v>
      </c>
      <c r="Q1281">
        <v>2</v>
      </c>
      <c r="R1281">
        <v>3</v>
      </c>
      <c r="S1281">
        <v>1</v>
      </c>
      <c r="U1281" t="s">
        <v>51</v>
      </c>
      <c r="V1281">
        <v>1</v>
      </c>
    </row>
    <row r="1282" spans="2:22" x14ac:dyDescent="0.25">
      <c r="B1282">
        <v>8</v>
      </c>
      <c r="C1282">
        <f>IF(Adecco_India[[#This Row],[Attrition]]="Yes",1,0)</f>
        <v>0</v>
      </c>
      <c r="F1282">
        <v>37</v>
      </c>
      <c r="G1282">
        <v>2</v>
      </c>
      <c r="J1282">
        <v>2</v>
      </c>
      <c r="K1282">
        <v>3</v>
      </c>
      <c r="N1282">
        <v>10</v>
      </c>
      <c r="O1282">
        <v>2</v>
      </c>
      <c r="Q1282">
        <v>4</v>
      </c>
      <c r="R1282">
        <v>3</v>
      </c>
      <c r="S1282">
        <v>1</v>
      </c>
      <c r="U1282" t="s">
        <v>49</v>
      </c>
      <c r="V1282">
        <v>1</v>
      </c>
    </row>
    <row r="1283" spans="2:22" x14ac:dyDescent="0.25">
      <c r="B1283">
        <v>27</v>
      </c>
      <c r="C1283">
        <f>IF(Adecco_India[[#This Row],[Attrition]]="Yes",1,0)</f>
        <v>1</v>
      </c>
      <c r="F1283">
        <v>35</v>
      </c>
      <c r="G1283">
        <v>4</v>
      </c>
      <c r="J1283">
        <v>3</v>
      </c>
      <c r="K1283">
        <v>3</v>
      </c>
      <c r="N1283">
        <v>10</v>
      </c>
      <c r="O1283">
        <v>4</v>
      </c>
      <c r="Q1283">
        <v>7</v>
      </c>
      <c r="R1283">
        <v>3</v>
      </c>
      <c r="S1283">
        <v>1</v>
      </c>
      <c r="U1283" t="s">
        <v>38</v>
      </c>
      <c r="V1283">
        <v>1</v>
      </c>
    </row>
    <row r="1284" spans="2:22" x14ac:dyDescent="0.25">
      <c r="B1284">
        <v>8</v>
      </c>
      <c r="C1284">
        <f>IF(Adecco_India[[#This Row],[Attrition]]="Yes",1,0)</f>
        <v>0</v>
      </c>
      <c r="F1284">
        <v>33</v>
      </c>
      <c r="G1284">
        <v>1</v>
      </c>
      <c r="J1284">
        <v>3</v>
      </c>
      <c r="K1284">
        <v>3</v>
      </c>
      <c r="N1284">
        <v>10</v>
      </c>
      <c r="O1284">
        <v>1</v>
      </c>
      <c r="Q1284">
        <v>7</v>
      </c>
      <c r="R1284">
        <v>3</v>
      </c>
      <c r="S1284">
        <v>1</v>
      </c>
      <c r="U1284" t="s">
        <v>38</v>
      </c>
      <c r="V1284">
        <v>1</v>
      </c>
    </row>
    <row r="1285" spans="2:22" x14ac:dyDescent="0.25">
      <c r="B1285">
        <v>1</v>
      </c>
      <c r="C1285">
        <f>IF(Adecco_India[[#This Row],[Attrition]]="Yes",1,0)</f>
        <v>0</v>
      </c>
      <c r="F1285">
        <v>28</v>
      </c>
      <c r="G1285">
        <v>4</v>
      </c>
      <c r="J1285">
        <v>4</v>
      </c>
      <c r="K1285">
        <v>3</v>
      </c>
      <c r="N1285">
        <v>5</v>
      </c>
      <c r="O1285">
        <v>4</v>
      </c>
      <c r="Q1285">
        <v>0</v>
      </c>
      <c r="R1285">
        <v>3</v>
      </c>
      <c r="S1285">
        <v>1</v>
      </c>
      <c r="U1285" t="s">
        <v>38</v>
      </c>
      <c r="V1285">
        <v>1</v>
      </c>
    </row>
    <row r="1286" spans="2:22" x14ac:dyDescent="0.25">
      <c r="B1286">
        <v>10</v>
      </c>
      <c r="C1286">
        <f>IF(Adecco_India[[#This Row],[Attrition]]="Yes",1,0)</f>
        <v>0</v>
      </c>
      <c r="F1286">
        <v>39</v>
      </c>
      <c r="G1286">
        <v>3</v>
      </c>
      <c r="J1286">
        <v>3</v>
      </c>
      <c r="K1286">
        <v>4</v>
      </c>
      <c r="N1286">
        <v>4</v>
      </c>
      <c r="O1286">
        <v>3</v>
      </c>
      <c r="Q1286">
        <v>2</v>
      </c>
      <c r="R1286">
        <v>4</v>
      </c>
      <c r="S1286">
        <v>1</v>
      </c>
      <c r="U1286" t="s">
        <v>51</v>
      </c>
      <c r="V1286">
        <v>1</v>
      </c>
    </row>
    <row r="1287" spans="2:22" x14ac:dyDescent="0.25">
      <c r="B1287">
        <v>26</v>
      </c>
      <c r="C1287">
        <f>IF(Adecco_India[[#This Row],[Attrition]]="Yes",1,0)</f>
        <v>0</v>
      </c>
      <c r="F1287">
        <v>46</v>
      </c>
      <c r="G1287">
        <v>2</v>
      </c>
      <c r="J1287">
        <v>3</v>
      </c>
      <c r="K1287">
        <v>3</v>
      </c>
      <c r="N1287">
        <v>2</v>
      </c>
      <c r="O1287">
        <v>2</v>
      </c>
      <c r="Q1287">
        <v>2</v>
      </c>
      <c r="R1287">
        <v>3</v>
      </c>
      <c r="S1287">
        <v>1</v>
      </c>
      <c r="U1287" t="s">
        <v>38</v>
      </c>
      <c r="V1287">
        <v>1</v>
      </c>
    </row>
    <row r="1288" spans="2:22" x14ac:dyDescent="0.25">
      <c r="B1288">
        <v>2</v>
      </c>
      <c r="C1288">
        <f>IF(Adecco_India[[#This Row],[Attrition]]="Yes",1,0)</f>
        <v>0</v>
      </c>
      <c r="F1288">
        <v>40</v>
      </c>
      <c r="G1288">
        <v>1</v>
      </c>
      <c r="J1288">
        <v>2</v>
      </c>
      <c r="K1288">
        <v>3</v>
      </c>
      <c r="N1288">
        <v>4</v>
      </c>
      <c r="O1288">
        <v>1</v>
      </c>
      <c r="Q1288">
        <v>0</v>
      </c>
      <c r="R1288">
        <v>3</v>
      </c>
      <c r="S1288">
        <v>1</v>
      </c>
      <c r="U1288" t="s">
        <v>38</v>
      </c>
      <c r="V1288">
        <v>1</v>
      </c>
    </row>
    <row r="1289" spans="2:22" x14ac:dyDescent="0.25">
      <c r="B1289">
        <v>13</v>
      </c>
      <c r="C1289">
        <f>IF(Adecco_India[[#This Row],[Attrition]]="Yes",1,0)</f>
        <v>0</v>
      </c>
      <c r="F1289">
        <v>42</v>
      </c>
      <c r="G1289">
        <v>1</v>
      </c>
      <c r="J1289">
        <v>2</v>
      </c>
      <c r="K1289">
        <v>3</v>
      </c>
      <c r="N1289">
        <v>0</v>
      </c>
      <c r="O1289">
        <v>1</v>
      </c>
      <c r="Q1289">
        <v>0</v>
      </c>
      <c r="R1289">
        <v>3</v>
      </c>
      <c r="S1289">
        <v>1</v>
      </c>
      <c r="U1289" t="s">
        <v>51</v>
      </c>
      <c r="V1289">
        <v>1</v>
      </c>
    </row>
    <row r="1290" spans="2:22" x14ac:dyDescent="0.25">
      <c r="B1290">
        <v>2</v>
      </c>
      <c r="C1290">
        <f>IF(Adecco_India[[#This Row],[Attrition]]="Yes",1,0)</f>
        <v>0</v>
      </c>
      <c r="F1290">
        <v>35</v>
      </c>
      <c r="G1290">
        <v>4</v>
      </c>
      <c r="J1290">
        <v>3</v>
      </c>
      <c r="K1290">
        <v>3</v>
      </c>
      <c r="N1290">
        <v>7</v>
      </c>
      <c r="O1290">
        <v>4</v>
      </c>
      <c r="Q1290">
        <v>1</v>
      </c>
      <c r="R1290">
        <v>3</v>
      </c>
      <c r="S1290">
        <v>1</v>
      </c>
      <c r="U1290" t="s">
        <v>51</v>
      </c>
      <c r="V1290">
        <v>1</v>
      </c>
    </row>
    <row r="1291" spans="2:22" x14ac:dyDescent="0.25">
      <c r="B1291">
        <v>2</v>
      </c>
      <c r="C1291">
        <f>IF(Adecco_India[[#This Row],[Attrition]]="Yes",1,0)</f>
        <v>0</v>
      </c>
      <c r="F1291">
        <v>38</v>
      </c>
      <c r="G1291">
        <v>2</v>
      </c>
      <c r="J1291">
        <v>3</v>
      </c>
      <c r="K1291">
        <v>3</v>
      </c>
      <c r="N1291">
        <v>11</v>
      </c>
      <c r="O1291">
        <v>2</v>
      </c>
      <c r="Q1291">
        <v>3</v>
      </c>
      <c r="R1291">
        <v>3</v>
      </c>
      <c r="S1291">
        <v>1</v>
      </c>
      <c r="U1291" t="s">
        <v>61</v>
      </c>
      <c r="V1291">
        <v>1</v>
      </c>
    </row>
    <row r="1292" spans="2:22" x14ac:dyDescent="0.25">
      <c r="B1292">
        <v>9</v>
      </c>
      <c r="C1292">
        <f>IF(Adecco_India[[#This Row],[Attrition]]="Yes",1,0)</f>
        <v>1</v>
      </c>
      <c r="F1292">
        <v>34</v>
      </c>
      <c r="G1292">
        <v>1</v>
      </c>
      <c r="J1292">
        <v>2</v>
      </c>
      <c r="K1292">
        <v>3</v>
      </c>
      <c r="N1292">
        <v>7</v>
      </c>
      <c r="O1292">
        <v>1</v>
      </c>
      <c r="Q1292">
        <v>0</v>
      </c>
      <c r="R1292">
        <v>3</v>
      </c>
      <c r="S1292">
        <v>1</v>
      </c>
      <c r="U1292" t="s">
        <v>38</v>
      </c>
      <c r="V1292">
        <v>1</v>
      </c>
    </row>
    <row r="1293" spans="2:22" x14ac:dyDescent="0.25">
      <c r="B1293">
        <v>10</v>
      </c>
      <c r="C1293">
        <f>IF(Adecco_India[[#This Row],[Attrition]]="Yes",1,0)</f>
        <v>1</v>
      </c>
      <c r="F1293">
        <v>37</v>
      </c>
      <c r="G1293">
        <v>1</v>
      </c>
      <c r="J1293">
        <v>1</v>
      </c>
      <c r="K1293">
        <v>3</v>
      </c>
      <c r="N1293">
        <v>10</v>
      </c>
      <c r="O1293">
        <v>1</v>
      </c>
      <c r="Q1293">
        <v>0</v>
      </c>
      <c r="R1293">
        <v>3</v>
      </c>
      <c r="S1293">
        <v>1</v>
      </c>
      <c r="U1293" t="s">
        <v>51</v>
      </c>
      <c r="V1293">
        <v>1</v>
      </c>
    </row>
    <row r="1294" spans="2:22" x14ac:dyDescent="0.25">
      <c r="B1294">
        <v>20</v>
      </c>
      <c r="C1294">
        <f>IF(Adecco_India[[#This Row],[Attrition]]="Yes",1,0)</f>
        <v>0</v>
      </c>
      <c r="F1294">
        <v>39</v>
      </c>
      <c r="G1294">
        <v>4</v>
      </c>
      <c r="J1294">
        <v>3</v>
      </c>
      <c r="K1294">
        <v>3</v>
      </c>
      <c r="N1294">
        <v>2</v>
      </c>
      <c r="O1294">
        <v>4</v>
      </c>
      <c r="Q1294">
        <v>2</v>
      </c>
      <c r="R1294">
        <v>3</v>
      </c>
      <c r="S1294">
        <v>1</v>
      </c>
      <c r="U1294" t="s">
        <v>38</v>
      </c>
      <c r="V1294">
        <v>1</v>
      </c>
    </row>
    <row r="1295" spans="2:22" x14ac:dyDescent="0.25">
      <c r="B1295">
        <v>9</v>
      </c>
      <c r="C1295">
        <f>IF(Adecco_India[[#This Row],[Attrition]]="Yes",1,0)</f>
        <v>0</v>
      </c>
      <c r="F1295">
        <v>43</v>
      </c>
      <c r="G1295">
        <v>3</v>
      </c>
      <c r="J1295">
        <v>2</v>
      </c>
      <c r="K1295">
        <v>3</v>
      </c>
      <c r="N1295">
        <v>3</v>
      </c>
      <c r="O1295">
        <v>3</v>
      </c>
      <c r="Q1295">
        <v>1</v>
      </c>
      <c r="R1295">
        <v>3</v>
      </c>
      <c r="S1295">
        <v>1</v>
      </c>
      <c r="U1295" t="s">
        <v>38</v>
      </c>
      <c r="V1295">
        <v>1</v>
      </c>
    </row>
    <row r="1296" spans="2:22" x14ac:dyDescent="0.25">
      <c r="B1296">
        <v>5</v>
      </c>
      <c r="C1296">
        <f>IF(Adecco_India[[#This Row],[Attrition]]="Yes",1,0)</f>
        <v>0</v>
      </c>
      <c r="F1296">
        <v>41</v>
      </c>
      <c r="G1296">
        <v>2</v>
      </c>
      <c r="J1296">
        <v>1</v>
      </c>
      <c r="K1296">
        <v>3</v>
      </c>
      <c r="N1296">
        <v>3</v>
      </c>
      <c r="O1296">
        <v>2</v>
      </c>
      <c r="Q1296">
        <v>1</v>
      </c>
      <c r="R1296">
        <v>3</v>
      </c>
      <c r="S1296">
        <v>1</v>
      </c>
      <c r="U1296" t="s">
        <v>38</v>
      </c>
      <c r="V1296">
        <v>1</v>
      </c>
    </row>
    <row r="1297" spans="2:22" x14ac:dyDescent="0.25">
      <c r="B1297">
        <v>4</v>
      </c>
      <c r="C1297">
        <f>IF(Adecco_India[[#This Row],[Attrition]]="Yes",1,0)</f>
        <v>0</v>
      </c>
      <c r="F1297">
        <v>41</v>
      </c>
      <c r="G1297">
        <v>3</v>
      </c>
      <c r="J1297">
        <v>4</v>
      </c>
      <c r="K1297">
        <v>3</v>
      </c>
      <c r="N1297">
        <v>22</v>
      </c>
      <c r="O1297">
        <v>3</v>
      </c>
      <c r="Q1297">
        <v>13</v>
      </c>
      <c r="R1297">
        <v>3</v>
      </c>
      <c r="S1297">
        <v>1</v>
      </c>
      <c r="U1297" t="s">
        <v>59</v>
      </c>
      <c r="V1297">
        <v>1</v>
      </c>
    </row>
    <row r="1298" spans="2:22" x14ac:dyDescent="0.25">
      <c r="B1298">
        <v>10</v>
      </c>
      <c r="C1298">
        <f>IF(Adecco_India[[#This Row],[Attrition]]="Yes",1,0)</f>
        <v>0</v>
      </c>
      <c r="F1298">
        <v>30</v>
      </c>
      <c r="G1298">
        <v>3</v>
      </c>
      <c r="J1298">
        <v>3</v>
      </c>
      <c r="K1298">
        <v>3</v>
      </c>
      <c r="N1298">
        <v>7</v>
      </c>
      <c r="O1298">
        <v>3</v>
      </c>
      <c r="Q1298">
        <v>0</v>
      </c>
      <c r="R1298">
        <v>3</v>
      </c>
      <c r="S1298">
        <v>1</v>
      </c>
      <c r="U1298" t="s">
        <v>51</v>
      </c>
      <c r="V1298">
        <v>1</v>
      </c>
    </row>
    <row r="1299" spans="2:22" x14ac:dyDescent="0.25">
      <c r="B1299">
        <v>20</v>
      </c>
      <c r="C1299">
        <f>IF(Adecco_India[[#This Row],[Attrition]]="Yes",1,0)</f>
        <v>1</v>
      </c>
      <c r="F1299">
        <v>26</v>
      </c>
      <c r="G1299">
        <v>2</v>
      </c>
      <c r="J1299">
        <v>3</v>
      </c>
      <c r="K1299">
        <v>3</v>
      </c>
      <c r="N1299">
        <v>5</v>
      </c>
      <c r="O1299">
        <v>2</v>
      </c>
      <c r="Q1299">
        <v>1</v>
      </c>
      <c r="R1299">
        <v>3</v>
      </c>
      <c r="S1299">
        <v>1</v>
      </c>
      <c r="U1299" t="s">
        <v>51</v>
      </c>
      <c r="V1299">
        <v>1</v>
      </c>
    </row>
    <row r="1300" spans="2:22" x14ac:dyDescent="0.25">
      <c r="B1300">
        <v>21</v>
      </c>
      <c r="C1300">
        <f>IF(Adecco_India[[#This Row],[Attrition]]="Yes",1,0)</f>
        <v>1</v>
      </c>
      <c r="F1300">
        <v>46</v>
      </c>
      <c r="G1300">
        <v>2</v>
      </c>
      <c r="J1300">
        <v>4</v>
      </c>
      <c r="K1300">
        <v>4</v>
      </c>
      <c r="N1300">
        <v>9</v>
      </c>
      <c r="O1300">
        <v>2</v>
      </c>
      <c r="Q1300">
        <v>3</v>
      </c>
      <c r="R1300">
        <v>4</v>
      </c>
      <c r="S1300">
        <v>1</v>
      </c>
      <c r="U1300" t="s">
        <v>51</v>
      </c>
      <c r="V1300">
        <v>1</v>
      </c>
    </row>
    <row r="1301" spans="2:22" x14ac:dyDescent="0.25">
      <c r="B1301">
        <v>1</v>
      </c>
      <c r="C1301">
        <f>IF(Adecco_India[[#This Row],[Attrition]]="Yes",1,0)</f>
        <v>0</v>
      </c>
      <c r="F1301">
        <v>40</v>
      </c>
      <c r="G1301">
        <v>4</v>
      </c>
      <c r="J1301">
        <v>3</v>
      </c>
      <c r="K1301">
        <v>3</v>
      </c>
      <c r="N1301">
        <v>5</v>
      </c>
      <c r="O1301">
        <v>4</v>
      </c>
      <c r="Q1301">
        <v>0</v>
      </c>
      <c r="R1301">
        <v>3</v>
      </c>
      <c r="S1301">
        <v>1</v>
      </c>
      <c r="U1301" t="s">
        <v>38</v>
      </c>
      <c r="V1301">
        <v>1</v>
      </c>
    </row>
    <row r="1302" spans="2:22" x14ac:dyDescent="0.25">
      <c r="B1302">
        <v>8</v>
      </c>
      <c r="C1302">
        <f>IF(Adecco_India[[#This Row],[Attrition]]="Yes",1,0)</f>
        <v>0</v>
      </c>
      <c r="F1302">
        <v>34</v>
      </c>
      <c r="G1302">
        <v>3</v>
      </c>
      <c r="J1302">
        <v>3</v>
      </c>
      <c r="K1302">
        <v>4</v>
      </c>
      <c r="N1302">
        <v>10</v>
      </c>
      <c r="O1302">
        <v>3</v>
      </c>
      <c r="Q1302">
        <v>4</v>
      </c>
      <c r="R1302">
        <v>4</v>
      </c>
      <c r="S1302">
        <v>1</v>
      </c>
      <c r="U1302" t="s">
        <v>60</v>
      </c>
      <c r="V1302">
        <v>1</v>
      </c>
    </row>
    <row r="1303" spans="2:22" x14ac:dyDescent="0.25">
      <c r="B1303">
        <v>2</v>
      </c>
      <c r="C1303">
        <f>IF(Adecco_India[[#This Row],[Attrition]]="Yes",1,0)</f>
        <v>0</v>
      </c>
      <c r="F1303">
        <v>58</v>
      </c>
      <c r="G1303">
        <v>2</v>
      </c>
      <c r="J1303">
        <v>2</v>
      </c>
      <c r="K1303">
        <v>4</v>
      </c>
      <c r="N1303">
        <v>16</v>
      </c>
      <c r="O1303">
        <v>2</v>
      </c>
      <c r="Q1303">
        <v>14</v>
      </c>
      <c r="R1303">
        <v>4</v>
      </c>
      <c r="S1303">
        <v>1</v>
      </c>
      <c r="U1303" t="s">
        <v>51</v>
      </c>
      <c r="V1303">
        <v>1</v>
      </c>
    </row>
    <row r="1304" spans="2:22" x14ac:dyDescent="0.25">
      <c r="B1304">
        <v>23</v>
      </c>
      <c r="C1304">
        <f>IF(Adecco_India[[#This Row],[Attrition]]="Yes",1,0)</f>
        <v>0</v>
      </c>
      <c r="F1304">
        <v>35</v>
      </c>
      <c r="G1304">
        <v>3</v>
      </c>
      <c r="J1304">
        <v>4</v>
      </c>
      <c r="K1304">
        <v>3</v>
      </c>
      <c r="N1304">
        <v>5</v>
      </c>
      <c r="O1304">
        <v>3</v>
      </c>
      <c r="Q1304">
        <v>0</v>
      </c>
      <c r="R1304">
        <v>3</v>
      </c>
      <c r="S1304">
        <v>1</v>
      </c>
      <c r="U1304" t="s">
        <v>51</v>
      </c>
      <c r="V1304">
        <v>1</v>
      </c>
    </row>
    <row r="1305" spans="2:22" x14ac:dyDescent="0.25">
      <c r="B1305">
        <v>4</v>
      </c>
      <c r="C1305">
        <f>IF(Adecco_India[[#This Row],[Attrition]]="Yes",1,0)</f>
        <v>0</v>
      </c>
      <c r="F1305">
        <v>47</v>
      </c>
      <c r="G1305">
        <v>2</v>
      </c>
      <c r="J1305">
        <v>3</v>
      </c>
      <c r="K1305">
        <v>3</v>
      </c>
      <c r="N1305">
        <v>22</v>
      </c>
      <c r="O1305">
        <v>2</v>
      </c>
      <c r="Q1305">
        <v>14</v>
      </c>
      <c r="R1305">
        <v>3</v>
      </c>
      <c r="S1305">
        <v>1</v>
      </c>
      <c r="U1305" t="s">
        <v>38</v>
      </c>
      <c r="V1305">
        <v>1</v>
      </c>
    </row>
    <row r="1306" spans="2:22" x14ac:dyDescent="0.25">
      <c r="B1306">
        <v>12</v>
      </c>
      <c r="C1306">
        <f>IF(Adecco_India[[#This Row],[Attrition]]="Yes",1,0)</f>
        <v>0</v>
      </c>
      <c r="F1306">
        <v>40</v>
      </c>
      <c r="G1306">
        <v>1</v>
      </c>
      <c r="J1306">
        <v>3</v>
      </c>
      <c r="K1306">
        <v>3</v>
      </c>
      <c r="N1306">
        <v>7</v>
      </c>
      <c r="O1306">
        <v>1</v>
      </c>
      <c r="Q1306">
        <v>7</v>
      </c>
      <c r="R1306">
        <v>3</v>
      </c>
      <c r="S1306">
        <v>1</v>
      </c>
      <c r="U1306" t="s">
        <v>38</v>
      </c>
      <c r="V1306">
        <v>1</v>
      </c>
    </row>
    <row r="1307" spans="2:22" x14ac:dyDescent="0.25">
      <c r="B1307">
        <v>7</v>
      </c>
      <c r="C1307">
        <f>IF(Adecco_India[[#This Row],[Attrition]]="Yes",1,0)</f>
        <v>0</v>
      </c>
      <c r="F1307">
        <v>54</v>
      </c>
      <c r="G1307">
        <v>4</v>
      </c>
      <c r="J1307">
        <v>2</v>
      </c>
      <c r="K1307">
        <v>3</v>
      </c>
      <c r="N1307">
        <v>7</v>
      </c>
      <c r="O1307">
        <v>4</v>
      </c>
      <c r="Q1307">
        <v>1</v>
      </c>
      <c r="R1307">
        <v>3</v>
      </c>
      <c r="S1307">
        <v>1</v>
      </c>
      <c r="U1307" t="s">
        <v>51</v>
      </c>
      <c r="V1307">
        <v>1</v>
      </c>
    </row>
    <row r="1308" spans="2:22" x14ac:dyDescent="0.25">
      <c r="B1308">
        <v>7</v>
      </c>
      <c r="C1308">
        <f>IF(Adecco_India[[#This Row],[Attrition]]="Yes",1,0)</f>
        <v>0</v>
      </c>
      <c r="F1308">
        <v>31</v>
      </c>
      <c r="G1308">
        <v>1</v>
      </c>
      <c r="J1308">
        <v>3</v>
      </c>
      <c r="K1308">
        <v>3</v>
      </c>
      <c r="N1308">
        <v>3</v>
      </c>
      <c r="O1308">
        <v>1</v>
      </c>
      <c r="Q1308">
        <v>2</v>
      </c>
      <c r="R1308">
        <v>3</v>
      </c>
      <c r="S1308">
        <v>1</v>
      </c>
      <c r="U1308" t="s">
        <v>59</v>
      </c>
      <c r="V1308">
        <v>1</v>
      </c>
    </row>
    <row r="1309" spans="2:22" x14ac:dyDescent="0.25">
      <c r="B1309">
        <v>1</v>
      </c>
      <c r="C1309">
        <f>IF(Adecco_India[[#This Row],[Attrition]]="Yes",1,0)</f>
        <v>0</v>
      </c>
      <c r="F1309">
        <v>28</v>
      </c>
      <c r="G1309">
        <v>1</v>
      </c>
      <c r="J1309">
        <v>3</v>
      </c>
      <c r="K1309">
        <v>4</v>
      </c>
      <c r="N1309">
        <v>3</v>
      </c>
      <c r="O1309">
        <v>1</v>
      </c>
      <c r="Q1309">
        <v>1</v>
      </c>
      <c r="R1309">
        <v>4</v>
      </c>
      <c r="S1309">
        <v>1</v>
      </c>
      <c r="U1309" t="s">
        <v>51</v>
      </c>
      <c r="V1309">
        <v>1</v>
      </c>
    </row>
    <row r="1310" spans="2:22" x14ac:dyDescent="0.25">
      <c r="B1310">
        <v>2</v>
      </c>
      <c r="C1310">
        <f>IF(Adecco_India[[#This Row],[Attrition]]="Yes",1,0)</f>
        <v>0</v>
      </c>
      <c r="F1310">
        <v>38</v>
      </c>
      <c r="G1310">
        <v>4</v>
      </c>
      <c r="J1310">
        <v>2</v>
      </c>
      <c r="K1310">
        <v>4</v>
      </c>
      <c r="N1310">
        <v>4</v>
      </c>
      <c r="O1310">
        <v>4</v>
      </c>
      <c r="Q1310">
        <v>0</v>
      </c>
      <c r="R1310">
        <v>4</v>
      </c>
      <c r="S1310">
        <v>1</v>
      </c>
      <c r="U1310" t="s">
        <v>59</v>
      </c>
      <c r="V1310">
        <v>1</v>
      </c>
    </row>
    <row r="1311" spans="2:22" x14ac:dyDescent="0.25">
      <c r="B1311">
        <v>10</v>
      </c>
      <c r="C1311">
        <f>IF(Adecco_India[[#This Row],[Attrition]]="Yes",1,0)</f>
        <v>0</v>
      </c>
      <c r="F1311">
        <v>26</v>
      </c>
      <c r="G1311">
        <v>4</v>
      </c>
      <c r="J1311">
        <v>3</v>
      </c>
      <c r="K1311">
        <v>3</v>
      </c>
      <c r="N1311">
        <v>5</v>
      </c>
      <c r="O1311">
        <v>4</v>
      </c>
      <c r="Q1311">
        <v>1</v>
      </c>
      <c r="R1311">
        <v>3</v>
      </c>
      <c r="S1311">
        <v>1</v>
      </c>
      <c r="U1311" t="s">
        <v>51</v>
      </c>
      <c r="V1311">
        <v>1</v>
      </c>
    </row>
    <row r="1312" spans="2:22" x14ac:dyDescent="0.25">
      <c r="B1312">
        <v>15</v>
      </c>
      <c r="C1312">
        <f>IF(Adecco_India[[#This Row],[Attrition]]="Yes",1,0)</f>
        <v>0</v>
      </c>
      <c r="F1312">
        <v>58</v>
      </c>
      <c r="G1312">
        <v>3</v>
      </c>
      <c r="J1312">
        <v>3</v>
      </c>
      <c r="K1312">
        <v>3</v>
      </c>
      <c r="N1312">
        <v>2</v>
      </c>
      <c r="O1312">
        <v>3</v>
      </c>
      <c r="Q1312">
        <v>2</v>
      </c>
      <c r="R1312">
        <v>3</v>
      </c>
      <c r="S1312">
        <v>1</v>
      </c>
      <c r="U1312" t="s">
        <v>38</v>
      </c>
      <c r="V1312">
        <v>1</v>
      </c>
    </row>
    <row r="1313" spans="2:22" x14ac:dyDescent="0.25">
      <c r="B1313">
        <v>14</v>
      </c>
      <c r="C1313">
        <f>IF(Adecco_India[[#This Row],[Attrition]]="Yes",1,0)</f>
        <v>0</v>
      </c>
      <c r="F1313">
        <v>18</v>
      </c>
      <c r="G1313">
        <v>3</v>
      </c>
      <c r="J1313">
        <v>1</v>
      </c>
      <c r="K1313">
        <v>3</v>
      </c>
      <c r="N1313">
        <v>0</v>
      </c>
      <c r="O1313">
        <v>3</v>
      </c>
      <c r="Q1313">
        <v>0</v>
      </c>
      <c r="R1313">
        <v>3</v>
      </c>
      <c r="S1313">
        <v>1</v>
      </c>
      <c r="U1313" t="s">
        <v>51</v>
      </c>
      <c r="V1313">
        <v>1</v>
      </c>
    </row>
    <row r="1314" spans="2:22" x14ac:dyDescent="0.25">
      <c r="B1314">
        <v>18</v>
      </c>
      <c r="C1314">
        <f>IF(Adecco_India[[#This Row],[Attrition]]="Yes",1,0)</f>
        <v>1</v>
      </c>
      <c r="F1314">
        <v>31</v>
      </c>
      <c r="G1314">
        <v>1</v>
      </c>
      <c r="J1314">
        <v>3</v>
      </c>
      <c r="K1314">
        <v>3</v>
      </c>
      <c r="N1314">
        <v>1</v>
      </c>
      <c r="O1314">
        <v>1</v>
      </c>
      <c r="Q1314">
        <v>0</v>
      </c>
      <c r="R1314">
        <v>3</v>
      </c>
      <c r="S1314">
        <v>1</v>
      </c>
      <c r="U1314" t="s">
        <v>61</v>
      </c>
      <c r="V1314">
        <v>1</v>
      </c>
    </row>
    <row r="1315" spans="2:22" x14ac:dyDescent="0.25">
      <c r="B1315">
        <v>13</v>
      </c>
      <c r="C1315">
        <f>IF(Adecco_India[[#This Row],[Attrition]]="Yes",1,0)</f>
        <v>1</v>
      </c>
      <c r="F1315">
        <v>29</v>
      </c>
      <c r="G1315">
        <v>1</v>
      </c>
      <c r="J1315">
        <v>3</v>
      </c>
      <c r="K1315">
        <v>3</v>
      </c>
      <c r="N1315">
        <v>2</v>
      </c>
      <c r="O1315">
        <v>1</v>
      </c>
      <c r="Q1315">
        <v>2</v>
      </c>
      <c r="R1315">
        <v>3</v>
      </c>
      <c r="S1315">
        <v>1</v>
      </c>
      <c r="U1315" t="s">
        <v>61</v>
      </c>
      <c r="V1315">
        <v>1</v>
      </c>
    </row>
    <row r="1316" spans="2:22" x14ac:dyDescent="0.25">
      <c r="B1316">
        <v>2</v>
      </c>
      <c r="C1316">
        <f>IF(Adecco_India[[#This Row],[Attrition]]="Yes",1,0)</f>
        <v>0</v>
      </c>
      <c r="F1316">
        <v>45</v>
      </c>
      <c r="G1316">
        <v>3</v>
      </c>
      <c r="J1316">
        <v>4</v>
      </c>
      <c r="K1316">
        <v>4</v>
      </c>
      <c r="N1316">
        <v>8</v>
      </c>
      <c r="O1316">
        <v>3</v>
      </c>
      <c r="Q1316">
        <v>5</v>
      </c>
      <c r="R1316">
        <v>4</v>
      </c>
      <c r="S1316">
        <v>1</v>
      </c>
      <c r="U1316" t="s">
        <v>38</v>
      </c>
      <c r="V1316">
        <v>1</v>
      </c>
    </row>
    <row r="1317" spans="2:22" x14ac:dyDescent="0.25">
      <c r="B1317">
        <v>2</v>
      </c>
      <c r="C1317">
        <f>IF(Adecco_India[[#This Row],[Attrition]]="Yes",1,0)</f>
        <v>0</v>
      </c>
      <c r="F1317">
        <v>36</v>
      </c>
      <c r="G1317">
        <v>2</v>
      </c>
      <c r="J1317">
        <v>3</v>
      </c>
      <c r="K1317">
        <v>4</v>
      </c>
      <c r="N1317">
        <v>1</v>
      </c>
      <c r="O1317">
        <v>2</v>
      </c>
      <c r="Q1317">
        <v>0</v>
      </c>
      <c r="R1317">
        <v>4</v>
      </c>
      <c r="S1317">
        <v>1</v>
      </c>
      <c r="U1317" t="s">
        <v>49</v>
      </c>
      <c r="V1317">
        <v>1</v>
      </c>
    </row>
    <row r="1318" spans="2:22" x14ac:dyDescent="0.25">
      <c r="B1318">
        <v>2</v>
      </c>
      <c r="C1318">
        <f>IF(Adecco_India[[#This Row],[Attrition]]="Yes",1,0)</f>
        <v>0</v>
      </c>
      <c r="F1318">
        <v>43</v>
      </c>
      <c r="G1318">
        <v>4</v>
      </c>
      <c r="J1318">
        <v>3</v>
      </c>
      <c r="K1318">
        <v>4</v>
      </c>
      <c r="N1318">
        <v>7</v>
      </c>
      <c r="O1318">
        <v>4</v>
      </c>
      <c r="Q1318">
        <v>7</v>
      </c>
      <c r="R1318">
        <v>4</v>
      </c>
      <c r="S1318">
        <v>1</v>
      </c>
      <c r="U1318" t="s">
        <v>38</v>
      </c>
      <c r="V1318">
        <v>1</v>
      </c>
    </row>
    <row r="1319" spans="2:22" x14ac:dyDescent="0.25">
      <c r="B1319">
        <v>5</v>
      </c>
      <c r="C1319">
        <f>IF(Adecco_India[[#This Row],[Attrition]]="Yes",1,0)</f>
        <v>0</v>
      </c>
      <c r="F1319">
        <v>27</v>
      </c>
      <c r="G1319">
        <v>4</v>
      </c>
      <c r="J1319">
        <v>2</v>
      </c>
      <c r="K1319">
        <v>3</v>
      </c>
      <c r="N1319">
        <v>5</v>
      </c>
      <c r="O1319">
        <v>4</v>
      </c>
      <c r="Q1319">
        <v>0</v>
      </c>
      <c r="R1319">
        <v>3</v>
      </c>
      <c r="S1319">
        <v>1</v>
      </c>
      <c r="U1319" t="s">
        <v>38</v>
      </c>
      <c r="V1319">
        <v>1</v>
      </c>
    </row>
    <row r="1320" spans="2:22" x14ac:dyDescent="0.25">
      <c r="B1320">
        <v>20</v>
      </c>
      <c r="C1320">
        <f>IF(Adecco_India[[#This Row],[Attrition]]="Yes",1,0)</f>
        <v>0</v>
      </c>
      <c r="F1320">
        <v>29</v>
      </c>
      <c r="G1320">
        <v>4</v>
      </c>
      <c r="J1320">
        <v>4</v>
      </c>
      <c r="K1320">
        <v>3</v>
      </c>
      <c r="N1320">
        <v>11</v>
      </c>
      <c r="O1320">
        <v>4</v>
      </c>
      <c r="Q1320">
        <v>3</v>
      </c>
      <c r="R1320">
        <v>3</v>
      </c>
      <c r="S1320">
        <v>1</v>
      </c>
      <c r="U1320" t="s">
        <v>51</v>
      </c>
      <c r="V1320">
        <v>1</v>
      </c>
    </row>
    <row r="1321" spans="2:22" x14ac:dyDescent="0.25">
      <c r="B1321">
        <v>10</v>
      </c>
      <c r="C1321">
        <f>IF(Adecco_India[[#This Row],[Attrition]]="Yes",1,0)</f>
        <v>0</v>
      </c>
      <c r="F1321">
        <v>32</v>
      </c>
      <c r="G1321">
        <v>4</v>
      </c>
      <c r="J1321">
        <v>4</v>
      </c>
      <c r="K1321">
        <v>3</v>
      </c>
      <c r="N1321">
        <v>0</v>
      </c>
      <c r="O1321">
        <v>4</v>
      </c>
      <c r="Q1321">
        <v>0</v>
      </c>
      <c r="R1321">
        <v>3</v>
      </c>
      <c r="S1321">
        <v>1</v>
      </c>
      <c r="U1321" t="s">
        <v>59</v>
      </c>
      <c r="V1321">
        <v>1</v>
      </c>
    </row>
    <row r="1322" spans="2:22" x14ac:dyDescent="0.25">
      <c r="B1322">
        <v>10</v>
      </c>
      <c r="C1322">
        <f>IF(Adecco_India[[#This Row],[Attrition]]="Yes",1,0)</f>
        <v>0</v>
      </c>
      <c r="F1322">
        <v>42</v>
      </c>
      <c r="G1322">
        <v>3</v>
      </c>
      <c r="J1322">
        <v>2</v>
      </c>
      <c r="K1322">
        <v>4</v>
      </c>
      <c r="N1322">
        <v>6</v>
      </c>
      <c r="O1322">
        <v>3</v>
      </c>
      <c r="Q1322">
        <v>3</v>
      </c>
      <c r="R1322">
        <v>4</v>
      </c>
      <c r="S1322">
        <v>1</v>
      </c>
      <c r="U1322" t="s">
        <v>60</v>
      </c>
      <c r="V1322">
        <v>1</v>
      </c>
    </row>
    <row r="1323" spans="2:22" x14ac:dyDescent="0.25">
      <c r="B1323">
        <v>9</v>
      </c>
      <c r="C1323">
        <f>IF(Adecco_India[[#This Row],[Attrition]]="Yes",1,0)</f>
        <v>0</v>
      </c>
      <c r="F1323">
        <v>47</v>
      </c>
      <c r="G1323">
        <v>3</v>
      </c>
      <c r="J1323">
        <v>3</v>
      </c>
      <c r="K1323">
        <v>3</v>
      </c>
      <c r="N1323">
        <v>2</v>
      </c>
      <c r="O1323">
        <v>3</v>
      </c>
      <c r="Q1323">
        <v>2</v>
      </c>
      <c r="R1323">
        <v>3</v>
      </c>
      <c r="S1323">
        <v>1</v>
      </c>
      <c r="U1323" t="s">
        <v>38</v>
      </c>
      <c r="V1323">
        <v>1</v>
      </c>
    </row>
    <row r="1324" spans="2:22" x14ac:dyDescent="0.25">
      <c r="B1324">
        <v>2</v>
      </c>
      <c r="C1324">
        <f>IF(Adecco_India[[#This Row],[Attrition]]="Yes",1,0)</f>
        <v>0</v>
      </c>
      <c r="F1324">
        <v>46</v>
      </c>
      <c r="G1324">
        <v>4</v>
      </c>
      <c r="J1324">
        <v>2</v>
      </c>
      <c r="K1324">
        <v>3</v>
      </c>
      <c r="N1324">
        <v>9</v>
      </c>
      <c r="O1324">
        <v>4</v>
      </c>
      <c r="Q1324">
        <v>4</v>
      </c>
      <c r="R1324">
        <v>3</v>
      </c>
      <c r="S1324">
        <v>1</v>
      </c>
      <c r="U1324" t="s">
        <v>38</v>
      </c>
      <c r="V1324">
        <v>1</v>
      </c>
    </row>
    <row r="1325" spans="2:22" x14ac:dyDescent="0.25">
      <c r="B1325">
        <v>1</v>
      </c>
      <c r="C1325">
        <f>IF(Adecco_India[[#This Row],[Attrition]]="Yes",1,0)</f>
        <v>0</v>
      </c>
      <c r="F1325">
        <v>28</v>
      </c>
      <c r="G1325">
        <v>4</v>
      </c>
      <c r="J1325">
        <v>3</v>
      </c>
      <c r="K1325">
        <v>3</v>
      </c>
      <c r="N1325">
        <v>3</v>
      </c>
      <c r="O1325">
        <v>4</v>
      </c>
      <c r="Q1325">
        <v>2</v>
      </c>
      <c r="R1325">
        <v>3</v>
      </c>
      <c r="S1325">
        <v>1</v>
      </c>
      <c r="U1325" t="s">
        <v>38</v>
      </c>
      <c r="V1325">
        <v>1</v>
      </c>
    </row>
    <row r="1326" spans="2:22" x14ac:dyDescent="0.25">
      <c r="B1326">
        <v>29</v>
      </c>
      <c r="C1326">
        <f>IF(Adecco_India[[#This Row],[Attrition]]="Yes",1,0)</f>
        <v>0</v>
      </c>
      <c r="F1326">
        <v>29</v>
      </c>
      <c r="G1326">
        <v>3</v>
      </c>
      <c r="J1326">
        <v>3</v>
      </c>
      <c r="K1326">
        <v>3</v>
      </c>
      <c r="N1326">
        <v>7</v>
      </c>
      <c r="O1326">
        <v>3</v>
      </c>
      <c r="Q1326">
        <v>1</v>
      </c>
      <c r="R1326">
        <v>3</v>
      </c>
      <c r="S1326">
        <v>1</v>
      </c>
      <c r="U1326" t="s">
        <v>38</v>
      </c>
      <c r="V1326">
        <v>1</v>
      </c>
    </row>
    <row r="1327" spans="2:22" x14ac:dyDescent="0.25">
      <c r="B1327">
        <v>8</v>
      </c>
      <c r="C1327">
        <f>IF(Adecco_India[[#This Row],[Attrition]]="Yes",1,0)</f>
        <v>0</v>
      </c>
      <c r="F1327">
        <v>42</v>
      </c>
      <c r="G1327">
        <v>3</v>
      </c>
      <c r="J1327">
        <v>3</v>
      </c>
      <c r="K1327">
        <v>3</v>
      </c>
      <c r="N1327">
        <v>0</v>
      </c>
      <c r="O1327">
        <v>3</v>
      </c>
      <c r="Q1327">
        <v>0</v>
      </c>
      <c r="R1327">
        <v>3</v>
      </c>
      <c r="S1327">
        <v>1</v>
      </c>
      <c r="U1327" t="s">
        <v>38</v>
      </c>
      <c r="V1327">
        <v>1</v>
      </c>
    </row>
    <row r="1328" spans="2:22" x14ac:dyDescent="0.25">
      <c r="B1328">
        <v>2</v>
      </c>
      <c r="C1328">
        <f>IF(Adecco_India[[#This Row],[Attrition]]="Yes",1,0)</f>
        <v>1</v>
      </c>
      <c r="F1328">
        <v>32</v>
      </c>
      <c r="G1328">
        <v>2</v>
      </c>
      <c r="J1328">
        <v>2</v>
      </c>
      <c r="K1328">
        <v>3</v>
      </c>
      <c r="N1328">
        <v>2</v>
      </c>
      <c r="O1328">
        <v>2</v>
      </c>
      <c r="Q1328">
        <v>2</v>
      </c>
      <c r="R1328">
        <v>3</v>
      </c>
      <c r="S1328">
        <v>1</v>
      </c>
      <c r="U1328" t="s">
        <v>59</v>
      </c>
      <c r="V1328">
        <v>1</v>
      </c>
    </row>
    <row r="1329" spans="2:22" x14ac:dyDescent="0.25">
      <c r="B1329">
        <v>3</v>
      </c>
      <c r="C1329">
        <f>IF(Adecco_India[[#This Row],[Attrition]]="Yes",1,0)</f>
        <v>0</v>
      </c>
      <c r="F1329">
        <v>46</v>
      </c>
      <c r="G1329">
        <v>1</v>
      </c>
      <c r="J1329">
        <v>3</v>
      </c>
      <c r="K1329">
        <v>3</v>
      </c>
      <c r="N1329">
        <v>19</v>
      </c>
      <c r="O1329">
        <v>1</v>
      </c>
      <c r="Q1329">
        <v>2</v>
      </c>
      <c r="R1329">
        <v>3</v>
      </c>
      <c r="S1329">
        <v>1</v>
      </c>
      <c r="U1329" t="s">
        <v>60</v>
      </c>
      <c r="V1329">
        <v>1</v>
      </c>
    </row>
    <row r="1330" spans="2:22" x14ac:dyDescent="0.25">
      <c r="B1330">
        <v>23</v>
      </c>
      <c r="C1330">
        <f>IF(Adecco_India[[#This Row],[Attrition]]="Yes",1,0)</f>
        <v>0</v>
      </c>
      <c r="F1330">
        <v>27</v>
      </c>
      <c r="G1330">
        <v>3</v>
      </c>
      <c r="J1330">
        <v>3</v>
      </c>
      <c r="K1330">
        <v>4</v>
      </c>
      <c r="N1330">
        <v>9</v>
      </c>
      <c r="O1330">
        <v>3</v>
      </c>
      <c r="Q1330">
        <v>5</v>
      </c>
      <c r="R1330">
        <v>4</v>
      </c>
      <c r="S1330">
        <v>1</v>
      </c>
      <c r="U1330" t="s">
        <v>51</v>
      </c>
      <c r="V1330">
        <v>1</v>
      </c>
    </row>
    <row r="1331" spans="2:22" x14ac:dyDescent="0.25">
      <c r="B1331">
        <v>6</v>
      </c>
      <c r="C1331">
        <f>IF(Adecco_India[[#This Row],[Attrition]]="Yes",1,0)</f>
        <v>0</v>
      </c>
      <c r="F1331">
        <v>29</v>
      </c>
      <c r="G1331">
        <v>2</v>
      </c>
      <c r="J1331">
        <v>3</v>
      </c>
      <c r="K1331">
        <v>3</v>
      </c>
      <c r="N1331">
        <v>1</v>
      </c>
      <c r="O1331">
        <v>2</v>
      </c>
      <c r="Q1331">
        <v>0</v>
      </c>
      <c r="R1331">
        <v>3</v>
      </c>
      <c r="S1331">
        <v>1</v>
      </c>
      <c r="U1331" t="s">
        <v>51</v>
      </c>
      <c r="V1331">
        <v>1</v>
      </c>
    </row>
    <row r="1332" spans="2:22" x14ac:dyDescent="0.25">
      <c r="B1332">
        <v>6</v>
      </c>
      <c r="C1332">
        <f>IF(Adecco_India[[#This Row],[Attrition]]="Yes",1,0)</f>
        <v>0</v>
      </c>
      <c r="F1332">
        <v>43</v>
      </c>
      <c r="G1332">
        <v>3</v>
      </c>
      <c r="J1332">
        <v>3</v>
      </c>
      <c r="K1332">
        <v>3</v>
      </c>
      <c r="N1332">
        <v>16</v>
      </c>
      <c r="O1332">
        <v>3</v>
      </c>
      <c r="Q1332">
        <v>6</v>
      </c>
      <c r="R1332">
        <v>3</v>
      </c>
      <c r="S1332">
        <v>1</v>
      </c>
      <c r="U1332" t="s">
        <v>51</v>
      </c>
      <c r="V1332">
        <v>1</v>
      </c>
    </row>
    <row r="1333" spans="2:22" x14ac:dyDescent="0.25">
      <c r="B1333">
        <v>10</v>
      </c>
      <c r="C1333">
        <f>IF(Adecco_India[[#This Row],[Attrition]]="Yes",1,0)</f>
        <v>0</v>
      </c>
      <c r="F1333">
        <v>48</v>
      </c>
      <c r="G1333">
        <v>2</v>
      </c>
      <c r="J1333">
        <v>3</v>
      </c>
      <c r="K1333">
        <v>3</v>
      </c>
      <c r="N1333">
        <v>22</v>
      </c>
      <c r="O1333">
        <v>2</v>
      </c>
      <c r="Q1333">
        <v>12</v>
      </c>
      <c r="R1333">
        <v>3</v>
      </c>
      <c r="S1333">
        <v>1</v>
      </c>
      <c r="U1333" t="s">
        <v>38</v>
      </c>
      <c r="V1333">
        <v>1</v>
      </c>
    </row>
    <row r="1334" spans="2:22" x14ac:dyDescent="0.25">
      <c r="B1334">
        <v>24</v>
      </c>
      <c r="C1334">
        <f>IF(Adecco_India[[#This Row],[Attrition]]="Yes",1,0)</f>
        <v>1</v>
      </c>
      <c r="F1334">
        <v>29</v>
      </c>
      <c r="G1334">
        <v>4</v>
      </c>
      <c r="J1334">
        <v>2</v>
      </c>
      <c r="K1334">
        <v>4</v>
      </c>
      <c r="N1334">
        <v>1</v>
      </c>
      <c r="O1334">
        <v>4</v>
      </c>
      <c r="Q1334">
        <v>1</v>
      </c>
      <c r="R1334">
        <v>4</v>
      </c>
      <c r="S1334">
        <v>1</v>
      </c>
      <c r="U1334" t="s">
        <v>38</v>
      </c>
      <c r="V1334">
        <v>1</v>
      </c>
    </row>
    <row r="1335" spans="2:22" x14ac:dyDescent="0.25">
      <c r="B1335">
        <v>10</v>
      </c>
      <c r="C1335">
        <f>IF(Adecco_India[[#This Row],[Attrition]]="Yes",1,0)</f>
        <v>1</v>
      </c>
      <c r="F1335">
        <v>46</v>
      </c>
      <c r="G1335">
        <v>2</v>
      </c>
      <c r="J1335">
        <v>3</v>
      </c>
      <c r="K1335">
        <v>4</v>
      </c>
      <c r="N1335">
        <v>8</v>
      </c>
      <c r="O1335">
        <v>2</v>
      </c>
      <c r="Q1335">
        <v>0</v>
      </c>
      <c r="R1335">
        <v>4</v>
      </c>
      <c r="S1335">
        <v>1</v>
      </c>
      <c r="U1335" t="s">
        <v>38</v>
      </c>
      <c r="V1335">
        <v>1</v>
      </c>
    </row>
    <row r="1336" spans="2:22" x14ac:dyDescent="0.25">
      <c r="B1336">
        <v>15</v>
      </c>
      <c r="C1336">
        <f>IF(Adecco_India[[#This Row],[Attrition]]="Yes",1,0)</f>
        <v>0</v>
      </c>
      <c r="F1336">
        <v>27</v>
      </c>
      <c r="G1336">
        <v>1</v>
      </c>
      <c r="J1336">
        <v>2</v>
      </c>
      <c r="K1336">
        <v>3</v>
      </c>
      <c r="N1336">
        <v>7</v>
      </c>
      <c r="O1336">
        <v>1</v>
      </c>
      <c r="Q1336">
        <v>7</v>
      </c>
      <c r="R1336">
        <v>3</v>
      </c>
      <c r="S1336">
        <v>1</v>
      </c>
      <c r="U1336" t="s">
        <v>38</v>
      </c>
      <c r="V1336">
        <v>1</v>
      </c>
    </row>
    <row r="1337" spans="2:22" x14ac:dyDescent="0.25">
      <c r="B1337">
        <v>19</v>
      </c>
      <c r="C1337">
        <f>IF(Adecco_India[[#This Row],[Attrition]]="Yes",1,0)</f>
        <v>0</v>
      </c>
      <c r="F1337">
        <v>39</v>
      </c>
      <c r="G1337">
        <v>4</v>
      </c>
      <c r="J1337">
        <v>3</v>
      </c>
      <c r="K1337">
        <v>3</v>
      </c>
      <c r="N1337">
        <v>2</v>
      </c>
      <c r="O1337">
        <v>4</v>
      </c>
      <c r="Q1337">
        <v>2</v>
      </c>
      <c r="R1337">
        <v>3</v>
      </c>
      <c r="S1337">
        <v>1</v>
      </c>
      <c r="U1337" t="s">
        <v>49</v>
      </c>
      <c r="V1337">
        <v>1</v>
      </c>
    </row>
    <row r="1338" spans="2:22" x14ac:dyDescent="0.25">
      <c r="B1338">
        <v>2</v>
      </c>
      <c r="C1338">
        <f>IF(Adecco_India[[#This Row],[Attrition]]="Yes",1,0)</f>
        <v>0</v>
      </c>
      <c r="F1338">
        <v>55</v>
      </c>
      <c r="G1338">
        <v>4</v>
      </c>
      <c r="J1338">
        <v>4</v>
      </c>
      <c r="K1338">
        <v>4</v>
      </c>
      <c r="N1338">
        <v>5</v>
      </c>
      <c r="O1338">
        <v>4</v>
      </c>
      <c r="Q1338">
        <v>0</v>
      </c>
      <c r="R1338">
        <v>4</v>
      </c>
      <c r="S1338">
        <v>1</v>
      </c>
      <c r="U1338" t="s">
        <v>60</v>
      </c>
      <c r="V1338">
        <v>1</v>
      </c>
    </row>
    <row r="1339" spans="2:22" x14ac:dyDescent="0.25">
      <c r="B1339">
        <v>3</v>
      </c>
      <c r="C1339">
        <f>IF(Adecco_India[[#This Row],[Attrition]]="Yes",1,0)</f>
        <v>0</v>
      </c>
      <c r="F1339">
        <v>28</v>
      </c>
      <c r="G1339">
        <v>2</v>
      </c>
      <c r="J1339">
        <v>3</v>
      </c>
      <c r="K1339">
        <v>3</v>
      </c>
      <c r="N1339">
        <v>1</v>
      </c>
      <c r="O1339">
        <v>2</v>
      </c>
      <c r="Q1339">
        <v>0</v>
      </c>
      <c r="R1339">
        <v>3</v>
      </c>
      <c r="S1339">
        <v>1</v>
      </c>
      <c r="U1339" t="s">
        <v>51</v>
      </c>
      <c r="V1339">
        <v>1</v>
      </c>
    </row>
    <row r="1340" spans="2:22" x14ac:dyDescent="0.25">
      <c r="B1340">
        <v>9</v>
      </c>
      <c r="C1340">
        <f>IF(Adecco_India[[#This Row],[Attrition]]="Yes",1,0)</f>
        <v>1</v>
      </c>
      <c r="F1340">
        <v>30</v>
      </c>
      <c r="G1340">
        <v>4</v>
      </c>
      <c r="J1340">
        <v>2</v>
      </c>
      <c r="K1340">
        <v>3</v>
      </c>
      <c r="N1340">
        <v>1</v>
      </c>
      <c r="O1340">
        <v>4</v>
      </c>
      <c r="Q1340">
        <v>0</v>
      </c>
      <c r="R1340">
        <v>3</v>
      </c>
      <c r="S1340">
        <v>1</v>
      </c>
      <c r="U1340" t="s">
        <v>51</v>
      </c>
      <c r="V1340">
        <v>1</v>
      </c>
    </row>
    <row r="1341" spans="2:22" x14ac:dyDescent="0.25">
      <c r="B1341">
        <v>7</v>
      </c>
      <c r="C1341">
        <f>IF(Adecco_India[[#This Row],[Attrition]]="Yes",1,0)</f>
        <v>1</v>
      </c>
      <c r="F1341">
        <v>22</v>
      </c>
      <c r="G1341">
        <v>2</v>
      </c>
      <c r="J1341">
        <v>3</v>
      </c>
      <c r="K1341">
        <v>4</v>
      </c>
      <c r="N1341">
        <v>1</v>
      </c>
      <c r="O1341">
        <v>2</v>
      </c>
      <c r="Q1341">
        <v>0</v>
      </c>
      <c r="R1341">
        <v>4</v>
      </c>
      <c r="S1341">
        <v>1</v>
      </c>
      <c r="U1341" t="s">
        <v>38</v>
      </c>
      <c r="V1341">
        <v>1</v>
      </c>
    </row>
    <row r="1342" spans="2:22" x14ac:dyDescent="0.25">
      <c r="B1342">
        <v>10</v>
      </c>
      <c r="C1342">
        <f>IF(Adecco_India[[#This Row],[Attrition]]="Yes",1,0)</f>
        <v>0</v>
      </c>
      <c r="F1342">
        <v>36</v>
      </c>
      <c r="G1342">
        <v>3</v>
      </c>
      <c r="J1342">
        <v>3</v>
      </c>
      <c r="K1342">
        <v>3</v>
      </c>
      <c r="N1342">
        <v>10</v>
      </c>
      <c r="O1342">
        <v>3</v>
      </c>
      <c r="Q1342">
        <v>1</v>
      </c>
      <c r="R1342">
        <v>3</v>
      </c>
      <c r="S1342">
        <v>1</v>
      </c>
      <c r="U1342" t="s">
        <v>60</v>
      </c>
      <c r="V1342">
        <v>1</v>
      </c>
    </row>
    <row r="1343" spans="2:22" x14ac:dyDescent="0.25">
      <c r="B1343">
        <v>20</v>
      </c>
      <c r="C1343">
        <f>IF(Adecco_India[[#This Row],[Attrition]]="Yes",1,0)</f>
        <v>0</v>
      </c>
      <c r="F1343">
        <v>31</v>
      </c>
      <c r="G1343">
        <v>3</v>
      </c>
      <c r="J1343">
        <v>3</v>
      </c>
      <c r="K1343">
        <v>3</v>
      </c>
      <c r="N1343">
        <v>10</v>
      </c>
      <c r="O1343">
        <v>3</v>
      </c>
      <c r="Q1343">
        <v>0</v>
      </c>
      <c r="R1343">
        <v>3</v>
      </c>
      <c r="S1343">
        <v>1</v>
      </c>
      <c r="U1343" t="s">
        <v>38</v>
      </c>
      <c r="V1343">
        <v>1</v>
      </c>
    </row>
    <row r="1344" spans="2:22" x14ac:dyDescent="0.25">
      <c r="B1344">
        <v>4</v>
      </c>
      <c r="C1344">
        <f>IF(Adecco_India[[#This Row],[Attrition]]="Yes",1,0)</f>
        <v>0</v>
      </c>
      <c r="F1344">
        <v>34</v>
      </c>
      <c r="G1344">
        <v>4</v>
      </c>
      <c r="J1344">
        <v>3</v>
      </c>
      <c r="K1344">
        <v>3</v>
      </c>
      <c r="N1344">
        <v>5</v>
      </c>
      <c r="O1344">
        <v>4</v>
      </c>
      <c r="Q1344">
        <v>1</v>
      </c>
      <c r="R1344">
        <v>3</v>
      </c>
      <c r="S1344">
        <v>1</v>
      </c>
      <c r="U1344" t="s">
        <v>38</v>
      </c>
      <c r="V1344">
        <v>1</v>
      </c>
    </row>
    <row r="1345" spans="2:22" x14ac:dyDescent="0.25">
      <c r="B1345">
        <v>7</v>
      </c>
      <c r="C1345">
        <f>IF(Adecco_India[[#This Row],[Attrition]]="Yes",1,0)</f>
        <v>0</v>
      </c>
      <c r="F1345">
        <v>29</v>
      </c>
      <c r="G1345">
        <v>1</v>
      </c>
      <c r="J1345">
        <v>3</v>
      </c>
      <c r="K1345">
        <v>3</v>
      </c>
      <c r="N1345">
        <v>3</v>
      </c>
      <c r="O1345">
        <v>1</v>
      </c>
      <c r="Q1345">
        <v>1</v>
      </c>
      <c r="R1345">
        <v>3</v>
      </c>
      <c r="S1345">
        <v>1</v>
      </c>
      <c r="U1345" t="s">
        <v>38</v>
      </c>
      <c r="V1345">
        <v>1</v>
      </c>
    </row>
    <row r="1346" spans="2:22" x14ac:dyDescent="0.25">
      <c r="B1346">
        <v>7</v>
      </c>
      <c r="C1346">
        <f>IF(Adecco_India[[#This Row],[Attrition]]="Yes",1,0)</f>
        <v>0</v>
      </c>
      <c r="F1346">
        <v>37</v>
      </c>
      <c r="G1346">
        <v>1</v>
      </c>
      <c r="J1346">
        <v>3</v>
      </c>
      <c r="K1346">
        <v>4</v>
      </c>
      <c r="N1346">
        <v>5</v>
      </c>
      <c r="O1346">
        <v>1</v>
      </c>
      <c r="Q1346">
        <v>0</v>
      </c>
      <c r="R1346">
        <v>4</v>
      </c>
      <c r="S1346">
        <v>1</v>
      </c>
      <c r="U1346" t="s">
        <v>51</v>
      </c>
      <c r="V1346">
        <v>1</v>
      </c>
    </row>
    <row r="1347" spans="2:22" x14ac:dyDescent="0.25">
      <c r="B1347">
        <v>16</v>
      </c>
      <c r="C1347">
        <f>IF(Adecco_India[[#This Row],[Attrition]]="Yes",1,0)</f>
        <v>0</v>
      </c>
      <c r="F1347">
        <v>35</v>
      </c>
      <c r="G1347">
        <v>2</v>
      </c>
      <c r="J1347">
        <v>3</v>
      </c>
      <c r="K1347">
        <v>3</v>
      </c>
      <c r="N1347">
        <v>3</v>
      </c>
      <c r="O1347">
        <v>2</v>
      </c>
      <c r="Q1347">
        <v>0</v>
      </c>
      <c r="R1347">
        <v>3</v>
      </c>
      <c r="S1347">
        <v>1</v>
      </c>
      <c r="U1347" t="s">
        <v>49</v>
      </c>
      <c r="V1347">
        <v>1</v>
      </c>
    </row>
    <row r="1348" spans="2:22" x14ac:dyDescent="0.25">
      <c r="B1348">
        <v>25</v>
      </c>
      <c r="C1348">
        <f>IF(Adecco_India[[#This Row],[Attrition]]="Yes",1,0)</f>
        <v>0</v>
      </c>
      <c r="F1348">
        <v>45</v>
      </c>
      <c r="G1348">
        <v>4</v>
      </c>
      <c r="J1348">
        <v>2</v>
      </c>
      <c r="K1348">
        <v>3</v>
      </c>
      <c r="N1348">
        <v>9</v>
      </c>
      <c r="O1348">
        <v>4</v>
      </c>
      <c r="Q1348">
        <v>3</v>
      </c>
      <c r="R1348">
        <v>3</v>
      </c>
      <c r="S1348">
        <v>1</v>
      </c>
      <c r="U1348" t="s">
        <v>38</v>
      </c>
      <c r="V1348">
        <v>1</v>
      </c>
    </row>
    <row r="1349" spans="2:22" x14ac:dyDescent="0.25">
      <c r="B1349">
        <v>2</v>
      </c>
      <c r="C1349">
        <f>IF(Adecco_India[[#This Row],[Attrition]]="Yes",1,0)</f>
        <v>0</v>
      </c>
      <c r="F1349">
        <v>36</v>
      </c>
      <c r="G1349">
        <v>4</v>
      </c>
      <c r="J1349">
        <v>2</v>
      </c>
      <c r="K1349">
        <v>4</v>
      </c>
      <c r="N1349">
        <v>10</v>
      </c>
      <c r="O1349">
        <v>4</v>
      </c>
      <c r="Q1349">
        <v>0</v>
      </c>
      <c r="R1349">
        <v>4</v>
      </c>
      <c r="S1349">
        <v>1</v>
      </c>
      <c r="U1349" t="s">
        <v>61</v>
      </c>
      <c r="V1349">
        <v>1</v>
      </c>
    </row>
    <row r="1350" spans="2:22" x14ac:dyDescent="0.25">
      <c r="B1350">
        <v>1</v>
      </c>
      <c r="C1350">
        <f>IF(Adecco_India[[#This Row],[Attrition]]="Yes",1,0)</f>
        <v>0</v>
      </c>
      <c r="F1350">
        <v>40</v>
      </c>
      <c r="G1350">
        <v>1</v>
      </c>
      <c r="J1350">
        <v>3</v>
      </c>
      <c r="K1350">
        <v>3</v>
      </c>
      <c r="N1350">
        <v>19</v>
      </c>
      <c r="O1350">
        <v>1</v>
      </c>
      <c r="Q1350">
        <v>11</v>
      </c>
      <c r="R1350">
        <v>3</v>
      </c>
      <c r="S1350">
        <v>1</v>
      </c>
      <c r="U1350" t="s">
        <v>38</v>
      </c>
      <c r="V1350">
        <v>1</v>
      </c>
    </row>
    <row r="1351" spans="2:22" x14ac:dyDescent="0.25">
      <c r="B1351">
        <v>1</v>
      </c>
      <c r="C1351">
        <f>IF(Adecco_India[[#This Row],[Attrition]]="Yes",1,0)</f>
        <v>0</v>
      </c>
      <c r="F1351">
        <v>26</v>
      </c>
      <c r="G1351">
        <v>3</v>
      </c>
      <c r="J1351">
        <v>2</v>
      </c>
      <c r="K1351">
        <v>3</v>
      </c>
      <c r="N1351">
        <v>1</v>
      </c>
      <c r="O1351">
        <v>3</v>
      </c>
      <c r="Q1351">
        <v>1</v>
      </c>
      <c r="R1351">
        <v>3</v>
      </c>
      <c r="S1351">
        <v>1</v>
      </c>
      <c r="U1351" t="s">
        <v>38</v>
      </c>
      <c r="V1351">
        <v>1</v>
      </c>
    </row>
    <row r="1352" spans="2:22" x14ac:dyDescent="0.25">
      <c r="B1352">
        <v>2</v>
      </c>
      <c r="C1352">
        <f>IF(Adecco_India[[#This Row],[Attrition]]="Yes",1,0)</f>
        <v>0</v>
      </c>
      <c r="F1352">
        <v>27</v>
      </c>
      <c r="G1352">
        <v>3</v>
      </c>
      <c r="J1352">
        <v>2</v>
      </c>
      <c r="K1352">
        <v>3</v>
      </c>
      <c r="N1352">
        <v>8</v>
      </c>
      <c r="O1352">
        <v>3</v>
      </c>
      <c r="Q1352">
        <v>0</v>
      </c>
      <c r="R1352">
        <v>3</v>
      </c>
      <c r="S1352">
        <v>1</v>
      </c>
      <c r="U1352" t="s">
        <v>51</v>
      </c>
      <c r="V1352">
        <v>1</v>
      </c>
    </row>
    <row r="1353" spans="2:22" x14ac:dyDescent="0.25">
      <c r="B1353">
        <v>22</v>
      </c>
      <c r="C1353">
        <f>IF(Adecco_India[[#This Row],[Attrition]]="Yes",1,0)</f>
        <v>0</v>
      </c>
      <c r="F1353">
        <v>48</v>
      </c>
      <c r="G1353">
        <v>4</v>
      </c>
      <c r="J1353">
        <v>3</v>
      </c>
      <c r="K1353">
        <v>3</v>
      </c>
      <c r="N1353">
        <v>22</v>
      </c>
      <c r="O1353">
        <v>4</v>
      </c>
      <c r="Q1353">
        <v>4</v>
      </c>
      <c r="R1353">
        <v>3</v>
      </c>
      <c r="S1353">
        <v>1</v>
      </c>
      <c r="U1353" t="s">
        <v>51</v>
      </c>
      <c r="V1353">
        <v>1</v>
      </c>
    </row>
    <row r="1354" spans="2:22" x14ac:dyDescent="0.25">
      <c r="B1354">
        <v>1</v>
      </c>
      <c r="C1354">
        <f>IF(Adecco_India[[#This Row],[Attrition]]="Yes",1,0)</f>
        <v>0</v>
      </c>
      <c r="F1354">
        <v>44</v>
      </c>
      <c r="G1354">
        <v>1</v>
      </c>
      <c r="J1354">
        <v>3</v>
      </c>
      <c r="K1354">
        <v>3</v>
      </c>
      <c r="N1354">
        <v>2</v>
      </c>
      <c r="O1354">
        <v>1</v>
      </c>
      <c r="Q1354">
        <v>2</v>
      </c>
      <c r="R1354">
        <v>3</v>
      </c>
      <c r="S1354">
        <v>1</v>
      </c>
      <c r="U1354" t="s">
        <v>38</v>
      </c>
      <c r="V1354">
        <v>1</v>
      </c>
    </row>
    <row r="1355" spans="2:22" x14ac:dyDescent="0.25">
      <c r="B1355">
        <v>16</v>
      </c>
      <c r="C1355">
        <f>IF(Adecco_India[[#This Row],[Attrition]]="Yes",1,0)</f>
        <v>1</v>
      </c>
      <c r="F1355">
        <v>34</v>
      </c>
      <c r="G1355">
        <v>1</v>
      </c>
      <c r="J1355">
        <v>3</v>
      </c>
      <c r="K1355">
        <v>4</v>
      </c>
      <c r="N1355">
        <v>5</v>
      </c>
      <c r="O1355">
        <v>1</v>
      </c>
      <c r="Q1355">
        <v>3</v>
      </c>
      <c r="R1355">
        <v>4</v>
      </c>
      <c r="S1355">
        <v>1</v>
      </c>
      <c r="U1355" t="s">
        <v>60</v>
      </c>
      <c r="V1355">
        <v>1</v>
      </c>
    </row>
    <row r="1356" spans="2:22" x14ac:dyDescent="0.25">
      <c r="B1356">
        <v>24</v>
      </c>
      <c r="C1356">
        <f>IF(Adecco_India[[#This Row],[Attrition]]="Yes",1,0)</f>
        <v>1</v>
      </c>
      <c r="F1356">
        <v>56</v>
      </c>
      <c r="G1356">
        <v>4</v>
      </c>
      <c r="J1356">
        <v>3</v>
      </c>
      <c r="K1356">
        <v>3</v>
      </c>
      <c r="N1356">
        <v>4</v>
      </c>
      <c r="O1356">
        <v>4</v>
      </c>
      <c r="Q1356">
        <v>1</v>
      </c>
      <c r="R1356">
        <v>3</v>
      </c>
      <c r="S1356">
        <v>1</v>
      </c>
      <c r="U1356" t="s">
        <v>38</v>
      </c>
      <c r="V1356">
        <v>1</v>
      </c>
    </row>
    <row r="1357" spans="2:22" x14ac:dyDescent="0.25">
      <c r="B1357">
        <v>17</v>
      </c>
      <c r="C1357">
        <f>IF(Adecco_India[[#This Row],[Attrition]]="Yes",1,0)</f>
        <v>0</v>
      </c>
      <c r="F1357">
        <v>36</v>
      </c>
      <c r="G1357">
        <v>2</v>
      </c>
      <c r="J1357">
        <v>1</v>
      </c>
      <c r="K1357">
        <v>3</v>
      </c>
      <c r="N1357">
        <v>4</v>
      </c>
      <c r="O1357">
        <v>2</v>
      </c>
      <c r="Q1357">
        <v>1</v>
      </c>
      <c r="R1357">
        <v>3</v>
      </c>
      <c r="S1357">
        <v>1</v>
      </c>
      <c r="U1357" t="s">
        <v>59</v>
      </c>
      <c r="V1357">
        <v>1</v>
      </c>
    </row>
    <row r="1358" spans="2:22" x14ac:dyDescent="0.25">
      <c r="B1358">
        <v>8</v>
      </c>
      <c r="C1358">
        <f>IF(Adecco_India[[#This Row],[Attrition]]="Yes",1,0)</f>
        <v>0</v>
      </c>
      <c r="F1358">
        <v>41</v>
      </c>
      <c r="G1358">
        <v>2</v>
      </c>
      <c r="J1358">
        <v>3</v>
      </c>
      <c r="K1358">
        <v>4</v>
      </c>
      <c r="N1358">
        <v>5</v>
      </c>
      <c r="O1358">
        <v>2</v>
      </c>
      <c r="Q1358">
        <v>1</v>
      </c>
      <c r="R1358">
        <v>4</v>
      </c>
      <c r="S1358">
        <v>1</v>
      </c>
      <c r="U1358" t="s">
        <v>59</v>
      </c>
      <c r="V1358">
        <v>1</v>
      </c>
    </row>
    <row r="1359" spans="2:22" x14ac:dyDescent="0.25">
      <c r="B1359">
        <v>6</v>
      </c>
      <c r="C1359">
        <f>IF(Adecco_India[[#This Row],[Attrition]]="Yes",1,0)</f>
        <v>0</v>
      </c>
      <c r="F1359">
        <v>42</v>
      </c>
      <c r="G1359">
        <v>1</v>
      </c>
      <c r="J1359">
        <v>4</v>
      </c>
      <c r="K1359">
        <v>3</v>
      </c>
      <c r="N1359">
        <v>13</v>
      </c>
      <c r="O1359">
        <v>1</v>
      </c>
      <c r="Q1359">
        <v>5</v>
      </c>
      <c r="R1359">
        <v>3</v>
      </c>
      <c r="S1359">
        <v>1</v>
      </c>
      <c r="U1359" t="s">
        <v>51</v>
      </c>
      <c r="V1359">
        <v>1</v>
      </c>
    </row>
    <row r="1360" spans="2:22" x14ac:dyDescent="0.25">
      <c r="B1360">
        <v>10</v>
      </c>
      <c r="C1360">
        <f>IF(Adecco_India[[#This Row],[Attrition]]="Yes",1,0)</f>
        <v>0</v>
      </c>
      <c r="F1360">
        <v>31</v>
      </c>
      <c r="G1360">
        <v>4</v>
      </c>
      <c r="J1360">
        <v>3</v>
      </c>
      <c r="K1360">
        <v>3</v>
      </c>
      <c r="N1360">
        <v>5</v>
      </c>
      <c r="O1360">
        <v>4</v>
      </c>
      <c r="Q1360">
        <v>1</v>
      </c>
      <c r="R1360">
        <v>3</v>
      </c>
      <c r="S1360">
        <v>1</v>
      </c>
      <c r="U1360" t="s">
        <v>51</v>
      </c>
      <c r="V1360">
        <v>1</v>
      </c>
    </row>
    <row r="1361" spans="2:22" x14ac:dyDescent="0.25">
      <c r="B1361">
        <v>3</v>
      </c>
      <c r="C1361">
        <f>IF(Adecco_India[[#This Row],[Attrition]]="Yes",1,0)</f>
        <v>0</v>
      </c>
      <c r="F1361">
        <v>34</v>
      </c>
      <c r="G1361">
        <v>4</v>
      </c>
      <c r="J1361">
        <v>2</v>
      </c>
      <c r="K1361">
        <v>3</v>
      </c>
      <c r="N1361">
        <v>4</v>
      </c>
      <c r="O1361">
        <v>4</v>
      </c>
      <c r="Q1361">
        <v>0</v>
      </c>
      <c r="R1361">
        <v>3</v>
      </c>
      <c r="S1361">
        <v>1</v>
      </c>
      <c r="U1361" t="s">
        <v>51</v>
      </c>
      <c r="V1361">
        <v>1</v>
      </c>
    </row>
    <row r="1362" spans="2:22" x14ac:dyDescent="0.25">
      <c r="B1362">
        <v>4</v>
      </c>
      <c r="C1362">
        <f>IF(Adecco_India[[#This Row],[Attrition]]="Yes",1,0)</f>
        <v>0</v>
      </c>
      <c r="F1362">
        <v>31</v>
      </c>
      <c r="G1362">
        <v>3</v>
      </c>
      <c r="J1362">
        <v>2</v>
      </c>
      <c r="K1362">
        <v>3</v>
      </c>
      <c r="N1362">
        <v>2</v>
      </c>
      <c r="O1362">
        <v>3</v>
      </c>
      <c r="Q1362">
        <v>2</v>
      </c>
      <c r="R1362">
        <v>3</v>
      </c>
      <c r="S1362">
        <v>1</v>
      </c>
      <c r="U1362" t="s">
        <v>51</v>
      </c>
      <c r="V1362">
        <v>1</v>
      </c>
    </row>
    <row r="1363" spans="2:22" x14ac:dyDescent="0.25">
      <c r="B1363">
        <v>6</v>
      </c>
      <c r="C1363">
        <f>IF(Adecco_India[[#This Row],[Attrition]]="Yes",1,0)</f>
        <v>0</v>
      </c>
      <c r="F1363">
        <v>26</v>
      </c>
      <c r="G1363">
        <v>4</v>
      </c>
      <c r="J1363">
        <v>3</v>
      </c>
      <c r="K1363">
        <v>3</v>
      </c>
      <c r="N1363">
        <v>7</v>
      </c>
      <c r="O1363">
        <v>4</v>
      </c>
      <c r="Q1363">
        <v>7</v>
      </c>
      <c r="R1363">
        <v>3</v>
      </c>
      <c r="S1363">
        <v>1</v>
      </c>
      <c r="U1363" t="s">
        <v>49</v>
      </c>
      <c r="V1363">
        <v>1</v>
      </c>
    </row>
    <row r="1364" spans="2:22" x14ac:dyDescent="0.25">
      <c r="B1364">
        <v>1</v>
      </c>
      <c r="C1364">
        <f>IF(Adecco_India[[#This Row],[Attrition]]="Yes",1,0)</f>
        <v>0</v>
      </c>
      <c r="F1364">
        <v>45</v>
      </c>
      <c r="G1364">
        <v>3</v>
      </c>
      <c r="J1364">
        <v>3</v>
      </c>
      <c r="K1364">
        <v>3</v>
      </c>
      <c r="N1364">
        <v>4</v>
      </c>
      <c r="O1364">
        <v>3</v>
      </c>
      <c r="Q1364">
        <v>0</v>
      </c>
      <c r="R1364">
        <v>3</v>
      </c>
      <c r="S1364">
        <v>1</v>
      </c>
      <c r="U1364" t="s">
        <v>51</v>
      </c>
      <c r="V1364">
        <v>1</v>
      </c>
    </row>
    <row r="1365" spans="2:22" x14ac:dyDescent="0.25">
      <c r="B1365">
        <v>10</v>
      </c>
      <c r="C1365">
        <f>IF(Adecco_India[[#This Row],[Attrition]]="Yes",1,0)</f>
        <v>0</v>
      </c>
      <c r="F1365">
        <v>33</v>
      </c>
      <c r="G1365">
        <v>3</v>
      </c>
      <c r="J1365">
        <v>2</v>
      </c>
      <c r="K1365">
        <v>3</v>
      </c>
      <c r="N1365">
        <v>10</v>
      </c>
      <c r="O1365">
        <v>3</v>
      </c>
      <c r="Q1365">
        <v>0</v>
      </c>
      <c r="R1365">
        <v>3</v>
      </c>
      <c r="S1365">
        <v>1</v>
      </c>
      <c r="U1365" t="s">
        <v>59</v>
      </c>
      <c r="V1365">
        <v>1</v>
      </c>
    </row>
    <row r="1366" spans="2:22" x14ac:dyDescent="0.25">
      <c r="B1366">
        <v>1</v>
      </c>
      <c r="C1366">
        <f>IF(Adecco_India[[#This Row],[Attrition]]="Yes",1,0)</f>
        <v>0</v>
      </c>
      <c r="F1366">
        <v>28</v>
      </c>
      <c r="G1366">
        <v>4</v>
      </c>
      <c r="J1366">
        <v>3</v>
      </c>
      <c r="K1366">
        <v>3</v>
      </c>
      <c r="N1366">
        <v>7</v>
      </c>
      <c r="O1366">
        <v>4</v>
      </c>
      <c r="Q1366">
        <v>0</v>
      </c>
      <c r="R1366">
        <v>3</v>
      </c>
      <c r="S1366">
        <v>1</v>
      </c>
      <c r="U1366" t="s">
        <v>38</v>
      </c>
      <c r="V1366">
        <v>1</v>
      </c>
    </row>
    <row r="1367" spans="2:22" x14ac:dyDescent="0.25">
      <c r="B1367">
        <v>24</v>
      </c>
      <c r="C1367">
        <f>IF(Adecco_India[[#This Row],[Attrition]]="Yes",1,0)</f>
        <v>1</v>
      </c>
      <c r="F1367">
        <v>29</v>
      </c>
      <c r="G1367">
        <v>1</v>
      </c>
      <c r="J1367">
        <v>3</v>
      </c>
      <c r="K1367">
        <v>3</v>
      </c>
      <c r="N1367">
        <v>1</v>
      </c>
      <c r="O1367">
        <v>1</v>
      </c>
      <c r="Q1367">
        <v>0</v>
      </c>
      <c r="R1367">
        <v>3</v>
      </c>
      <c r="S1367">
        <v>1</v>
      </c>
      <c r="U1367" t="s">
        <v>60</v>
      </c>
      <c r="V1367">
        <v>1</v>
      </c>
    </row>
    <row r="1368" spans="2:22" x14ac:dyDescent="0.25">
      <c r="B1368">
        <v>21</v>
      </c>
      <c r="C1368">
        <f>IF(Adecco_India[[#This Row],[Attrition]]="Yes",1,0)</f>
        <v>0</v>
      </c>
      <c r="F1368">
        <v>39</v>
      </c>
      <c r="G1368">
        <v>3</v>
      </c>
      <c r="J1368">
        <v>3</v>
      </c>
      <c r="K1368">
        <v>3</v>
      </c>
      <c r="N1368">
        <v>3</v>
      </c>
      <c r="O1368">
        <v>3</v>
      </c>
      <c r="Q1368">
        <v>1</v>
      </c>
      <c r="R1368">
        <v>3</v>
      </c>
      <c r="S1368">
        <v>1</v>
      </c>
      <c r="U1368" t="s">
        <v>38</v>
      </c>
      <c r="V1368">
        <v>1</v>
      </c>
    </row>
    <row r="1369" spans="2:22" x14ac:dyDescent="0.25">
      <c r="B1369">
        <v>2</v>
      </c>
      <c r="C1369">
        <f>IF(Adecco_India[[#This Row],[Attrition]]="Yes",1,0)</f>
        <v>0</v>
      </c>
      <c r="F1369">
        <v>27</v>
      </c>
      <c r="G1369">
        <v>2</v>
      </c>
      <c r="J1369">
        <v>2</v>
      </c>
      <c r="K1369">
        <v>3</v>
      </c>
      <c r="N1369">
        <v>5</v>
      </c>
      <c r="O1369">
        <v>2</v>
      </c>
      <c r="Q1369">
        <v>1</v>
      </c>
      <c r="R1369">
        <v>3</v>
      </c>
      <c r="S1369">
        <v>1</v>
      </c>
      <c r="U1369" t="s">
        <v>60</v>
      </c>
      <c r="V1369">
        <v>1</v>
      </c>
    </row>
    <row r="1370" spans="2:22" x14ac:dyDescent="0.25">
      <c r="B1370">
        <v>22</v>
      </c>
      <c r="C1370">
        <f>IF(Adecco_India[[#This Row],[Attrition]]="Yes",1,0)</f>
        <v>0</v>
      </c>
      <c r="F1370">
        <v>34</v>
      </c>
      <c r="G1370">
        <v>4</v>
      </c>
      <c r="J1370">
        <v>3</v>
      </c>
      <c r="K1370">
        <v>3</v>
      </c>
      <c r="N1370">
        <v>15</v>
      </c>
      <c r="O1370">
        <v>4</v>
      </c>
      <c r="Q1370">
        <v>6</v>
      </c>
      <c r="R1370">
        <v>3</v>
      </c>
      <c r="S1370">
        <v>1</v>
      </c>
      <c r="U1370" t="s">
        <v>49</v>
      </c>
      <c r="V1370">
        <v>1</v>
      </c>
    </row>
    <row r="1371" spans="2:22" x14ac:dyDescent="0.25">
      <c r="B1371">
        <v>13</v>
      </c>
      <c r="C1371">
        <f>IF(Adecco_India[[#This Row],[Attrition]]="Yes",1,0)</f>
        <v>1</v>
      </c>
      <c r="F1371">
        <v>28</v>
      </c>
      <c r="G1371">
        <v>3</v>
      </c>
      <c r="J1371">
        <v>3</v>
      </c>
      <c r="K1371">
        <v>3</v>
      </c>
      <c r="N1371">
        <v>2</v>
      </c>
      <c r="O1371">
        <v>3</v>
      </c>
      <c r="Q1371">
        <v>2</v>
      </c>
      <c r="R1371">
        <v>3</v>
      </c>
      <c r="S1371">
        <v>1</v>
      </c>
      <c r="U1371" t="s">
        <v>59</v>
      </c>
      <c r="V1371">
        <v>1</v>
      </c>
    </row>
    <row r="1372" spans="2:22" x14ac:dyDescent="0.25">
      <c r="B1372">
        <v>14</v>
      </c>
      <c r="C1372">
        <f>IF(Adecco_India[[#This Row],[Attrition]]="Yes",1,0)</f>
        <v>0</v>
      </c>
      <c r="F1372">
        <v>47</v>
      </c>
      <c r="G1372">
        <v>2</v>
      </c>
      <c r="J1372">
        <v>4</v>
      </c>
      <c r="K1372">
        <v>3</v>
      </c>
      <c r="N1372">
        <v>8</v>
      </c>
      <c r="O1372">
        <v>2</v>
      </c>
      <c r="Q1372">
        <v>1</v>
      </c>
      <c r="R1372">
        <v>3</v>
      </c>
      <c r="S1372">
        <v>1</v>
      </c>
      <c r="U1372" t="s">
        <v>60</v>
      </c>
      <c r="V1372">
        <v>1</v>
      </c>
    </row>
    <row r="1373" spans="2:22" x14ac:dyDescent="0.25">
      <c r="B1373">
        <v>11</v>
      </c>
      <c r="C1373">
        <f>IF(Adecco_India[[#This Row],[Attrition]]="Yes",1,0)</f>
        <v>0</v>
      </c>
      <c r="F1373">
        <v>56</v>
      </c>
      <c r="G1373">
        <v>1</v>
      </c>
      <c r="J1373">
        <v>3</v>
      </c>
      <c r="K1373">
        <v>3</v>
      </c>
      <c r="N1373">
        <v>0</v>
      </c>
      <c r="O1373">
        <v>1</v>
      </c>
      <c r="Q1373">
        <v>0</v>
      </c>
      <c r="R1373">
        <v>3</v>
      </c>
      <c r="S1373">
        <v>1</v>
      </c>
      <c r="U1373" t="s">
        <v>59</v>
      </c>
      <c r="V1373">
        <v>1</v>
      </c>
    </row>
    <row r="1374" spans="2:22" x14ac:dyDescent="0.25">
      <c r="B1374">
        <v>9</v>
      </c>
      <c r="C1374">
        <f>IF(Adecco_India[[#This Row],[Attrition]]="Yes",1,0)</f>
        <v>0</v>
      </c>
      <c r="F1374">
        <v>39</v>
      </c>
      <c r="G1374">
        <v>1</v>
      </c>
      <c r="J1374">
        <v>3</v>
      </c>
      <c r="K1374">
        <v>4</v>
      </c>
      <c r="N1374">
        <v>10</v>
      </c>
      <c r="O1374">
        <v>1</v>
      </c>
      <c r="Q1374">
        <v>7</v>
      </c>
      <c r="R1374">
        <v>4</v>
      </c>
      <c r="S1374">
        <v>1</v>
      </c>
      <c r="U1374" t="s">
        <v>51</v>
      </c>
      <c r="V1374">
        <v>1</v>
      </c>
    </row>
    <row r="1375" spans="2:22" x14ac:dyDescent="0.25">
      <c r="B1375">
        <v>8</v>
      </c>
      <c r="C1375">
        <f>IF(Adecco_India[[#This Row],[Attrition]]="Yes",1,0)</f>
        <v>0</v>
      </c>
      <c r="F1375">
        <v>38</v>
      </c>
      <c r="G1375">
        <v>2</v>
      </c>
      <c r="J1375">
        <v>3</v>
      </c>
      <c r="K1375">
        <v>3</v>
      </c>
      <c r="N1375">
        <v>20</v>
      </c>
      <c r="O1375">
        <v>2</v>
      </c>
      <c r="Q1375">
        <v>0</v>
      </c>
      <c r="R1375">
        <v>3</v>
      </c>
      <c r="S1375">
        <v>1</v>
      </c>
      <c r="U1375" t="s">
        <v>51</v>
      </c>
      <c r="V1375">
        <v>1</v>
      </c>
    </row>
    <row r="1376" spans="2:22" x14ac:dyDescent="0.25">
      <c r="B1376">
        <v>21</v>
      </c>
      <c r="C1376">
        <f>IF(Adecco_India[[#This Row],[Attrition]]="Yes",1,0)</f>
        <v>0</v>
      </c>
      <c r="F1376">
        <v>58</v>
      </c>
      <c r="G1376">
        <v>4</v>
      </c>
      <c r="J1376">
        <v>2</v>
      </c>
      <c r="K1376">
        <v>3</v>
      </c>
      <c r="N1376">
        <v>1</v>
      </c>
      <c r="O1376">
        <v>4</v>
      </c>
      <c r="Q1376">
        <v>0</v>
      </c>
      <c r="R1376">
        <v>3</v>
      </c>
      <c r="S1376">
        <v>1</v>
      </c>
      <c r="U1376" t="s">
        <v>38</v>
      </c>
      <c r="V1376">
        <v>1</v>
      </c>
    </row>
    <row r="1377" spans="2:22" x14ac:dyDescent="0.25">
      <c r="B1377">
        <v>5</v>
      </c>
      <c r="C1377">
        <f>IF(Adecco_India[[#This Row],[Attrition]]="Yes",1,0)</f>
        <v>1</v>
      </c>
      <c r="F1377">
        <v>32</v>
      </c>
      <c r="G1377">
        <v>3</v>
      </c>
      <c r="J1377">
        <v>3</v>
      </c>
      <c r="K1377">
        <v>3</v>
      </c>
      <c r="N1377">
        <v>4</v>
      </c>
      <c r="O1377">
        <v>3</v>
      </c>
      <c r="Q1377">
        <v>0</v>
      </c>
      <c r="R1377">
        <v>3</v>
      </c>
      <c r="S1377">
        <v>1</v>
      </c>
      <c r="U1377" t="s">
        <v>38</v>
      </c>
      <c r="V1377">
        <v>1</v>
      </c>
    </row>
    <row r="1378" spans="2:22" x14ac:dyDescent="0.25">
      <c r="B1378">
        <v>9</v>
      </c>
      <c r="C1378">
        <f>IF(Adecco_India[[#This Row],[Attrition]]="Yes",1,0)</f>
        <v>0</v>
      </c>
      <c r="F1378">
        <v>38</v>
      </c>
      <c r="G1378">
        <v>4</v>
      </c>
      <c r="J1378">
        <v>4</v>
      </c>
      <c r="K1378">
        <v>3</v>
      </c>
      <c r="N1378">
        <v>5</v>
      </c>
      <c r="O1378">
        <v>4</v>
      </c>
      <c r="Q1378">
        <v>0</v>
      </c>
      <c r="R1378">
        <v>3</v>
      </c>
      <c r="S1378">
        <v>1</v>
      </c>
      <c r="U1378" t="s">
        <v>38</v>
      </c>
      <c r="V1378">
        <v>1</v>
      </c>
    </row>
    <row r="1379" spans="2:22" x14ac:dyDescent="0.25">
      <c r="B1379">
        <v>2</v>
      </c>
      <c r="C1379">
        <f>IF(Adecco_India[[#This Row],[Attrition]]="Yes",1,0)</f>
        <v>0</v>
      </c>
      <c r="F1379">
        <v>49</v>
      </c>
      <c r="G1379">
        <v>4</v>
      </c>
      <c r="J1379">
        <v>3</v>
      </c>
      <c r="K1379">
        <v>3</v>
      </c>
      <c r="N1379">
        <v>5</v>
      </c>
      <c r="O1379">
        <v>4</v>
      </c>
      <c r="Q1379">
        <v>4</v>
      </c>
      <c r="R1379">
        <v>3</v>
      </c>
      <c r="S1379">
        <v>1</v>
      </c>
      <c r="U1379" t="s">
        <v>38</v>
      </c>
      <c r="V1379">
        <v>1</v>
      </c>
    </row>
    <row r="1380" spans="2:22" x14ac:dyDescent="0.25">
      <c r="B1380">
        <v>12</v>
      </c>
      <c r="C1380">
        <f>IF(Adecco_India[[#This Row],[Attrition]]="Yes",1,0)</f>
        <v>0</v>
      </c>
      <c r="F1380">
        <v>42</v>
      </c>
      <c r="G1380">
        <v>4</v>
      </c>
      <c r="J1380">
        <v>3</v>
      </c>
      <c r="K1380">
        <v>3</v>
      </c>
      <c r="N1380">
        <v>0</v>
      </c>
      <c r="O1380">
        <v>4</v>
      </c>
      <c r="Q1380">
        <v>0</v>
      </c>
      <c r="R1380">
        <v>3</v>
      </c>
      <c r="S1380">
        <v>1</v>
      </c>
      <c r="U1380" t="s">
        <v>59</v>
      </c>
      <c r="V1380">
        <v>1</v>
      </c>
    </row>
    <row r="1381" spans="2:22" x14ac:dyDescent="0.25">
      <c r="B1381">
        <v>22</v>
      </c>
      <c r="C1381">
        <f>IF(Adecco_India[[#This Row],[Attrition]]="Yes",1,0)</f>
        <v>1</v>
      </c>
      <c r="F1381">
        <v>27</v>
      </c>
      <c r="G1381">
        <v>2</v>
      </c>
      <c r="J1381">
        <v>3</v>
      </c>
      <c r="K1381">
        <v>3</v>
      </c>
      <c r="N1381">
        <v>1</v>
      </c>
      <c r="O1381">
        <v>2</v>
      </c>
      <c r="Q1381">
        <v>0</v>
      </c>
      <c r="R1381">
        <v>3</v>
      </c>
      <c r="S1381">
        <v>1</v>
      </c>
      <c r="U1381" t="s">
        <v>61</v>
      </c>
      <c r="V1381">
        <v>1</v>
      </c>
    </row>
    <row r="1382" spans="2:22" x14ac:dyDescent="0.25">
      <c r="B1382">
        <v>18</v>
      </c>
      <c r="C1382">
        <f>IF(Adecco_India[[#This Row],[Attrition]]="Yes",1,0)</f>
        <v>0</v>
      </c>
      <c r="F1382">
        <v>35</v>
      </c>
      <c r="G1382">
        <v>1</v>
      </c>
      <c r="J1382">
        <v>1</v>
      </c>
      <c r="K1382">
        <v>3</v>
      </c>
      <c r="N1382">
        <v>5</v>
      </c>
      <c r="O1382">
        <v>1</v>
      </c>
      <c r="Q1382">
        <v>0</v>
      </c>
      <c r="R1382">
        <v>3</v>
      </c>
      <c r="S1382">
        <v>1</v>
      </c>
      <c r="U1382" t="s">
        <v>51</v>
      </c>
      <c r="V1382">
        <v>1</v>
      </c>
    </row>
    <row r="1383" spans="2:22" x14ac:dyDescent="0.25">
      <c r="B1383">
        <v>16</v>
      </c>
      <c r="C1383">
        <f>IF(Adecco_India[[#This Row],[Attrition]]="Yes",1,0)</f>
        <v>0</v>
      </c>
      <c r="F1383">
        <v>28</v>
      </c>
      <c r="G1383">
        <v>3</v>
      </c>
      <c r="J1383">
        <v>2</v>
      </c>
      <c r="K1383">
        <v>3</v>
      </c>
      <c r="N1383">
        <v>5</v>
      </c>
      <c r="O1383">
        <v>3</v>
      </c>
      <c r="Q1383">
        <v>1</v>
      </c>
      <c r="R1383">
        <v>3</v>
      </c>
      <c r="S1383">
        <v>1</v>
      </c>
      <c r="U1383" t="s">
        <v>51</v>
      </c>
      <c r="V1383">
        <v>1</v>
      </c>
    </row>
    <row r="1384" spans="2:22" x14ac:dyDescent="0.25">
      <c r="B1384">
        <v>3</v>
      </c>
      <c r="C1384">
        <f>IF(Adecco_India[[#This Row],[Attrition]]="Yes",1,0)</f>
        <v>0</v>
      </c>
      <c r="F1384">
        <v>31</v>
      </c>
      <c r="G1384">
        <v>1</v>
      </c>
      <c r="J1384">
        <v>4</v>
      </c>
      <c r="K1384">
        <v>3</v>
      </c>
      <c r="N1384">
        <v>4</v>
      </c>
      <c r="O1384">
        <v>1</v>
      </c>
      <c r="Q1384">
        <v>2</v>
      </c>
      <c r="R1384">
        <v>3</v>
      </c>
      <c r="S1384">
        <v>1</v>
      </c>
      <c r="U1384" t="s">
        <v>51</v>
      </c>
      <c r="V1384">
        <v>1</v>
      </c>
    </row>
    <row r="1385" spans="2:22" x14ac:dyDescent="0.25">
      <c r="B1385">
        <v>9</v>
      </c>
      <c r="C1385">
        <f>IF(Adecco_India[[#This Row],[Attrition]]="Yes",1,0)</f>
        <v>0</v>
      </c>
      <c r="F1385">
        <v>36</v>
      </c>
      <c r="G1385">
        <v>2</v>
      </c>
      <c r="J1385">
        <v>3</v>
      </c>
      <c r="K1385">
        <v>4</v>
      </c>
      <c r="N1385">
        <v>5</v>
      </c>
      <c r="O1385">
        <v>2</v>
      </c>
      <c r="Q1385">
        <v>0</v>
      </c>
      <c r="R1385">
        <v>4</v>
      </c>
      <c r="S1385">
        <v>1</v>
      </c>
      <c r="U1385" t="s">
        <v>38</v>
      </c>
      <c r="V1385">
        <v>1</v>
      </c>
    </row>
    <row r="1386" spans="2:22" x14ac:dyDescent="0.25">
      <c r="B1386">
        <v>1</v>
      </c>
      <c r="C1386">
        <f>IF(Adecco_India[[#This Row],[Attrition]]="Yes",1,0)</f>
        <v>0</v>
      </c>
      <c r="F1386">
        <v>34</v>
      </c>
      <c r="G1386">
        <v>4</v>
      </c>
      <c r="J1386">
        <v>2</v>
      </c>
      <c r="K1386">
        <v>4</v>
      </c>
      <c r="N1386">
        <v>14</v>
      </c>
      <c r="O1386">
        <v>4</v>
      </c>
      <c r="Q1386">
        <v>2</v>
      </c>
      <c r="R1386">
        <v>4</v>
      </c>
      <c r="S1386">
        <v>1</v>
      </c>
      <c r="U1386" t="s">
        <v>59</v>
      </c>
      <c r="V1386">
        <v>1</v>
      </c>
    </row>
    <row r="1387" spans="2:22" x14ac:dyDescent="0.25">
      <c r="B1387">
        <v>13</v>
      </c>
      <c r="C1387">
        <f>IF(Adecco_India[[#This Row],[Attrition]]="Yes",1,0)</f>
        <v>0</v>
      </c>
      <c r="F1387">
        <v>34</v>
      </c>
      <c r="G1387">
        <v>3</v>
      </c>
      <c r="J1387">
        <v>2</v>
      </c>
      <c r="K1387">
        <v>3</v>
      </c>
      <c r="N1387">
        <v>8</v>
      </c>
      <c r="O1387">
        <v>3</v>
      </c>
      <c r="Q1387">
        <v>1</v>
      </c>
      <c r="R1387">
        <v>3</v>
      </c>
      <c r="S1387">
        <v>1</v>
      </c>
      <c r="U1387" t="s">
        <v>51</v>
      </c>
      <c r="V1387">
        <v>1</v>
      </c>
    </row>
    <row r="1388" spans="2:22" x14ac:dyDescent="0.25">
      <c r="B1388">
        <v>1</v>
      </c>
      <c r="C1388">
        <f>IF(Adecco_India[[#This Row],[Attrition]]="Yes",1,0)</f>
        <v>0</v>
      </c>
      <c r="F1388">
        <v>26</v>
      </c>
      <c r="G1388">
        <v>1</v>
      </c>
      <c r="J1388">
        <v>2</v>
      </c>
      <c r="K1388">
        <v>3</v>
      </c>
      <c r="N1388">
        <v>7</v>
      </c>
      <c r="O1388">
        <v>1</v>
      </c>
      <c r="Q1388">
        <v>7</v>
      </c>
      <c r="R1388">
        <v>3</v>
      </c>
      <c r="S1388">
        <v>1</v>
      </c>
      <c r="U1388" t="s">
        <v>51</v>
      </c>
      <c r="V1388">
        <v>1</v>
      </c>
    </row>
    <row r="1389" spans="2:22" x14ac:dyDescent="0.25">
      <c r="B1389">
        <v>1</v>
      </c>
      <c r="C1389">
        <f>IF(Adecco_India[[#This Row],[Attrition]]="Yes",1,0)</f>
        <v>0</v>
      </c>
      <c r="F1389">
        <v>29</v>
      </c>
      <c r="G1389">
        <v>1</v>
      </c>
      <c r="J1389">
        <v>2</v>
      </c>
      <c r="K1389">
        <v>3</v>
      </c>
      <c r="N1389">
        <v>5</v>
      </c>
      <c r="O1389">
        <v>1</v>
      </c>
      <c r="Q1389">
        <v>0</v>
      </c>
      <c r="R1389">
        <v>3</v>
      </c>
      <c r="S1389">
        <v>1</v>
      </c>
      <c r="U1389" t="s">
        <v>38</v>
      </c>
      <c r="V1389">
        <v>1</v>
      </c>
    </row>
    <row r="1390" spans="2:22" x14ac:dyDescent="0.25">
      <c r="B1390">
        <v>15</v>
      </c>
      <c r="C1390">
        <f>IF(Adecco_India[[#This Row],[Attrition]]="Yes",1,0)</f>
        <v>0</v>
      </c>
      <c r="F1390">
        <v>32</v>
      </c>
      <c r="G1390">
        <v>4</v>
      </c>
      <c r="J1390">
        <v>3</v>
      </c>
      <c r="K1390">
        <v>3</v>
      </c>
      <c r="N1390">
        <v>5</v>
      </c>
      <c r="O1390">
        <v>4</v>
      </c>
      <c r="Q1390">
        <v>1</v>
      </c>
      <c r="R1390">
        <v>3</v>
      </c>
      <c r="S1390">
        <v>1</v>
      </c>
      <c r="U1390" t="s">
        <v>51</v>
      </c>
      <c r="V1390">
        <v>1</v>
      </c>
    </row>
    <row r="1391" spans="2:22" x14ac:dyDescent="0.25">
      <c r="B1391">
        <v>1</v>
      </c>
      <c r="C1391">
        <f>IF(Adecco_India[[#This Row],[Attrition]]="Yes",1,0)</f>
        <v>0</v>
      </c>
      <c r="F1391">
        <v>31</v>
      </c>
      <c r="G1391">
        <v>1</v>
      </c>
      <c r="J1391">
        <v>3</v>
      </c>
      <c r="K1391">
        <v>4</v>
      </c>
      <c r="N1391">
        <v>10</v>
      </c>
      <c r="O1391">
        <v>1</v>
      </c>
      <c r="Q1391">
        <v>8</v>
      </c>
      <c r="R1391">
        <v>4</v>
      </c>
      <c r="S1391">
        <v>1</v>
      </c>
      <c r="U1391" t="s">
        <v>38</v>
      </c>
      <c r="V1391">
        <v>1</v>
      </c>
    </row>
    <row r="1392" spans="2:22" x14ac:dyDescent="0.25">
      <c r="B1392">
        <v>17</v>
      </c>
      <c r="C1392">
        <f>IF(Adecco_India[[#This Row],[Attrition]]="Yes",1,0)</f>
        <v>1</v>
      </c>
      <c r="F1392">
        <v>28</v>
      </c>
      <c r="G1392">
        <v>4</v>
      </c>
      <c r="J1392">
        <v>2</v>
      </c>
      <c r="K1392">
        <v>3</v>
      </c>
      <c r="N1392">
        <v>4</v>
      </c>
      <c r="O1392">
        <v>4</v>
      </c>
      <c r="Q1392">
        <v>0</v>
      </c>
      <c r="R1392">
        <v>3</v>
      </c>
      <c r="S1392">
        <v>1</v>
      </c>
      <c r="U1392" t="s">
        <v>60</v>
      </c>
      <c r="V1392">
        <v>1</v>
      </c>
    </row>
    <row r="1393" spans="2:22" x14ac:dyDescent="0.25">
      <c r="B1393">
        <v>1</v>
      </c>
      <c r="C1393">
        <f>IF(Adecco_India[[#This Row],[Attrition]]="Yes",1,0)</f>
        <v>0</v>
      </c>
      <c r="F1393">
        <v>38</v>
      </c>
      <c r="G1393">
        <v>1</v>
      </c>
      <c r="J1393">
        <v>2</v>
      </c>
      <c r="K1393">
        <v>3</v>
      </c>
      <c r="N1393">
        <v>1</v>
      </c>
      <c r="O1393">
        <v>1</v>
      </c>
      <c r="Q1393">
        <v>0</v>
      </c>
      <c r="R1393">
        <v>3</v>
      </c>
      <c r="S1393">
        <v>1</v>
      </c>
      <c r="U1393" t="s">
        <v>38</v>
      </c>
      <c r="V1393">
        <v>1</v>
      </c>
    </row>
    <row r="1394" spans="2:22" x14ac:dyDescent="0.25">
      <c r="B1394">
        <v>7</v>
      </c>
      <c r="C1394">
        <f>IF(Adecco_India[[#This Row],[Attrition]]="Yes",1,0)</f>
        <v>0</v>
      </c>
      <c r="F1394">
        <v>35</v>
      </c>
      <c r="G1394">
        <v>4</v>
      </c>
      <c r="J1394">
        <v>3</v>
      </c>
      <c r="K1394">
        <v>3</v>
      </c>
      <c r="N1394">
        <v>10</v>
      </c>
      <c r="O1394">
        <v>4</v>
      </c>
      <c r="Q1394">
        <v>0</v>
      </c>
      <c r="R1394">
        <v>3</v>
      </c>
      <c r="S1394">
        <v>1</v>
      </c>
      <c r="U1394" t="s">
        <v>38</v>
      </c>
      <c r="V1394">
        <v>1</v>
      </c>
    </row>
    <row r="1395" spans="2:22" x14ac:dyDescent="0.25">
      <c r="B1395">
        <v>9</v>
      </c>
      <c r="C1395">
        <f>IF(Adecco_India[[#This Row],[Attrition]]="Yes",1,0)</f>
        <v>0</v>
      </c>
      <c r="F1395">
        <v>27</v>
      </c>
      <c r="G1395">
        <v>4</v>
      </c>
      <c r="J1395">
        <v>3</v>
      </c>
      <c r="K1395">
        <v>3</v>
      </c>
      <c r="N1395">
        <v>7</v>
      </c>
      <c r="O1395">
        <v>4</v>
      </c>
      <c r="Q1395">
        <v>0</v>
      </c>
      <c r="R1395">
        <v>3</v>
      </c>
      <c r="S1395">
        <v>1</v>
      </c>
      <c r="U1395" t="s">
        <v>59</v>
      </c>
      <c r="V1395">
        <v>1</v>
      </c>
    </row>
    <row r="1396" spans="2:22" x14ac:dyDescent="0.25">
      <c r="B1396">
        <v>5</v>
      </c>
      <c r="C1396">
        <f>IF(Adecco_India[[#This Row],[Attrition]]="Yes",1,0)</f>
        <v>0</v>
      </c>
      <c r="F1396">
        <v>32</v>
      </c>
      <c r="G1396">
        <v>4</v>
      </c>
      <c r="J1396">
        <v>3</v>
      </c>
      <c r="K1396">
        <v>4</v>
      </c>
      <c r="N1396">
        <v>1</v>
      </c>
      <c r="O1396">
        <v>4</v>
      </c>
      <c r="Q1396">
        <v>0</v>
      </c>
      <c r="R1396">
        <v>4</v>
      </c>
      <c r="S1396">
        <v>1</v>
      </c>
      <c r="U1396" t="s">
        <v>38</v>
      </c>
      <c r="V1396">
        <v>1</v>
      </c>
    </row>
    <row r="1397" spans="2:22" x14ac:dyDescent="0.25">
      <c r="B1397">
        <v>26</v>
      </c>
      <c r="C1397">
        <f>IF(Adecco_India[[#This Row],[Attrition]]="Yes",1,0)</f>
        <v>1</v>
      </c>
      <c r="F1397">
        <v>31</v>
      </c>
      <c r="G1397">
        <v>4</v>
      </c>
      <c r="J1397">
        <v>3</v>
      </c>
      <c r="K1397">
        <v>3</v>
      </c>
      <c r="N1397">
        <v>10</v>
      </c>
      <c r="O1397">
        <v>4</v>
      </c>
      <c r="Q1397">
        <v>0</v>
      </c>
      <c r="R1397">
        <v>3</v>
      </c>
      <c r="S1397">
        <v>1</v>
      </c>
      <c r="U1397" t="s">
        <v>59</v>
      </c>
      <c r="V1397">
        <v>1</v>
      </c>
    </row>
    <row r="1398" spans="2:22" x14ac:dyDescent="0.25">
      <c r="B1398">
        <v>24</v>
      </c>
      <c r="C1398">
        <f>IF(Adecco_India[[#This Row],[Attrition]]="Yes",1,0)</f>
        <v>1</v>
      </c>
      <c r="F1398">
        <v>53</v>
      </c>
      <c r="G1398">
        <v>1</v>
      </c>
      <c r="J1398">
        <v>2</v>
      </c>
      <c r="K1398">
        <v>3</v>
      </c>
      <c r="N1398">
        <v>2</v>
      </c>
      <c r="O1398">
        <v>1</v>
      </c>
      <c r="Q1398">
        <v>2</v>
      </c>
      <c r="R1398">
        <v>3</v>
      </c>
      <c r="S1398">
        <v>1</v>
      </c>
      <c r="U1398" t="s">
        <v>38</v>
      </c>
      <c r="V1398">
        <v>1</v>
      </c>
    </row>
    <row r="1399" spans="2:22" x14ac:dyDescent="0.25">
      <c r="B1399">
        <v>9</v>
      </c>
      <c r="C1399">
        <f>IF(Adecco_India[[#This Row],[Attrition]]="Yes",1,0)</f>
        <v>0</v>
      </c>
      <c r="F1399">
        <v>54</v>
      </c>
      <c r="G1399">
        <v>3</v>
      </c>
      <c r="J1399">
        <v>2</v>
      </c>
      <c r="K1399">
        <v>3</v>
      </c>
      <c r="N1399">
        <v>4</v>
      </c>
      <c r="O1399">
        <v>3</v>
      </c>
      <c r="Q1399">
        <v>2</v>
      </c>
      <c r="R1399">
        <v>3</v>
      </c>
      <c r="S1399">
        <v>1</v>
      </c>
      <c r="U1399" t="s">
        <v>38</v>
      </c>
      <c r="V1399">
        <v>1</v>
      </c>
    </row>
    <row r="1400" spans="2:22" x14ac:dyDescent="0.25">
      <c r="B1400">
        <v>7</v>
      </c>
      <c r="C1400">
        <f>IF(Adecco_India[[#This Row],[Attrition]]="Yes",1,0)</f>
        <v>0</v>
      </c>
      <c r="F1400">
        <v>33</v>
      </c>
      <c r="G1400">
        <v>3</v>
      </c>
      <c r="J1400">
        <v>3</v>
      </c>
      <c r="K1400">
        <v>4</v>
      </c>
      <c r="N1400">
        <v>9</v>
      </c>
      <c r="O1400">
        <v>3</v>
      </c>
      <c r="Q1400">
        <v>2</v>
      </c>
      <c r="R1400">
        <v>4</v>
      </c>
      <c r="S1400">
        <v>1</v>
      </c>
      <c r="U1400" t="s">
        <v>38</v>
      </c>
      <c r="V1400">
        <v>1</v>
      </c>
    </row>
    <row r="1401" spans="2:22" x14ac:dyDescent="0.25">
      <c r="B1401">
        <v>11</v>
      </c>
      <c r="C1401">
        <f>IF(Adecco_India[[#This Row],[Attrition]]="Yes",1,0)</f>
        <v>0</v>
      </c>
      <c r="F1401">
        <v>43</v>
      </c>
      <c r="G1401">
        <v>3</v>
      </c>
      <c r="J1401">
        <v>3</v>
      </c>
      <c r="K1401">
        <v>3</v>
      </c>
      <c r="N1401">
        <v>10</v>
      </c>
      <c r="O1401">
        <v>3</v>
      </c>
      <c r="Q1401">
        <v>0</v>
      </c>
      <c r="R1401">
        <v>3</v>
      </c>
      <c r="S1401">
        <v>1</v>
      </c>
      <c r="U1401" t="s">
        <v>38</v>
      </c>
      <c r="V1401">
        <v>1</v>
      </c>
    </row>
    <row r="1402" spans="2:22" x14ac:dyDescent="0.25">
      <c r="B1402">
        <v>1</v>
      </c>
      <c r="C1402">
        <f>IF(Adecco_India[[#This Row],[Attrition]]="Yes",1,0)</f>
        <v>0</v>
      </c>
      <c r="F1402">
        <v>38</v>
      </c>
      <c r="G1402">
        <v>2</v>
      </c>
      <c r="J1402">
        <v>3</v>
      </c>
      <c r="K1402">
        <v>3</v>
      </c>
      <c r="N1402">
        <v>6</v>
      </c>
      <c r="O1402">
        <v>2</v>
      </c>
      <c r="Q1402">
        <v>1</v>
      </c>
      <c r="R1402">
        <v>3</v>
      </c>
      <c r="S1402">
        <v>1</v>
      </c>
      <c r="U1402" t="s">
        <v>49</v>
      </c>
      <c r="V1402">
        <v>1</v>
      </c>
    </row>
    <row r="1403" spans="2:22" x14ac:dyDescent="0.25">
      <c r="B1403">
        <v>26</v>
      </c>
      <c r="C1403">
        <f>IF(Adecco_India[[#This Row],[Attrition]]="Yes",1,0)</f>
        <v>0</v>
      </c>
      <c r="F1403">
        <v>55</v>
      </c>
      <c r="G1403">
        <v>2</v>
      </c>
      <c r="J1403">
        <v>3</v>
      </c>
      <c r="K1403">
        <v>3</v>
      </c>
      <c r="N1403">
        <v>10</v>
      </c>
      <c r="O1403">
        <v>2</v>
      </c>
      <c r="Q1403">
        <v>1</v>
      </c>
      <c r="R1403">
        <v>3</v>
      </c>
      <c r="S1403">
        <v>1</v>
      </c>
      <c r="U1403" t="s">
        <v>61</v>
      </c>
      <c r="V1403">
        <v>1</v>
      </c>
    </row>
    <row r="1404" spans="2:22" x14ac:dyDescent="0.25">
      <c r="B1404">
        <v>2</v>
      </c>
      <c r="C1404">
        <f>IF(Adecco_India[[#This Row],[Attrition]]="Yes",1,0)</f>
        <v>0</v>
      </c>
      <c r="F1404">
        <v>31</v>
      </c>
      <c r="G1404">
        <v>4</v>
      </c>
      <c r="J1404">
        <v>3</v>
      </c>
      <c r="K1404">
        <v>3</v>
      </c>
      <c r="N1404">
        <v>1</v>
      </c>
      <c r="O1404">
        <v>4</v>
      </c>
      <c r="Q1404">
        <v>0</v>
      </c>
      <c r="R1404">
        <v>3</v>
      </c>
      <c r="S1404">
        <v>1</v>
      </c>
      <c r="U1404" t="s">
        <v>51</v>
      </c>
      <c r="V1404">
        <v>1</v>
      </c>
    </row>
    <row r="1405" spans="2:22" x14ac:dyDescent="0.25">
      <c r="B1405">
        <v>15</v>
      </c>
      <c r="C1405">
        <f>IF(Adecco_India[[#This Row],[Attrition]]="Yes",1,0)</f>
        <v>0</v>
      </c>
      <c r="F1405">
        <v>39</v>
      </c>
      <c r="G1405">
        <v>1</v>
      </c>
      <c r="J1405">
        <v>3</v>
      </c>
      <c r="K1405">
        <v>3</v>
      </c>
      <c r="N1405">
        <v>20</v>
      </c>
      <c r="O1405">
        <v>1</v>
      </c>
      <c r="Q1405">
        <v>11</v>
      </c>
      <c r="R1405">
        <v>3</v>
      </c>
      <c r="S1405">
        <v>1</v>
      </c>
      <c r="U1405" t="s">
        <v>59</v>
      </c>
      <c r="V1405">
        <v>1</v>
      </c>
    </row>
    <row r="1406" spans="2:22" x14ac:dyDescent="0.25">
      <c r="B1406">
        <v>23</v>
      </c>
      <c r="C1406">
        <f>IF(Adecco_India[[#This Row],[Attrition]]="Yes",1,0)</f>
        <v>0</v>
      </c>
      <c r="F1406">
        <v>42</v>
      </c>
      <c r="G1406">
        <v>3</v>
      </c>
      <c r="J1406">
        <v>3</v>
      </c>
      <c r="K1406">
        <v>3</v>
      </c>
      <c r="N1406">
        <v>20</v>
      </c>
      <c r="O1406">
        <v>3</v>
      </c>
      <c r="Q1406">
        <v>3</v>
      </c>
      <c r="R1406">
        <v>3</v>
      </c>
      <c r="S1406">
        <v>1</v>
      </c>
      <c r="U1406" t="s">
        <v>38</v>
      </c>
      <c r="V1406">
        <v>1</v>
      </c>
    </row>
    <row r="1407" spans="2:22" x14ac:dyDescent="0.25">
      <c r="B1407">
        <v>10</v>
      </c>
      <c r="C1407">
        <f>IF(Adecco_India[[#This Row],[Attrition]]="Yes",1,0)</f>
        <v>0</v>
      </c>
      <c r="F1407">
        <v>31</v>
      </c>
      <c r="G1407">
        <v>3</v>
      </c>
      <c r="J1407">
        <v>4</v>
      </c>
      <c r="K1407">
        <v>4</v>
      </c>
      <c r="N1407">
        <v>11</v>
      </c>
      <c r="O1407">
        <v>3</v>
      </c>
      <c r="Q1407">
        <v>4</v>
      </c>
      <c r="R1407">
        <v>4</v>
      </c>
      <c r="S1407">
        <v>1</v>
      </c>
      <c r="U1407" t="s">
        <v>51</v>
      </c>
      <c r="V1407">
        <v>1</v>
      </c>
    </row>
    <row r="1408" spans="2:22" x14ac:dyDescent="0.25">
      <c r="B1408">
        <v>10</v>
      </c>
      <c r="C1408">
        <f>IF(Adecco_India[[#This Row],[Attrition]]="Yes",1,0)</f>
        <v>0</v>
      </c>
      <c r="F1408">
        <v>54</v>
      </c>
      <c r="G1408">
        <v>1</v>
      </c>
      <c r="J1408">
        <v>3</v>
      </c>
      <c r="K1408">
        <v>3</v>
      </c>
      <c r="N1408">
        <v>5</v>
      </c>
      <c r="O1408">
        <v>1</v>
      </c>
      <c r="Q1408">
        <v>1</v>
      </c>
      <c r="R1408">
        <v>3</v>
      </c>
      <c r="S1408">
        <v>1</v>
      </c>
      <c r="U1408" t="s">
        <v>51</v>
      </c>
      <c r="V1408">
        <v>1</v>
      </c>
    </row>
    <row r="1409" spans="2:22" x14ac:dyDescent="0.25">
      <c r="B1409">
        <v>1</v>
      </c>
      <c r="C1409">
        <f>IF(Adecco_India[[#This Row],[Attrition]]="Yes",1,0)</f>
        <v>0</v>
      </c>
      <c r="F1409">
        <v>24</v>
      </c>
      <c r="G1409">
        <v>3</v>
      </c>
      <c r="J1409">
        <v>2</v>
      </c>
      <c r="K1409">
        <v>3</v>
      </c>
      <c r="N1409">
        <v>4</v>
      </c>
      <c r="O1409">
        <v>3</v>
      </c>
      <c r="Q1409">
        <v>1</v>
      </c>
      <c r="R1409">
        <v>3</v>
      </c>
      <c r="S1409">
        <v>1</v>
      </c>
      <c r="U1409" t="s">
        <v>38</v>
      </c>
      <c r="V1409">
        <v>1</v>
      </c>
    </row>
    <row r="1410" spans="2:22" x14ac:dyDescent="0.25">
      <c r="B1410">
        <v>12</v>
      </c>
      <c r="C1410">
        <f>IF(Adecco_India[[#This Row],[Attrition]]="Yes",1,0)</f>
        <v>0</v>
      </c>
      <c r="F1410">
        <v>23</v>
      </c>
      <c r="G1410">
        <v>4</v>
      </c>
      <c r="J1410">
        <v>4</v>
      </c>
      <c r="K1410">
        <v>3</v>
      </c>
      <c r="N1410">
        <v>5</v>
      </c>
      <c r="O1410">
        <v>4</v>
      </c>
      <c r="Q1410">
        <v>1</v>
      </c>
      <c r="R1410">
        <v>3</v>
      </c>
      <c r="S1410">
        <v>1</v>
      </c>
      <c r="U1410" t="s">
        <v>49</v>
      </c>
      <c r="V1410">
        <v>1</v>
      </c>
    </row>
    <row r="1411" spans="2:22" x14ac:dyDescent="0.25">
      <c r="B1411">
        <v>11</v>
      </c>
      <c r="C1411">
        <f>IF(Adecco_India[[#This Row],[Attrition]]="Yes",1,0)</f>
        <v>0</v>
      </c>
      <c r="F1411">
        <v>40</v>
      </c>
      <c r="G1411">
        <v>3</v>
      </c>
      <c r="J1411">
        <v>4</v>
      </c>
      <c r="K1411">
        <v>3</v>
      </c>
      <c r="N1411">
        <v>10</v>
      </c>
      <c r="O1411">
        <v>3</v>
      </c>
      <c r="Q1411">
        <v>9</v>
      </c>
      <c r="R1411">
        <v>3</v>
      </c>
      <c r="S1411">
        <v>1</v>
      </c>
      <c r="U1411" t="s">
        <v>60</v>
      </c>
      <c r="V1411">
        <v>1</v>
      </c>
    </row>
    <row r="1412" spans="2:22" x14ac:dyDescent="0.25">
      <c r="B1412">
        <v>2</v>
      </c>
      <c r="C1412">
        <f>IF(Adecco_India[[#This Row],[Attrition]]="Yes",1,0)</f>
        <v>0</v>
      </c>
      <c r="F1412">
        <v>40</v>
      </c>
      <c r="G1412">
        <v>2</v>
      </c>
      <c r="J1412">
        <v>3</v>
      </c>
      <c r="K1412">
        <v>3</v>
      </c>
      <c r="N1412">
        <v>11</v>
      </c>
      <c r="O1412">
        <v>2</v>
      </c>
      <c r="Q1412">
        <v>5</v>
      </c>
      <c r="R1412">
        <v>3</v>
      </c>
      <c r="S1412">
        <v>1</v>
      </c>
      <c r="U1412" t="s">
        <v>59</v>
      </c>
      <c r="V1412">
        <v>1</v>
      </c>
    </row>
    <row r="1413" spans="2:22" x14ac:dyDescent="0.25">
      <c r="B1413">
        <v>2</v>
      </c>
      <c r="C1413">
        <f>IF(Adecco_India[[#This Row],[Attrition]]="Yes",1,0)</f>
        <v>0</v>
      </c>
      <c r="F1413">
        <v>25</v>
      </c>
      <c r="G1413">
        <v>2</v>
      </c>
      <c r="J1413">
        <v>3</v>
      </c>
      <c r="K1413">
        <v>3</v>
      </c>
      <c r="N1413">
        <v>2</v>
      </c>
      <c r="O1413">
        <v>2</v>
      </c>
      <c r="Q1413">
        <v>1</v>
      </c>
      <c r="R1413">
        <v>3</v>
      </c>
      <c r="S1413">
        <v>1</v>
      </c>
      <c r="U1413" t="s">
        <v>61</v>
      </c>
      <c r="V1413">
        <v>1</v>
      </c>
    </row>
    <row r="1414" spans="2:22" x14ac:dyDescent="0.25">
      <c r="B1414">
        <v>1</v>
      </c>
      <c r="C1414">
        <f>IF(Adecco_India[[#This Row],[Attrition]]="Yes",1,0)</f>
        <v>0</v>
      </c>
      <c r="F1414">
        <v>30</v>
      </c>
      <c r="G1414">
        <v>2</v>
      </c>
      <c r="J1414">
        <v>2</v>
      </c>
      <c r="K1414">
        <v>3</v>
      </c>
      <c r="N1414">
        <v>12</v>
      </c>
      <c r="O1414">
        <v>2</v>
      </c>
      <c r="Q1414">
        <v>1</v>
      </c>
      <c r="R1414">
        <v>3</v>
      </c>
      <c r="S1414">
        <v>1</v>
      </c>
      <c r="U1414" t="s">
        <v>51</v>
      </c>
      <c r="V1414">
        <v>1</v>
      </c>
    </row>
    <row r="1415" spans="2:22" x14ac:dyDescent="0.25">
      <c r="B1415">
        <v>2</v>
      </c>
      <c r="C1415">
        <f>IF(Adecco_India[[#This Row],[Attrition]]="Yes",1,0)</f>
        <v>0</v>
      </c>
      <c r="F1415">
        <v>25</v>
      </c>
      <c r="G1415">
        <v>3</v>
      </c>
      <c r="J1415">
        <v>2</v>
      </c>
      <c r="K1415">
        <v>3</v>
      </c>
      <c r="N1415">
        <v>2</v>
      </c>
      <c r="O1415">
        <v>3</v>
      </c>
      <c r="Q1415">
        <v>0</v>
      </c>
      <c r="R1415">
        <v>3</v>
      </c>
      <c r="S1415">
        <v>1</v>
      </c>
      <c r="U1415" t="s">
        <v>49</v>
      </c>
      <c r="V1415">
        <v>1</v>
      </c>
    </row>
    <row r="1416" spans="2:22" x14ac:dyDescent="0.25">
      <c r="B1416">
        <v>25</v>
      </c>
      <c r="C1416">
        <f>IF(Adecco_India[[#This Row],[Attrition]]="Yes",1,0)</f>
        <v>0</v>
      </c>
      <c r="F1416">
        <v>47</v>
      </c>
      <c r="G1416">
        <v>3</v>
      </c>
      <c r="J1416">
        <v>3</v>
      </c>
      <c r="K1416">
        <v>4</v>
      </c>
      <c r="N1416">
        <v>17</v>
      </c>
      <c r="O1416">
        <v>3</v>
      </c>
      <c r="Q1416">
        <v>12</v>
      </c>
      <c r="R1416">
        <v>4</v>
      </c>
      <c r="S1416">
        <v>1</v>
      </c>
      <c r="U1416" t="s">
        <v>51</v>
      </c>
      <c r="V1416">
        <v>1</v>
      </c>
    </row>
    <row r="1417" spans="2:22" x14ac:dyDescent="0.25">
      <c r="B1417">
        <v>1</v>
      </c>
      <c r="C1417">
        <f>IF(Adecco_India[[#This Row],[Attrition]]="Yes",1,0)</f>
        <v>0</v>
      </c>
      <c r="F1417">
        <v>33</v>
      </c>
      <c r="G1417">
        <v>3</v>
      </c>
      <c r="J1417">
        <v>2</v>
      </c>
      <c r="K1417">
        <v>3</v>
      </c>
      <c r="N1417">
        <v>1</v>
      </c>
      <c r="O1417">
        <v>3</v>
      </c>
      <c r="Q1417">
        <v>0</v>
      </c>
      <c r="R1417">
        <v>3</v>
      </c>
      <c r="S1417">
        <v>1</v>
      </c>
      <c r="U1417" t="s">
        <v>51</v>
      </c>
      <c r="V1417">
        <v>1</v>
      </c>
    </row>
    <row r="1418" spans="2:22" x14ac:dyDescent="0.25">
      <c r="B1418">
        <v>1</v>
      </c>
      <c r="C1418">
        <f>IF(Adecco_India[[#This Row],[Attrition]]="Yes",1,0)</f>
        <v>0</v>
      </c>
      <c r="F1418">
        <v>38</v>
      </c>
      <c r="G1418">
        <v>2</v>
      </c>
      <c r="J1418">
        <v>3</v>
      </c>
      <c r="K1418">
        <v>3</v>
      </c>
      <c r="N1418">
        <v>15</v>
      </c>
      <c r="O1418">
        <v>2</v>
      </c>
      <c r="Q1418">
        <v>5</v>
      </c>
      <c r="R1418">
        <v>3</v>
      </c>
      <c r="S1418">
        <v>1</v>
      </c>
      <c r="U1418" t="s">
        <v>38</v>
      </c>
      <c r="V1418">
        <v>1</v>
      </c>
    </row>
    <row r="1419" spans="2:22" x14ac:dyDescent="0.25">
      <c r="B1419">
        <v>2</v>
      </c>
      <c r="C1419">
        <f>IF(Adecco_India[[#This Row],[Attrition]]="Yes",1,0)</f>
        <v>0</v>
      </c>
      <c r="F1419">
        <v>31</v>
      </c>
      <c r="G1419">
        <v>3</v>
      </c>
      <c r="J1419">
        <v>3</v>
      </c>
      <c r="K1419">
        <v>3</v>
      </c>
      <c r="N1419">
        <v>2</v>
      </c>
      <c r="O1419">
        <v>3</v>
      </c>
      <c r="Q1419">
        <v>1</v>
      </c>
      <c r="R1419">
        <v>3</v>
      </c>
      <c r="S1419">
        <v>1</v>
      </c>
      <c r="U1419" t="s">
        <v>38</v>
      </c>
      <c r="V1419">
        <v>1</v>
      </c>
    </row>
    <row r="1420" spans="2:22" x14ac:dyDescent="0.25">
      <c r="B1420">
        <v>6</v>
      </c>
      <c r="C1420">
        <f>IF(Adecco_India[[#This Row],[Attrition]]="Yes",1,0)</f>
        <v>0</v>
      </c>
      <c r="F1420">
        <v>38</v>
      </c>
      <c r="G1420">
        <v>3</v>
      </c>
      <c r="J1420">
        <v>3</v>
      </c>
      <c r="K1420">
        <v>3</v>
      </c>
      <c r="N1420">
        <v>8</v>
      </c>
      <c r="O1420">
        <v>3</v>
      </c>
      <c r="Q1420">
        <v>7</v>
      </c>
      <c r="R1420">
        <v>3</v>
      </c>
      <c r="S1420">
        <v>1</v>
      </c>
      <c r="U1420" t="s">
        <v>38</v>
      </c>
      <c r="V1420">
        <v>1</v>
      </c>
    </row>
    <row r="1421" spans="2:22" x14ac:dyDescent="0.25">
      <c r="B1421">
        <v>18</v>
      </c>
      <c r="C1421">
        <f>IF(Adecco_India[[#This Row],[Attrition]]="Yes",1,0)</f>
        <v>0</v>
      </c>
      <c r="F1421">
        <v>42</v>
      </c>
      <c r="G1421">
        <v>1</v>
      </c>
      <c r="J1421">
        <v>2</v>
      </c>
      <c r="K1421">
        <v>3</v>
      </c>
      <c r="N1421">
        <v>4</v>
      </c>
      <c r="O1421">
        <v>1</v>
      </c>
      <c r="Q1421">
        <v>1</v>
      </c>
      <c r="R1421">
        <v>3</v>
      </c>
      <c r="S1421">
        <v>1</v>
      </c>
      <c r="U1421" t="s">
        <v>38</v>
      </c>
      <c r="V1421">
        <v>1</v>
      </c>
    </row>
    <row r="1422" spans="2:22" x14ac:dyDescent="0.25">
      <c r="B1422">
        <v>1</v>
      </c>
      <c r="C1422">
        <f>IF(Adecco_India[[#This Row],[Attrition]]="Yes",1,0)</f>
        <v>0</v>
      </c>
      <c r="F1422">
        <v>41</v>
      </c>
      <c r="G1422">
        <v>4</v>
      </c>
      <c r="J1422">
        <v>3</v>
      </c>
      <c r="K1422">
        <v>4</v>
      </c>
      <c r="N1422">
        <v>5</v>
      </c>
      <c r="O1422">
        <v>4</v>
      </c>
      <c r="Q1422">
        <v>1</v>
      </c>
      <c r="R1422">
        <v>4</v>
      </c>
      <c r="S1422">
        <v>1</v>
      </c>
      <c r="U1422" t="s">
        <v>38</v>
      </c>
      <c r="V1422">
        <v>1</v>
      </c>
    </row>
    <row r="1423" spans="2:22" x14ac:dyDescent="0.25">
      <c r="B1423">
        <v>1</v>
      </c>
      <c r="C1423">
        <f>IF(Adecco_India[[#This Row],[Attrition]]="Yes",1,0)</f>
        <v>0</v>
      </c>
      <c r="F1423">
        <v>47</v>
      </c>
      <c r="G1423">
        <v>2</v>
      </c>
      <c r="J1423">
        <v>1</v>
      </c>
      <c r="K1423">
        <v>3</v>
      </c>
      <c r="N1423">
        <v>13</v>
      </c>
      <c r="O1423">
        <v>2</v>
      </c>
      <c r="Q1423">
        <v>5</v>
      </c>
      <c r="R1423">
        <v>3</v>
      </c>
      <c r="S1423">
        <v>1</v>
      </c>
      <c r="U1423" t="s">
        <v>51</v>
      </c>
      <c r="V1423">
        <v>1</v>
      </c>
    </row>
    <row r="1424" spans="2:22" x14ac:dyDescent="0.25">
      <c r="B1424">
        <v>11</v>
      </c>
      <c r="C1424">
        <f>IF(Adecco_India[[#This Row],[Attrition]]="Yes",1,0)</f>
        <v>0</v>
      </c>
      <c r="F1424">
        <v>35</v>
      </c>
      <c r="G1424">
        <v>3</v>
      </c>
      <c r="J1424">
        <v>3</v>
      </c>
      <c r="K1424">
        <v>3</v>
      </c>
      <c r="N1424">
        <v>2</v>
      </c>
      <c r="O1424">
        <v>3</v>
      </c>
      <c r="Q1424">
        <v>2</v>
      </c>
      <c r="R1424">
        <v>3</v>
      </c>
      <c r="S1424">
        <v>1</v>
      </c>
      <c r="U1424" t="s">
        <v>51</v>
      </c>
      <c r="V1424">
        <v>1</v>
      </c>
    </row>
    <row r="1425" spans="2:22" x14ac:dyDescent="0.25">
      <c r="B1425">
        <v>1</v>
      </c>
      <c r="C1425">
        <f>IF(Adecco_India[[#This Row],[Attrition]]="Yes",1,0)</f>
        <v>0</v>
      </c>
      <c r="F1425">
        <v>22</v>
      </c>
      <c r="G1425">
        <v>3</v>
      </c>
      <c r="J1425">
        <v>4</v>
      </c>
      <c r="K1425">
        <v>3</v>
      </c>
      <c r="N1425">
        <v>3</v>
      </c>
      <c r="O1425">
        <v>3</v>
      </c>
      <c r="Q1425">
        <v>1</v>
      </c>
      <c r="R1425">
        <v>3</v>
      </c>
      <c r="S1425">
        <v>1</v>
      </c>
      <c r="U1425" t="s">
        <v>38</v>
      </c>
      <c r="V1425">
        <v>1</v>
      </c>
    </row>
    <row r="1426" spans="2:22" x14ac:dyDescent="0.25">
      <c r="B1426">
        <v>9</v>
      </c>
      <c r="C1426">
        <f>IF(Adecco_India[[#This Row],[Attrition]]="Yes",1,0)</f>
        <v>0</v>
      </c>
      <c r="F1426">
        <v>35</v>
      </c>
      <c r="G1426">
        <v>3</v>
      </c>
      <c r="J1426">
        <v>3</v>
      </c>
      <c r="K1426">
        <v>3</v>
      </c>
      <c r="N1426">
        <v>10</v>
      </c>
      <c r="O1426">
        <v>3</v>
      </c>
      <c r="Q1426">
        <v>0</v>
      </c>
      <c r="R1426">
        <v>3</v>
      </c>
      <c r="S1426">
        <v>1</v>
      </c>
      <c r="U1426" t="s">
        <v>51</v>
      </c>
      <c r="V1426">
        <v>1</v>
      </c>
    </row>
    <row r="1427" spans="2:22" x14ac:dyDescent="0.25">
      <c r="B1427">
        <v>15</v>
      </c>
      <c r="C1427">
        <f>IF(Adecco_India[[#This Row],[Attrition]]="Yes",1,0)</f>
        <v>0</v>
      </c>
      <c r="F1427">
        <v>33</v>
      </c>
      <c r="G1427">
        <v>4</v>
      </c>
      <c r="J1427">
        <v>3</v>
      </c>
      <c r="K1427">
        <v>3</v>
      </c>
      <c r="N1427">
        <v>9</v>
      </c>
      <c r="O1427">
        <v>4</v>
      </c>
      <c r="Q1427">
        <v>8</v>
      </c>
      <c r="R1427">
        <v>3</v>
      </c>
      <c r="S1427">
        <v>1</v>
      </c>
      <c r="U1427" t="s">
        <v>51</v>
      </c>
      <c r="V1427">
        <v>1</v>
      </c>
    </row>
    <row r="1428" spans="2:22" x14ac:dyDescent="0.25">
      <c r="B1428">
        <v>29</v>
      </c>
      <c r="C1428">
        <f>IF(Adecco_India[[#This Row],[Attrition]]="Yes",1,0)</f>
        <v>0</v>
      </c>
      <c r="F1428">
        <v>32</v>
      </c>
      <c r="G1428">
        <v>2</v>
      </c>
      <c r="J1428">
        <v>3</v>
      </c>
      <c r="K1428">
        <v>3</v>
      </c>
      <c r="N1428">
        <v>6</v>
      </c>
      <c r="O1428">
        <v>2</v>
      </c>
      <c r="Q1428">
        <v>4</v>
      </c>
      <c r="R1428">
        <v>3</v>
      </c>
      <c r="S1428">
        <v>1</v>
      </c>
      <c r="U1428" t="s">
        <v>38</v>
      </c>
      <c r="V1428">
        <v>1</v>
      </c>
    </row>
    <row r="1429" spans="2:22" x14ac:dyDescent="0.25">
      <c r="B1429">
        <v>1</v>
      </c>
      <c r="C1429">
        <f>IF(Adecco_India[[#This Row],[Attrition]]="Yes",1,0)</f>
        <v>0</v>
      </c>
      <c r="F1429">
        <v>40</v>
      </c>
      <c r="G1429">
        <v>4</v>
      </c>
      <c r="J1429">
        <v>2</v>
      </c>
      <c r="K1429">
        <v>3</v>
      </c>
      <c r="N1429">
        <v>1</v>
      </c>
      <c r="O1429">
        <v>4</v>
      </c>
      <c r="Q1429">
        <v>0</v>
      </c>
      <c r="R1429">
        <v>3</v>
      </c>
      <c r="S1429">
        <v>1</v>
      </c>
      <c r="U1429" t="s">
        <v>38</v>
      </c>
      <c r="V1429">
        <v>1</v>
      </c>
    </row>
    <row r="1430" spans="2:22" x14ac:dyDescent="0.25">
      <c r="B1430">
        <v>1</v>
      </c>
      <c r="C1430">
        <f>IF(Adecco_India[[#This Row],[Attrition]]="Yes",1,0)</f>
        <v>0</v>
      </c>
      <c r="F1430">
        <v>32</v>
      </c>
      <c r="G1430">
        <v>2</v>
      </c>
      <c r="J1430">
        <v>3</v>
      </c>
      <c r="K1430">
        <v>3</v>
      </c>
      <c r="N1430">
        <v>2</v>
      </c>
      <c r="O1430">
        <v>2</v>
      </c>
      <c r="Q1430">
        <v>2</v>
      </c>
      <c r="R1430">
        <v>3</v>
      </c>
      <c r="S1430">
        <v>1</v>
      </c>
      <c r="U1430" t="s">
        <v>51</v>
      </c>
      <c r="V1430">
        <v>1</v>
      </c>
    </row>
    <row r="1431" spans="2:22" x14ac:dyDescent="0.25">
      <c r="B1431">
        <v>24</v>
      </c>
      <c r="C1431">
        <f>IF(Adecco_India[[#This Row],[Attrition]]="Yes",1,0)</f>
        <v>0</v>
      </c>
      <c r="F1431">
        <v>39</v>
      </c>
      <c r="G1431">
        <v>4</v>
      </c>
      <c r="J1431">
        <v>3</v>
      </c>
      <c r="K1431">
        <v>3</v>
      </c>
      <c r="N1431">
        <v>7</v>
      </c>
      <c r="O1431">
        <v>4</v>
      </c>
      <c r="Q1431">
        <v>1</v>
      </c>
      <c r="R1431">
        <v>3</v>
      </c>
      <c r="S1431">
        <v>1</v>
      </c>
      <c r="U1431" t="s">
        <v>38</v>
      </c>
      <c r="V1431">
        <v>1</v>
      </c>
    </row>
    <row r="1432" spans="2:22" x14ac:dyDescent="0.25">
      <c r="B1432">
        <v>10</v>
      </c>
      <c r="C1432">
        <f>IF(Adecco_India[[#This Row],[Attrition]]="Yes",1,0)</f>
        <v>0</v>
      </c>
      <c r="F1432">
        <v>38</v>
      </c>
      <c r="G1432">
        <v>3</v>
      </c>
      <c r="J1432">
        <v>3</v>
      </c>
      <c r="K1432">
        <v>3</v>
      </c>
      <c r="N1432">
        <v>18</v>
      </c>
      <c r="O1432">
        <v>3</v>
      </c>
      <c r="Q1432">
        <v>1</v>
      </c>
      <c r="R1432">
        <v>3</v>
      </c>
      <c r="S1432">
        <v>1</v>
      </c>
      <c r="U1432" t="s">
        <v>51</v>
      </c>
      <c r="V1432">
        <v>1</v>
      </c>
    </row>
    <row r="1433" spans="2:22" x14ac:dyDescent="0.25">
      <c r="B1433">
        <v>1</v>
      </c>
      <c r="C1433">
        <f>IF(Adecco_India[[#This Row],[Attrition]]="Yes",1,0)</f>
        <v>0</v>
      </c>
      <c r="F1433">
        <v>32</v>
      </c>
      <c r="G1433">
        <v>4</v>
      </c>
      <c r="J1433">
        <v>3</v>
      </c>
      <c r="K1433">
        <v>3</v>
      </c>
      <c r="N1433">
        <v>14</v>
      </c>
      <c r="O1433">
        <v>4</v>
      </c>
      <c r="Q1433">
        <v>5</v>
      </c>
      <c r="R1433">
        <v>3</v>
      </c>
      <c r="S1433">
        <v>1</v>
      </c>
      <c r="U1433" t="s">
        <v>59</v>
      </c>
      <c r="V1433">
        <v>1</v>
      </c>
    </row>
    <row r="1434" spans="2:22" x14ac:dyDescent="0.25">
      <c r="B1434">
        <v>10</v>
      </c>
      <c r="C1434">
        <f>IF(Adecco_India[[#This Row],[Attrition]]="Yes",1,0)</f>
        <v>0</v>
      </c>
      <c r="F1434">
        <v>37</v>
      </c>
      <c r="G1434">
        <v>4</v>
      </c>
      <c r="J1434">
        <v>3</v>
      </c>
      <c r="K1434">
        <v>4</v>
      </c>
      <c r="N1434">
        <v>16</v>
      </c>
      <c r="O1434">
        <v>4</v>
      </c>
      <c r="Q1434">
        <v>6</v>
      </c>
      <c r="R1434">
        <v>4</v>
      </c>
      <c r="S1434">
        <v>1</v>
      </c>
      <c r="U1434" t="s">
        <v>38</v>
      </c>
      <c r="V1434">
        <v>1</v>
      </c>
    </row>
    <row r="1435" spans="2:22" x14ac:dyDescent="0.25">
      <c r="B1435">
        <v>8</v>
      </c>
      <c r="C1435">
        <f>IF(Adecco_India[[#This Row],[Attrition]]="Yes",1,0)</f>
        <v>0</v>
      </c>
      <c r="F1435">
        <v>25</v>
      </c>
      <c r="G1435">
        <v>3</v>
      </c>
      <c r="J1435">
        <v>2</v>
      </c>
      <c r="K1435">
        <v>4</v>
      </c>
      <c r="N1435">
        <v>5</v>
      </c>
      <c r="O1435">
        <v>3</v>
      </c>
      <c r="Q1435">
        <v>0</v>
      </c>
      <c r="R1435">
        <v>4</v>
      </c>
      <c r="S1435">
        <v>1</v>
      </c>
      <c r="U1435" t="s">
        <v>49</v>
      </c>
      <c r="V1435">
        <v>1</v>
      </c>
    </row>
    <row r="1436" spans="2:22" x14ac:dyDescent="0.25">
      <c r="B1436">
        <v>29</v>
      </c>
      <c r="C1436">
        <f>IF(Adecco_India[[#This Row],[Attrition]]="Yes",1,0)</f>
        <v>0</v>
      </c>
      <c r="F1436">
        <v>52</v>
      </c>
      <c r="G1436">
        <v>4</v>
      </c>
      <c r="J1436">
        <v>2</v>
      </c>
      <c r="K1436">
        <v>3</v>
      </c>
      <c r="N1436">
        <v>9</v>
      </c>
      <c r="O1436">
        <v>4</v>
      </c>
      <c r="Q1436">
        <v>0</v>
      </c>
      <c r="R1436">
        <v>3</v>
      </c>
      <c r="S1436">
        <v>1</v>
      </c>
      <c r="U1436" t="s">
        <v>38</v>
      </c>
      <c r="V1436">
        <v>1</v>
      </c>
    </row>
    <row r="1437" spans="2:22" x14ac:dyDescent="0.25">
      <c r="B1437">
        <v>1</v>
      </c>
      <c r="C1437">
        <f>IF(Adecco_India[[#This Row],[Attrition]]="Yes",1,0)</f>
        <v>0</v>
      </c>
      <c r="F1437">
        <v>44</v>
      </c>
      <c r="G1437">
        <v>4</v>
      </c>
      <c r="J1437">
        <v>3</v>
      </c>
      <c r="K1437">
        <v>3</v>
      </c>
      <c r="N1437">
        <v>4</v>
      </c>
      <c r="O1437">
        <v>4</v>
      </c>
      <c r="Q1437">
        <v>1</v>
      </c>
      <c r="R1437">
        <v>3</v>
      </c>
      <c r="S1437">
        <v>1</v>
      </c>
      <c r="U1437" t="s">
        <v>51</v>
      </c>
      <c r="V1437">
        <v>1</v>
      </c>
    </row>
    <row r="1438" spans="2:22" x14ac:dyDescent="0.25">
      <c r="B1438">
        <v>5</v>
      </c>
      <c r="C1438">
        <f>IF(Adecco_India[[#This Row],[Attrition]]="Yes",1,0)</f>
        <v>0</v>
      </c>
      <c r="F1438">
        <v>21</v>
      </c>
      <c r="G1438">
        <v>1</v>
      </c>
      <c r="J1438">
        <v>3</v>
      </c>
      <c r="K1438">
        <v>3</v>
      </c>
      <c r="N1438">
        <v>2</v>
      </c>
      <c r="O1438">
        <v>1</v>
      </c>
      <c r="Q1438">
        <v>1</v>
      </c>
      <c r="R1438">
        <v>3</v>
      </c>
      <c r="S1438">
        <v>1</v>
      </c>
      <c r="U1438" t="s">
        <v>51</v>
      </c>
      <c r="V1438">
        <v>1</v>
      </c>
    </row>
    <row r="1439" spans="2:22" x14ac:dyDescent="0.25">
      <c r="B1439">
        <v>9</v>
      </c>
      <c r="C1439">
        <f>IF(Adecco_India[[#This Row],[Attrition]]="Yes",1,0)</f>
        <v>0</v>
      </c>
      <c r="F1439">
        <v>39</v>
      </c>
      <c r="G1439">
        <v>4</v>
      </c>
      <c r="J1439">
        <v>2</v>
      </c>
      <c r="K1439">
        <v>3</v>
      </c>
      <c r="N1439">
        <v>6</v>
      </c>
      <c r="O1439">
        <v>4</v>
      </c>
      <c r="Q1439">
        <v>1</v>
      </c>
      <c r="R1439">
        <v>3</v>
      </c>
      <c r="S1439">
        <v>1</v>
      </c>
      <c r="U1439" t="s">
        <v>38</v>
      </c>
      <c r="V1439">
        <v>1</v>
      </c>
    </row>
    <row r="1440" spans="2:22" x14ac:dyDescent="0.25">
      <c r="B1440">
        <v>9</v>
      </c>
      <c r="C1440">
        <f>IF(Adecco_India[[#This Row],[Attrition]]="Yes",1,0)</f>
        <v>1</v>
      </c>
      <c r="F1440">
        <v>23</v>
      </c>
      <c r="G1440">
        <v>1</v>
      </c>
      <c r="J1440">
        <v>2</v>
      </c>
      <c r="K1440">
        <v>3</v>
      </c>
      <c r="N1440">
        <v>1</v>
      </c>
      <c r="O1440">
        <v>1</v>
      </c>
      <c r="Q1440">
        <v>1</v>
      </c>
      <c r="R1440">
        <v>3</v>
      </c>
      <c r="S1440">
        <v>1</v>
      </c>
      <c r="U1440" t="s">
        <v>59</v>
      </c>
      <c r="V1440">
        <v>1</v>
      </c>
    </row>
    <row r="1441" spans="2:22" x14ac:dyDescent="0.25">
      <c r="B1441">
        <v>3</v>
      </c>
      <c r="C1441">
        <f>IF(Adecco_India[[#This Row],[Attrition]]="Yes",1,0)</f>
        <v>0</v>
      </c>
      <c r="F1441">
        <v>36</v>
      </c>
      <c r="G1441">
        <v>4</v>
      </c>
      <c r="J1441">
        <v>3</v>
      </c>
      <c r="K1441">
        <v>3</v>
      </c>
      <c r="N1441">
        <v>9</v>
      </c>
      <c r="O1441">
        <v>4</v>
      </c>
      <c r="Q1441">
        <v>3</v>
      </c>
      <c r="R1441">
        <v>3</v>
      </c>
      <c r="S1441">
        <v>1</v>
      </c>
      <c r="U1441" t="s">
        <v>51</v>
      </c>
      <c r="V1441">
        <v>1</v>
      </c>
    </row>
    <row r="1442" spans="2:22" x14ac:dyDescent="0.25">
      <c r="B1442">
        <v>4</v>
      </c>
      <c r="C1442">
        <f>IF(Adecco_India[[#This Row],[Attrition]]="Yes",1,0)</f>
        <v>0</v>
      </c>
      <c r="F1442">
        <v>36</v>
      </c>
      <c r="G1442">
        <v>2</v>
      </c>
      <c r="J1442">
        <v>3</v>
      </c>
      <c r="K1442">
        <v>3</v>
      </c>
      <c r="N1442">
        <v>4</v>
      </c>
      <c r="O1442">
        <v>2</v>
      </c>
      <c r="Q1442">
        <v>0</v>
      </c>
      <c r="R1442">
        <v>3</v>
      </c>
      <c r="S1442">
        <v>1</v>
      </c>
      <c r="U1442" t="s">
        <v>38</v>
      </c>
      <c r="V1442">
        <v>1</v>
      </c>
    </row>
    <row r="1443" spans="2:22" x14ac:dyDescent="0.25">
      <c r="B1443">
        <v>1</v>
      </c>
      <c r="C1443">
        <f>IF(Adecco_India[[#This Row],[Attrition]]="Yes",1,0)</f>
        <v>0</v>
      </c>
      <c r="F1443">
        <v>56</v>
      </c>
      <c r="G1443">
        <v>3</v>
      </c>
      <c r="J1443">
        <v>2</v>
      </c>
      <c r="K1443">
        <v>4</v>
      </c>
      <c r="N1443">
        <v>13</v>
      </c>
      <c r="O1443">
        <v>3</v>
      </c>
      <c r="Q1443">
        <v>1</v>
      </c>
      <c r="R1443">
        <v>4</v>
      </c>
      <c r="S1443">
        <v>1</v>
      </c>
      <c r="U1443" t="s">
        <v>38</v>
      </c>
      <c r="V1443">
        <v>1</v>
      </c>
    </row>
    <row r="1444" spans="2:22" x14ac:dyDescent="0.25">
      <c r="B1444">
        <v>1</v>
      </c>
      <c r="C1444">
        <f>IF(Adecco_India[[#This Row],[Attrition]]="Yes",1,0)</f>
        <v>1</v>
      </c>
      <c r="F1444">
        <v>29</v>
      </c>
      <c r="G1444">
        <v>4</v>
      </c>
      <c r="J1444">
        <v>4</v>
      </c>
      <c r="K1444">
        <v>3</v>
      </c>
      <c r="N1444">
        <v>2</v>
      </c>
      <c r="O1444">
        <v>4</v>
      </c>
      <c r="Q1444">
        <v>2</v>
      </c>
      <c r="R1444">
        <v>3</v>
      </c>
      <c r="S1444">
        <v>1</v>
      </c>
      <c r="U1444" t="s">
        <v>51</v>
      </c>
      <c r="V1444">
        <v>1</v>
      </c>
    </row>
    <row r="1445" spans="2:22" x14ac:dyDescent="0.25">
      <c r="B1445">
        <v>2</v>
      </c>
      <c r="C1445">
        <f>IF(Adecco_India[[#This Row],[Attrition]]="Yes",1,0)</f>
        <v>0</v>
      </c>
      <c r="F1445">
        <v>42</v>
      </c>
      <c r="G1445">
        <v>3</v>
      </c>
      <c r="J1445">
        <v>2</v>
      </c>
      <c r="K1445">
        <v>3</v>
      </c>
      <c r="N1445">
        <v>22</v>
      </c>
      <c r="O1445">
        <v>3</v>
      </c>
      <c r="Q1445">
        <v>4</v>
      </c>
      <c r="R1445">
        <v>3</v>
      </c>
      <c r="S1445">
        <v>1</v>
      </c>
      <c r="U1445" t="s">
        <v>38</v>
      </c>
      <c r="V1445">
        <v>1</v>
      </c>
    </row>
    <row r="1446" spans="2:22" x14ac:dyDescent="0.25">
      <c r="B1446">
        <v>7</v>
      </c>
      <c r="C1446">
        <f>IF(Adecco_India[[#This Row],[Attrition]]="Yes",1,0)</f>
        <v>1</v>
      </c>
      <c r="F1446">
        <v>56</v>
      </c>
      <c r="G1446">
        <v>3</v>
      </c>
      <c r="J1446">
        <v>1</v>
      </c>
      <c r="K1446">
        <v>3</v>
      </c>
      <c r="N1446">
        <v>10</v>
      </c>
      <c r="O1446">
        <v>3</v>
      </c>
      <c r="Q1446">
        <v>9</v>
      </c>
      <c r="R1446">
        <v>3</v>
      </c>
      <c r="S1446">
        <v>1</v>
      </c>
      <c r="U1446" t="s">
        <v>60</v>
      </c>
      <c r="V1446">
        <v>1</v>
      </c>
    </row>
    <row r="1447" spans="2:22" x14ac:dyDescent="0.25">
      <c r="B1447">
        <v>28</v>
      </c>
      <c r="C1447">
        <f>IF(Adecco_India[[#This Row],[Attrition]]="Yes",1,0)</f>
        <v>0</v>
      </c>
      <c r="F1447">
        <v>41</v>
      </c>
      <c r="G1447">
        <v>2</v>
      </c>
      <c r="J1447">
        <v>3</v>
      </c>
      <c r="K1447">
        <v>4</v>
      </c>
      <c r="N1447">
        <v>20</v>
      </c>
      <c r="O1447">
        <v>2</v>
      </c>
      <c r="Q1447">
        <v>0</v>
      </c>
      <c r="R1447">
        <v>4</v>
      </c>
      <c r="S1447">
        <v>1</v>
      </c>
      <c r="U1447" t="s">
        <v>38</v>
      </c>
      <c r="V1447">
        <v>1</v>
      </c>
    </row>
    <row r="1448" spans="2:22" x14ac:dyDescent="0.25">
      <c r="B1448">
        <v>28</v>
      </c>
      <c r="C1448">
        <f>IF(Adecco_India[[#This Row],[Attrition]]="Yes",1,0)</f>
        <v>0</v>
      </c>
      <c r="F1448">
        <v>34</v>
      </c>
      <c r="G1448">
        <v>3</v>
      </c>
      <c r="J1448">
        <v>3</v>
      </c>
      <c r="K1448">
        <v>4</v>
      </c>
      <c r="N1448">
        <v>8</v>
      </c>
      <c r="O1448">
        <v>3</v>
      </c>
      <c r="Q1448">
        <v>1</v>
      </c>
      <c r="R1448">
        <v>4</v>
      </c>
      <c r="S1448">
        <v>1</v>
      </c>
      <c r="U1448" t="s">
        <v>59</v>
      </c>
      <c r="V1448">
        <v>1</v>
      </c>
    </row>
    <row r="1449" spans="2:22" x14ac:dyDescent="0.25">
      <c r="B1449">
        <v>15</v>
      </c>
      <c r="C1449">
        <f>IF(Adecco_India[[#This Row],[Attrition]]="Yes",1,0)</f>
        <v>0</v>
      </c>
      <c r="F1449">
        <v>36</v>
      </c>
      <c r="G1449">
        <v>4</v>
      </c>
      <c r="J1449">
        <v>2</v>
      </c>
      <c r="K1449">
        <v>4</v>
      </c>
      <c r="N1449">
        <v>15</v>
      </c>
      <c r="O1449">
        <v>4</v>
      </c>
      <c r="Q1449">
        <v>11</v>
      </c>
      <c r="R1449">
        <v>4</v>
      </c>
      <c r="S1449">
        <v>1</v>
      </c>
      <c r="U1449" t="s">
        <v>59</v>
      </c>
      <c r="V1449">
        <v>1</v>
      </c>
    </row>
    <row r="1450" spans="2:22" x14ac:dyDescent="0.25">
      <c r="B1450">
        <v>3</v>
      </c>
      <c r="C1450">
        <f>IF(Adecco_India[[#This Row],[Attrition]]="Yes",1,0)</f>
        <v>0</v>
      </c>
      <c r="F1450">
        <v>41</v>
      </c>
      <c r="G1450">
        <v>2</v>
      </c>
      <c r="J1450">
        <v>3</v>
      </c>
      <c r="K1450">
        <v>3</v>
      </c>
      <c r="N1450">
        <v>5</v>
      </c>
      <c r="O1450">
        <v>2</v>
      </c>
      <c r="Q1450">
        <v>0</v>
      </c>
      <c r="R1450">
        <v>3</v>
      </c>
      <c r="S1450">
        <v>1</v>
      </c>
      <c r="U1450" t="s">
        <v>38</v>
      </c>
      <c r="V1450">
        <v>1</v>
      </c>
    </row>
    <row r="1451" spans="2:22" x14ac:dyDescent="0.25">
      <c r="B1451">
        <v>2</v>
      </c>
      <c r="C1451">
        <f>IF(Adecco_India[[#This Row],[Attrition]]="Yes",1,0)</f>
        <v>0</v>
      </c>
      <c r="F1451">
        <v>32</v>
      </c>
      <c r="G1451">
        <v>1</v>
      </c>
      <c r="J1451">
        <v>3</v>
      </c>
      <c r="K1451">
        <v>3</v>
      </c>
      <c r="N1451">
        <v>4</v>
      </c>
      <c r="O1451">
        <v>1</v>
      </c>
      <c r="Q1451">
        <v>1</v>
      </c>
      <c r="R1451">
        <v>3</v>
      </c>
      <c r="S1451">
        <v>1</v>
      </c>
      <c r="U1451" t="s">
        <v>60</v>
      </c>
      <c r="V1451">
        <v>1</v>
      </c>
    </row>
    <row r="1452" spans="2:22" x14ac:dyDescent="0.25">
      <c r="B1452">
        <v>26</v>
      </c>
      <c r="C1452">
        <f>IF(Adecco_India[[#This Row],[Attrition]]="Yes",1,0)</f>
        <v>0</v>
      </c>
      <c r="F1452">
        <v>35</v>
      </c>
      <c r="G1452">
        <v>4</v>
      </c>
      <c r="J1452">
        <v>3</v>
      </c>
      <c r="K1452">
        <v>3</v>
      </c>
      <c r="N1452">
        <v>9</v>
      </c>
      <c r="O1452">
        <v>4</v>
      </c>
      <c r="Q1452">
        <v>1</v>
      </c>
      <c r="R1452">
        <v>3</v>
      </c>
      <c r="S1452">
        <v>1</v>
      </c>
      <c r="U1452" t="s">
        <v>38</v>
      </c>
      <c r="V1452">
        <v>1</v>
      </c>
    </row>
    <row r="1453" spans="2:22" x14ac:dyDescent="0.25">
      <c r="B1453">
        <v>10</v>
      </c>
      <c r="C1453">
        <f>IF(Adecco_India[[#This Row],[Attrition]]="Yes",1,0)</f>
        <v>0</v>
      </c>
      <c r="F1453">
        <v>38</v>
      </c>
      <c r="G1453">
        <v>4</v>
      </c>
      <c r="J1453">
        <v>3</v>
      </c>
      <c r="K1453">
        <v>3</v>
      </c>
      <c r="N1453">
        <v>10</v>
      </c>
      <c r="O1453">
        <v>4</v>
      </c>
      <c r="Q1453">
        <v>1</v>
      </c>
      <c r="R1453">
        <v>3</v>
      </c>
      <c r="S1453">
        <v>1</v>
      </c>
      <c r="U1453" t="s">
        <v>38</v>
      </c>
      <c r="V1453">
        <v>1</v>
      </c>
    </row>
    <row r="1454" spans="2:22" x14ac:dyDescent="0.25">
      <c r="B1454">
        <v>1</v>
      </c>
      <c r="C1454">
        <f>IF(Adecco_India[[#This Row],[Attrition]]="Yes",1,0)</f>
        <v>1</v>
      </c>
      <c r="F1454">
        <v>50</v>
      </c>
      <c r="G1454">
        <v>3</v>
      </c>
      <c r="J1454">
        <v>3</v>
      </c>
      <c r="K1454">
        <v>3</v>
      </c>
      <c r="N1454">
        <v>6</v>
      </c>
      <c r="O1454">
        <v>3</v>
      </c>
      <c r="Q1454">
        <v>0</v>
      </c>
      <c r="R1454">
        <v>3</v>
      </c>
      <c r="S1454">
        <v>1</v>
      </c>
      <c r="U1454" t="s">
        <v>38</v>
      </c>
      <c r="V1454">
        <v>1</v>
      </c>
    </row>
    <row r="1455" spans="2:22" x14ac:dyDescent="0.25">
      <c r="B1455">
        <v>11</v>
      </c>
      <c r="C1455">
        <f>IF(Adecco_India[[#This Row],[Attrition]]="Yes",1,0)</f>
        <v>0</v>
      </c>
      <c r="F1455">
        <v>36</v>
      </c>
      <c r="G1455">
        <v>4</v>
      </c>
      <c r="J1455">
        <v>2</v>
      </c>
      <c r="K1455">
        <v>3</v>
      </c>
      <c r="N1455">
        <v>6</v>
      </c>
      <c r="O1455">
        <v>4</v>
      </c>
      <c r="Q1455">
        <v>0</v>
      </c>
      <c r="R1455">
        <v>3</v>
      </c>
      <c r="S1455">
        <v>1</v>
      </c>
      <c r="U1455" t="s">
        <v>59</v>
      </c>
      <c r="V1455">
        <v>1</v>
      </c>
    </row>
    <row r="1456" spans="2:22" x14ac:dyDescent="0.25">
      <c r="B1456">
        <v>20</v>
      </c>
      <c r="C1456">
        <f>IF(Adecco_India[[#This Row],[Attrition]]="Yes",1,0)</f>
        <v>0</v>
      </c>
      <c r="F1456">
        <v>45</v>
      </c>
      <c r="G1456">
        <v>3</v>
      </c>
      <c r="J1456">
        <v>3</v>
      </c>
      <c r="K1456">
        <v>3</v>
      </c>
      <c r="N1456">
        <v>5</v>
      </c>
      <c r="O1456">
        <v>3</v>
      </c>
      <c r="Q1456">
        <v>0</v>
      </c>
      <c r="R1456">
        <v>3</v>
      </c>
      <c r="S1456">
        <v>1</v>
      </c>
      <c r="U1456" t="s">
        <v>38</v>
      </c>
      <c r="V1456">
        <v>1</v>
      </c>
    </row>
    <row r="1457" spans="2:22" x14ac:dyDescent="0.25">
      <c r="B1457">
        <v>2</v>
      </c>
      <c r="C1457">
        <f>IF(Adecco_India[[#This Row],[Attrition]]="Yes",1,0)</f>
        <v>0</v>
      </c>
      <c r="F1457">
        <v>40</v>
      </c>
      <c r="G1457">
        <v>3</v>
      </c>
      <c r="J1457">
        <v>3</v>
      </c>
      <c r="K1457">
        <v>3</v>
      </c>
      <c r="N1457">
        <v>2</v>
      </c>
      <c r="O1457">
        <v>3</v>
      </c>
      <c r="Q1457">
        <v>2</v>
      </c>
      <c r="R1457">
        <v>3</v>
      </c>
      <c r="S1457">
        <v>1</v>
      </c>
      <c r="U1457" t="s">
        <v>38</v>
      </c>
      <c r="V1457">
        <v>1</v>
      </c>
    </row>
    <row r="1458" spans="2:22" x14ac:dyDescent="0.25">
      <c r="B1458">
        <v>18</v>
      </c>
      <c r="C1458">
        <f>IF(Adecco_India[[#This Row],[Attrition]]="Yes",1,0)</f>
        <v>0</v>
      </c>
      <c r="F1458">
        <v>35</v>
      </c>
      <c r="G1458">
        <v>3</v>
      </c>
      <c r="J1458">
        <v>4</v>
      </c>
      <c r="K1458">
        <v>3</v>
      </c>
      <c r="N1458">
        <v>10</v>
      </c>
      <c r="O1458">
        <v>3</v>
      </c>
      <c r="Q1458">
        <v>0</v>
      </c>
      <c r="R1458">
        <v>3</v>
      </c>
      <c r="S1458">
        <v>1</v>
      </c>
      <c r="U1458" t="s">
        <v>38</v>
      </c>
      <c r="V1458">
        <v>1</v>
      </c>
    </row>
    <row r="1459" spans="2:22" x14ac:dyDescent="0.25">
      <c r="B1459">
        <v>2</v>
      </c>
      <c r="C1459">
        <f>IF(Adecco_India[[#This Row],[Attrition]]="Yes",1,0)</f>
        <v>0</v>
      </c>
      <c r="F1459">
        <v>40</v>
      </c>
      <c r="G1459">
        <v>3</v>
      </c>
      <c r="J1459">
        <v>3</v>
      </c>
      <c r="K1459">
        <v>3</v>
      </c>
      <c r="N1459">
        <v>5</v>
      </c>
      <c r="O1459">
        <v>3</v>
      </c>
      <c r="Q1459">
        <v>0</v>
      </c>
      <c r="R1459">
        <v>3</v>
      </c>
      <c r="S1459">
        <v>1</v>
      </c>
      <c r="U1459" t="s">
        <v>51</v>
      </c>
      <c r="V1459">
        <v>1</v>
      </c>
    </row>
    <row r="1460" spans="2:22" x14ac:dyDescent="0.25">
      <c r="B1460">
        <v>1</v>
      </c>
      <c r="C1460">
        <f>IF(Adecco_India[[#This Row],[Attrition]]="Yes",1,0)</f>
        <v>0</v>
      </c>
      <c r="F1460">
        <v>35</v>
      </c>
      <c r="G1460">
        <v>4</v>
      </c>
      <c r="J1460">
        <v>3</v>
      </c>
      <c r="K1460">
        <v>3</v>
      </c>
      <c r="N1460">
        <v>4</v>
      </c>
      <c r="O1460">
        <v>4</v>
      </c>
      <c r="Q1460">
        <v>1</v>
      </c>
      <c r="R1460">
        <v>3</v>
      </c>
      <c r="S1460">
        <v>1</v>
      </c>
      <c r="U1460" t="s">
        <v>38</v>
      </c>
      <c r="V1460">
        <v>1</v>
      </c>
    </row>
    <row r="1461" spans="2:22" x14ac:dyDescent="0.25">
      <c r="B1461">
        <v>13</v>
      </c>
      <c r="C1461">
        <f>IF(Adecco_India[[#This Row],[Attrition]]="Yes",1,0)</f>
        <v>0</v>
      </c>
      <c r="F1461">
        <v>29</v>
      </c>
      <c r="G1461">
        <v>2</v>
      </c>
      <c r="J1461">
        <v>3</v>
      </c>
      <c r="K1461">
        <v>3</v>
      </c>
      <c r="N1461">
        <v>4</v>
      </c>
      <c r="O1461">
        <v>2</v>
      </c>
      <c r="Q1461">
        <v>0</v>
      </c>
      <c r="R1461">
        <v>3</v>
      </c>
      <c r="S1461">
        <v>1</v>
      </c>
      <c r="U1461" t="s">
        <v>49</v>
      </c>
      <c r="V1461">
        <v>1</v>
      </c>
    </row>
    <row r="1462" spans="2:22" x14ac:dyDescent="0.25">
      <c r="B1462">
        <v>28</v>
      </c>
      <c r="C1462">
        <f>IF(Adecco_India[[#This Row],[Attrition]]="Yes",1,0)</f>
        <v>0</v>
      </c>
      <c r="F1462">
        <v>29</v>
      </c>
      <c r="G1462">
        <v>1</v>
      </c>
      <c r="J1462">
        <v>1</v>
      </c>
      <c r="K1462">
        <v>3</v>
      </c>
      <c r="N1462">
        <v>5</v>
      </c>
      <c r="O1462">
        <v>1</v>
      </c>
      <c r="Q1462">
        <v>0</v>
      </c>
      <c r="R1462">
        <v>3</v>
      </c>
      <c r="S1462">
        <v>1</v>
      </c>
      <c r="U1462" t="s">
        <v>51</v>
      </c>
      <c r="V1462">
        <v>1</v>
      </c>
    </row>
    <row r="1463" spans="2:22" x14ac:dyDescent="0.25">
      <c r="B1463">
        <v>28</v>
      </c>
      <c r="C1463">
        <f>IF(Adecco_India[[#This Row],[Attrition]]="Yes",1,0)</f>
        <v>1</v>
      </c>
      <c r="F1463">
        <v>50</v>
      </c>
      <c r="G1463">
        <v>1</v>
      </c>
      <c r="J1463">
        <v>3</v>
      </c>
      <c r="K1463">
        <v>3</v>
      </c>
      <c r="N1463">
        <v>3</v>
      </c>
      <c r="O1463">
        <v>1</v>
      </c>
      <c r="Q1463">
        <v>2</v>
      </c>
      <c r="R1463">
        <v>3</v>
      </c>
      <c r="S1463">
        <v>1</v>
      </c>
      <c r="U1463" t="s">
        <v>59</v>
      </c>
      <c r="V1463">
        <v>1</v>
      </c>
    </row>
    <row r="1464" spans="2:22" x14ac:dyDescent="0.25">
      <c r="B1464">
        <v>24</v>
      </c>
      <c r="C1464">
        <f>IF(Adecco_India[[#This Row],[Attrition]]="Yes",1,0)</f>
        <v>0</v>
      </c>
      <c r="F1464">
        <v>39</v>
      </c>
      <c r="G1464">
        <v>4</v>
      </c>
      <c r="J1464">
        <v>2</v>
      </c>
      <c r="K1464">
        <v>3</v>
      </c>
      <c r="N1464">
        <v>20</v>
      </c>
      <c r="O1464">
        <v>4</v>
      </c>
      <c r="Q1464">
        <v>9</v>
      </c>
      <c r="R1464">
        <v>3</v>
      </c>
      <c r="S1464">
        <v>1</v>
      </c>
      <c r="U1464" t="s">
        <v>59</v>
      </c>
      <c r="V1464">
        <v>1</v>
      </c>
    </row>
    <row r="1465" spans="2:22" x14ac:dyDescent="0.25">
      <c r="B1465">
        <v>5</v>
      </c>
      <c r="C1465">
        <f>IF(Adecco_India[[#This Row],[Attrition]]="Yes",1,0)</f>
        <v>0</v>
      </c>
      <c r="F1465">
        <v>31</v>
      </c>
      <c r="G1465">
        <v>1</v>
      </c>
      <c r="J1465">
        <v>3</v>
      </c>
      <c r="K1465">
        <v>3</v>
      </c>
      <c r="N1465">
        <v>9</v>
      </c>
      <c r="O1465">
        <v>1</v>
      </c>
      <c r="Q1465">
        <v>1</v>
      </c>
      <c r="R1465">
        <v>3</v>
      </c>
      <c r="S1465">
        <v>1</v>
      </c>
      <c r="U1465" t="s">
        <v>51</v>
      </c>
      <c r="V1465">
        <v>1</v>
      </c>
    </row>
    <row r="1466" spans="2:22" x14ac:dyDescent="0.25">
      <c r="B1466">
        <v>5</v>
      </c>
      <c r="C1466">
        <f>IF(Adecco_India[[#This Row],[Attrition]]="Yes",1,0)</f>
        <v>0</v>
      </c>
      <c r="F1466">
        <v>26</v>
      </c>
      <c r="G1466">
        <v>3</v>
      </c>
      <c r="J1466">
        <v>3</v>
      </c>
      <c r="K1466">
        <v>3</v>
      </c>
      <c r="N1466">
        <v>4</v>
      </c>
      <c r="O1466">
        <v>3</v>
      </c>
      <c r="Q1466">
        <v>0</v>
      </c>
      <c r="R1466">
        <v>3</v>
      </c>
      <c r="S1466">
        <v>1</v>
      </c>
      <c r="U1466" t="s">
        <v>49</v>
      </c>
      <c r="V1466">
        <v>1</v>
      </c>
    </row>
    <row r="1467" spans="2:22" x14ac:dyDescent="0.25">
      <c r="B1467">
        <v>23</v>
      </c>
      <c r="C1467">
        <f>IF(Adecco_India[[#This Row],[Attrition]]="Yes",1,0)</f>
        <v>0</v>
      </c>
      <c r="F1467">
        <v>36</v>
      </c>
      <c r="G1467">
        <v>4</v>
      </c>
      <c r="J1467">
        <v>3</v>
      </c>
      <c r="K1467">
        <v>3</v>
      </c>
      <c r="N1467">
        <v>5</v>
      </c>
      <c r="O1467">
        <v>4</v>
      </c>
      <c r="Q1467">
        <v>0</v>
      </c>
      <c r="R1467">
        <v>3</v>
      </c>
      <c r="S1467">
        <v>1</v>
      </c>
      <c r="U1467" t="s">
        <v>51</v>
      </c>
      <c r="V1467">
        <v>1</v>
      </c>
    </row>
    <row r="1468" spans="2:22" x14ac:dyDescent="0.25">
      <c r="B1468">
        <v>6</v>
      </c>
      <c r="C1468">
        <f>IF(Adecco_India[[#This Row],[Attrition]]="Yes",1,0)</f>
        <v>0</v>
      </c>
      <c r="F1468">
        <v>39</v>
      </c>
      <c r="G1468">
        <v>1</v>
      </c>
      <c r="J1468">
        <v>3</v>
      </c>
      <c r="K1468">
        <v>3</v>
      </c>
      <c r="N1468">
        <v>7</v>
      </c>
      <c r="O1468">
        <v>1</v>
      </c>
      <c r="Q1468">
        <v>1</v>
      </c>
      <c r="R1468">
        <v>3</v>
      </c>
      <c r="S1468">
        <v>1</v>
      </c>
      <c r="U1468" t="s">
        <v>51</v>
      </c>
      <c r="V1468">
        <v>1</v>
      </c>
    </row>
    <row r="1469" spans="2:22" x14ac:dyDescent="0.25">
      <c r="B1469">
        <v>4</v>
      </c>
      <c r="C1469">
        <f>IF(Adecco_India[[#This Row],[Attrition]]="Yes",1,0)</f>
        <v>0</v>
      </c>
      <c r="F1469">
        <v>27</v>
      </c>
      <c r="G1469">
        <v>2</v>
      </c>
      <c r="J1469">
        <v>3</v>
      </c>
      <c r="K1469">
        <v>4</v>
      </c>
      <c r="N1469">
        <v>6</v>
      </c>
      <c r="O1469">
        <v>2</v>
      </c>
      <c r="Q1469">
        <v>0</v>
      </c>
      <c r="R1469">
        <v>4</v>
      </c>
      <c r="S1469">
        <v>1</v>
      </c>
      <c r="U1469" t="s">
        <v>38</v>
      </c>
      <c r="V1469">
        <v>1</v>
      </c>
    </row>
    <row r="1470" spans="2:22" x14ac:dyDescent="0.25">
      <c r="B1470">
        <v>2</v>
      </c>
      <c r="C1470">
        <f>IF(Adecco_India[[#This Row],[Attrition]]="Yes",1,0)</f>
        <v>0</v>
      </c>
      <c r="F1470">
        <v>49</v>
      </c>
      <c r="G1470">
        <v>2</v>
      </c>
      <c r="J1470">
        <v>2</v>
      </c>
      <c r="K1470">
        <v>3</v>
      </c>
      <c r="N1470">
        <v>9</v>
      </c>
      <c r="O1470">
        <v>2</v>
      </c>
      <c r="Q1470">
        <v>0</v>
      </c>
      <c r="R1470">
        <v>3</v>
      </c>
      <c r="S1470">
        <v>1</v>
      </c>
      <c r="U1470" t="s">
        <v>51</v>
      </c>
      <c r="V1470">
        <v>1</v>
      </c>
    </row>
    <row r="1471" spans="2:22" x14ac:dyDescent="0.25">
      <c r="B1471">
        <v>8</v>
      </c>
      <c r="C1471">
        <f>IF(Adecco_India[[#This Row],[Attrition]]="Yes",1,0)</f>
        <v>0</v>
      </c>
      <c r="F1471">
        <v>34</v>
      </c>
      <c r="G1471">
        <v>3</v>
      </c>
      <c r="J1471">
        <v>4</v>
      </c>
      <c r="K1471">
        <v>3</v>
      </c>
      <c r="N1471">
        <v>4</v>
      </c>
      <c r="O1471">
        <v>3</v>
      </c>
      <c r="Q1471">
        <v>1</v>
      </c>
      <c r="R1471">
        <v>3</v>
      </c>
      <c r="S1471">
        <v>1</v>
      </c>
      <c r="U1471" t="s">
        <v>51</v>
      </c>
      <c r="V1471">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BC474D-322E-42FD-893D-7AD0399331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data</vt:lpstr>
      <vt:lpstr>Calculations</vt:lpstr>
      <vt:lpstr>pivot table</vt:lpstr>
      <vt:lpstr>DASHBOARD</vt:lpstr>
      <vt:lpstr>practice 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Dwivedi</dc:creator>
  <cp:lastModifiedBy>Shweta Dwivedi</cp:lastModifiedBy>
  <dcterms:created xsi:type="dcterms:W3CDTF">2025-10-30T13:59:12Z</dcterms:created>
  <dcterms:modified xsi:type="dcterms:W3CDTF">2025-11-01T09:31:57Z</dcterms:modified>
</cp:coreProperties>
</file>